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codex\百胜企业系统\erp_v0.2\outputs\component-order-template\"/>
    </mc:Choice>
  </mc:AlternateContent>
  <xr:revisionPtr revIDLastSave="0" documentId="13_ncr:1_{60F26A8A-68A0-40D9-8088-A333E86424D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清单台账" sheetId="1" r:id="rId1"/>
    <sheet name="ERP导入清单" sheetId="2" r:id="rId2"/>
    <sheet name="使用说明" sheetId="3" r:id="rId3"/>
    <sheet name="选项" sheetId="4" r:id="rId4"/>
    <sheet name="ERP上传净表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5" i="1" l="1"/>
  <c r="AD205" i="1"/>
  <c r="AC205" i="1"/>
  <c r="AB205" i="1"/>
  <c r="AA205" i="1"/>
  <c r="Y205" i="1"/>
  <c r="X205" i="1"/>
  <c r="R205" i="1"/>
  <c r="J205" i="1"/>
  <c r="Z205" i="1" s="1"/>
  <c r="I205" i="1"/>
  <c r="G205" i="1"/>
  <c r="A205" i="1"/>
  <c r="AE204" i="1"/>
  <c r="AD204" i="1"/>
  <c r="AC204" i="1"/>
  <c r="AB204" i="1"/>
  <c r="AA204" i="1"/>
  <c r="Y204" i="1"/>
  <c r="X204" i="1"/>
  <c r="R204" i="1"/>
  <c r="J204" i="1"/>
  <c r="Z204" i="1" s="1"/>
  <c r="I204" i="1"/>
  <c r="G204" i="1"/>
  <c r="A204" i="1"/>
  <c r="AE203" i="1"/>
  <c r="AD203" i="1"/>
  <c r="AC203" i="1"/>
  <c r="AB203" i="1"/>
  <c r="AA203" i="1"/>
  <c r="Y203" i="1"/>
  <c r="X203" i="1"/>
  <c r="R203" i="1"/>
  <c r="J203" i="1"/>
  <c r="Z203" i="1" s="1"/>
  <c r="I203" i="1"/>
  <c r="G203" i="1"/>
  <c r="A203" i="1"/>
  <c r="AE202" i="1"/>
  <c r="AD202" i="1"/>
  <c r="AC202" i="1"/>
  <c r="AB202" i="1"/>
  <c r="AA202" i="1"/>
  <c r="Y202" i="1"/>
  <c r="X202" i="1"/>
  <c r="R202" i="1"/>
  <c r="J202" i="1"/>
  <c r="Z202" i="1" s="1"/>
  <c r="I202" i="1"/>
  <c r="G202" i="1"/>
  <c r="A202" i="1"/>
  <c r="AE201" i="1"/>
  <c r="AD201" i="1"/>
  <c r="AC201" i="1"/>
  <c r="AB201" i="1"/>
  <c r="AA201" i="1"/>
  <c r="Y201" i="1"/>
  <c r="X201" i="1"/>
  <c r="R201" i="1"/>
  <c r="J201" i="1"/>
  <c r="Z201" i="1" s="1"/>
  <c r="I201" i="1"/>
  <c r="G201" i="1"/>
  <c r="A201" i="1"/>
  <c r="AE200" i="1"/>
  <c r="AD200" i="1"/>
  <c r="AC200" i="1"/>
  <c r="AB200" i="1"/>
  <c r="AA200" i="1"/>
  <c r="Y200" i="1"/>
  <c r="X200" i="1"/>
  <c r="R200" i="1"/>
  <c r="J200" i="1"/>
  <c r="Z200" i="1" s="1"/>
  <c r="I200" i="1"/>
  <c r="G200" i="1"/>
  <c r="A200" i="1"/>
  <c r="AE199" i="1"/>
  <c r="AD199" i="1"/>
  <c r="AC199" i="1"/>
  <c r="AB199" i="1"/>
  <c r="AA199" i="1"/>
  <c r="Y199" i="1"/>
  <c r="X199" i="1"/>
  <c r="R199" i="1"/>
  <c r="J199" i="1"/>
  <c r="Z199" i="1" s="1"/>
  <c r="I199" i="1"/>
  <c r="G199" i="1"/>
  <c r="A199" i="1"/>
  <c r="AE198" i="1"/>
  <c r="AD198" i="1"/>
  <c r="AC198" i="1"/>
  <c r="AB198" i="1"/>
  <c r="AA198" i="1"/>
  <c r="Y198" i="1"/>
  <c r="X198" i="1"/>
  <c r="R198" i="1"/>
  <c r="J198" i="1"/>
  <c r="Z198" i="1" s="1"/>
  <c r="I198" i="1"/>
  <c r="G198" i="1"/>
  <c r="A198" i="1"/>
  <c r="AE197" i="1"/>
  <c r="AD197" i="1"/>
  <c r="AC197" i="1"/>
  <c r="AB197" i="1"/>
  <c r="AA197" i="1"/>
  <c r="Y197" i="1"/>
  <c r="X197" i="1"/>
  <c r="R197" i="1"/>
  <c r="J197" i="1"/>
  <c r="Z197" i="1" s="1"/>
  <c r="I197" i="1"/>
  <c r="G197" i="1"/>
  <c r="A197" i="1"/>
  <c r="AE196" i="1"/>
  <c r="AD196" i="1"/>
  <c r="AC196" i="1"/>
  <c r="AB196" i="1"/>
  <c r="AA196" i="1"/>
  <c r="Y196" i="1"/>
  <c r="X196" i="1"/>
  <c r="R196" i="1"/>
  <c r="J196" i="1"/>
  <c r="Z196" i="1" s="1"/>
  <c r="I196" i="1"/>
  <c r="G196" i="1"/>
  <c r="A196" i="1"/>
  <c r="AE195" i="1"/>
  <c r="AD195" i="1"/>
  <c r="AC195" i="1"/>
  <c r="AB195" i="1"/>
  <c r="AA195" i="1"/>
  <c r="Y195" i="1"/>
  <c r="X195" i="1"/>
  <c r="R195" i="1"/>
  <c r="J195" i="1"/>
  <c r="Z195" i="1" s="1"/>
  <c r="I195" i="1"/>
  <c r="G195" i="1"/>
  <c r="A195" i="1"/>
  <c r="AE194" i="1"/>
  <c r="AD194" i="1"/>
  <c r="AC194" i="1"/>
  <c r="AB194" i="1"/>
  <c r="AA194" i="1"/>
  <c r="Y194" i="1"/>
  <c r="X194" i="1"/>
  <c r="R194" i="1"/>
  <c r="J194" i="1"/>
  <c r="Z194" i="1" s="1"/>
  <c r="I194" i="1"/>
  <c r="G194" i="1"/>
  <c r="A194" i="1"/>
  <c r="AE193" i="1"/>
  <c r="AD193" i="1"/>
  <c r="AC193" i="1"/>
  <c r="AB193" i="1"/>
  <c r="AA193" i="1"/>
  <c r="Y193" i="1"/>
  <c r="X193" i="1"/>
  <c r="R193" i="1"/>
  <c r="J193" i="1"/>
  <c r="Z193" i="1" s="1"/>
  <c r="I193" i="1"/>
  <c r="G193" i="1"/>
  <c r="A193" i="1"/>
  <c r="AE192" i="1"/>
  <c r="AD192" i="1"/>
  <c r="AC192" i="1"/>
  <c r="AB192" i="1"/>
  <c r="AA192" i="1"/>
  <c r="Y192" i="1"/>
  <c r="X192" i="1"/>
  <c r="R192" i="1"/>
  <c r="J192" i="1"/>
  <c r="Z192" i="1" s="1"/>
  <c r="I192" i="1"/>
  <c r="G192" i="1"/>
  <c r="A192" i="1"/>
  <c r="AE191" i="1"/>
  <c r="AD191" i="1"/>
  <c r="AC191" i="1"/>
  <c r="AB191" i="1"/>
  <c r="AA191" i="1"/>
  <c r="Y191" i="1"/>
  <c r="X191" i="1"/>
  <c r="R191" i="1"/>
  <c r="J191" i="1"/>
  <c r="Z191" i="1" s="1"/>
  <c r="I191" i="1"/>
  <c r="G191" i="1"/>
  <c r="A191" i="1"/>
  <c r="AE190" i="1"/>
  <c r="AD190" i="1"/>
  <c r="AC190" i="1"/>
  <c r="AB190" i="1"/>
  <c r="AA190" i="1"/>
  <c r="Y190" i="1"/>
  <c r="X190" i="1"/>
  <c r="R190" i="1"/>
  <c r="J190" i="1"/>
  <c r="Z190" i="1" s="1"/>
  <c r="I190" i="1"/>
  <c r="G190" i="1"/>
  <c r="A190" i="1"/>
  <c r="AE189" i="1"/>
  <c r="AD189" i="1"/>
  <c r="AC189" i="1"/>
  <c r="AB189" i="1"/>
  <c r="AA189" i="1"/>
  <c r="Y189" i="1"/>
  <c r="X189" i="1"/>
  <c r="R189" i="1"/>
  <c r="J189" i="1"/>
  <c r="Z189" i="1" s="1"/>
  <c r="I189" i="1"/>
  <c r="G189" i="1"/>
  <c r="A189" i="1"/>
  <c r="AE188" i="1"/>
  <c r="AD188" i="1"/>
  <c r="AC188" i="1"/>
  <c r="AB188" i="1"/>
  <c r="AA188" i="1"/>
  <c r="Y188" i="1"/>
  <c r="X188" i="1"/>
  <c r="R188" i="1"/>
  <c r="J188" i="1"/>
  <c r="Z188" i="1" s="1"/>
  <c r="I188" i="1"/>
  <c r="G188" i="1"/>
  <c r="A188" i="1"/>
  <c r="AE187" i="1"/>
  <c r="AD187" i="1"/>
  <c r="AC187" i="1"/>
  <c r="AB187" i="1"/>
  <c r="AA187" i="1"/>
  <c r="Y187" i="1"/>
  <c r="X187" i="1"/>
  <c r="R187" i="1"/>
  <c r="J187" i="1"/>
  <c r="Z187" i="1" s="1"/>
  <c r="I187" i="1"/>
  <c r="G187" i="1"/>
  <c r="A187" i="1"/>
  <c r="AE186" i="1"/>
  <c r="AD186" i="1"/>
  <c r="AC186" i="1"/>
  <c r="AB186" i="1"/>
  <c r="AA186" i="1"/>
  <c r="Y186" i="1"/>
  <c r="X186" i="1"/>
  <c r="R186" i="1"/>
  <c r="J186" i="1"/>
  <c r="Z186" i="1" s="1"/>
  <c r="I186" i="1"/>
  <c r="G186" i="1"/>
  <c r="A186" i="1"/>
  <c r="AE185" i="1"/>
  <c r="AD185" i="1"/>
  <c r="AC185" i="1"/>
  <c r="AB185" i="1"/>
  <c r="AA185" i="1"/>
  <c r="Y185" i="1"/>
  <c r="X185" i="1"/>
  <c r="R185" i="1"/>
  <c r="J185" i="1"/>
  <c r="Z185" i="1" s="1"/>
  <c r="I185" i="1"/>
  <c r="G185" i="1"/>
  <c r="A185" i="1"/>
  <c r="AE184" i="1"/>
  <c r="AD184" i="1"/>
  <c r="AC184" i="1"/>
  <c r="AB184" i="1"/>
  <c r="AA184" i="1"/>
  <c r="Y184" i="1"/>
  <c r="X184" i="1"/>
  <c r="R184" i="1"/>
  <c r="J184" i="1"/>
  <c r="Z184" i="1" s="1"/>
  <c r="I184" i="1"/>
  <c r="G184" i="1"/>
  <c r="A184" i="1"/>
  <c r="AE183" i="1"/>
  <c r="AD183" i="1"/>
  <c r="AC183" i="1"/>
  <c r="AB183" i="1"/>
  <c r="AA183" i="1"/>
  <c r="Y183" i="1"/>
  <c r="X183" i="1"/>
  <c r="R183" i="1"/>
  <c r="J183" i="1"/>
  <c r="Z183" i="1" s="1"/>
  <c r="I183" i="1"/>
  <c r="G183" i="1"/>
  <c r="A183" i="1"/>
  <c r="AE182" i="1"/>
  <c r="AD182" i="1"/>
  <c r="AC182" i="1"/>
  <c r="AB182" i="1"/>
  <c r="AA182" i="1"/>
  <c r="Y182" i="1"/>
  <c r="X182" i="1"/>
  <c r="R182" i="1"/>
  <c r="J182" i="1"/>
  <c r="Z182" i="1" s="1"/>
  <c r="I182" i="1"/>
  <c r="G182" i="1"/>
  <c r="A182" i="1"/>
  <c r="AE181" i="1"/>
  <c r="AD181" i="1"/>
  <c r="AC181" i="1"/>
  <c r="AB181" i="1"/>
  <c r="AA181" i="1"/>
  <c r="Y181" i="1"/>
  <c r="X181" i="1"/>
  <c r="R181" i="1"/>
  <c r="J181" i="1"/>
  <c r="Z181" i="1" s="1"/>
  <c r="I181" i="1"/>
  <c r="G181" i="1"/>
  <c r="A181" i="1"/>
  <c r="AE180" i="1"/>
  <c r="AD180" i="1"/>
  <c r="AC180" i="1"/>
  <c r="AB180" i="1"/>
  <c r="AA180" i="1"/>
  <c r="Y180" i="1"/>
  <c r="X180" i="1"/>
  <c r="R180" i="1"/>
  <c r="J180" i="1"/>
  <c r="Z180" i="1" s="1"/>
  <c r="I180" i="1"/>
  <c r="G180" i="1"/>
  <c r="A180" i="1"/>
  <c r="AE179" i="1"/>
  <c r="AD179" i="1"/>
  <c r="AC179" i="1"/>
  <c r="AB179" i="1"/>
  <c r="AA179" i="1"/>
  <c r="Y179" i="1"/>
  <c r="X179" i="1"/>
  <c r="R179" i="1"/>
  <c r="J179" i="1"/>
  <c r="Z179" i="1" s="1"/>
  <c r="I179" i="1"/>
  <c r="G179" i="1"/>
  <c r="A179" i="1"/>
  <c r="AE178" i="1"/>
  <c r="W177" i="2" s="1"/>
  <c r="AD178" i="1"/>
  <c r="AC178" i="1"/>
  <c r="AB178" i="1"/>
  <c r="AA178" i="1"/>
  <c r="Y178" i="1"/>
  <c r="X178" i="1"/>
  <c r="R178" i="1"/>
  <c r="J178" i="1"/>
  <c r="Z178" i="1" s="1"/>
  <c r="I178" i="1"/>
  <c r="G178" i="1"/>
  <c r="A178" i="1"/>
  <c r="AE177" i="1"/>
  <c r="AD177" i="1"/>
  <c r="AC177" i="1"/>
  <c r="AB177" i="1"/>
  <c r="AA177" i="1"/>
  <c r="Y177" i="1"/>
  <c r="X177" i="1"/>
  <c r="R177" i="1"/>
  <c r="J177" i="1"/>
  <c r="Z177" i="1" s="1"/>
  <c r="I177" i="1"/>
  <c r="G177" i="1"/>
  <c r="A177" i="1"/>
  <c r="AE176" i="1"/>
  <c r="AD176" i="1"/>
  <c r="AC176" i="1"/>
  <c r="AB176" i="1"/>
  <c r="AA176" i="1"/>
  <c r="Y176" i="1"/>
  <c r="X176" i="1"/>
  <c r="R176" i="1"/>
  <c r="J176" i="1"/>
  <c r="Z176" i="1" s="1"/>
  <c r="I176" i="1"/>
  <c r="G176" i="1"/>
  <c r="A176" i="1"/>
  <c r="AE175" i="1"/>
  <c r="AD175" i="1"/>
  <c r="AC175" i="1"/>
  <c r="AB175" i="1"/>
  <c r="AA175" i="1"/>
  <c r="Y175" i="1"/>
  <c r="X175" i="1"/>
  <c r="R175" i="1"/>
  <c r="J175" i="1"/>
  <c r="Z175" i="1" s="1"/>
  <c r="I175" i="1"/>
  <c r="G175" i="1"/>
  <c r="A175" i="1"/>
  <c r="AE174" i="1"/>
  <c r="AD174" i="1"/>
  <c r="AC174" i="1"/>
  <c r="AB174" i="1"/>
  <c r="AA174" i="1"/>
  <c r="Y174" i="1"/>
  <c r="X174" i="1"/>
  <c r="R174" i="1"/>
  <c r="J174" i="1"/>
  <c r="Z174" i="1" s="1"/>
  <c r="I174" i="1"/>
  <c r="G174" i="1"/>
  <c r="A174" i="1"/>
  <c r="AE173" i="1"/>
  <c r="AD173" i="1"/>
  <c r="AC173" i="1"/>
  <c r="AB173" i="1"/>
  <c r="AA173" i="1"/>
  <c r="Y173" i="1"/>
  <c r="X173" i="1"/>
  <c r="R173" i="1"/>
  <c r="J173" i="1"/>
  <c r="Z173" i="1" s="1"/>
  <c r="I173" i="1"/>
  <c r="G173" i="1"/>
  <c r="A173" i="1"/>
  <c r="AE172" i="1"/>
  <c r="AD172" i="1"/>
  <c r="AC172" i="1"/>
  <c r="AB172" i="1"/>
  <c r="AA172" i="1"/>
  <c r="Y172" i="1"/>
  <c r="X172" i="1"/>
  <c r="R172" i="1"/>
  <c r="J172" i="1"/>
  <c r="Z172" i="1" s="1"/>
  <c r="I172" i="1"/>
  <c r="G172" i="1"/>
  <c r="A172" i="1"/>
  <c r="AE171" i="1"/>
  <c r="AD171" i="1"/>
  <c r="AC171" i="1"/>
  <c r="AB171" i="1"/>
  <c r="AA171" i="1"/>
  <c r="Y171" i="1"/>
  <c r="X171" i="1"/>
  <c r="R171" i="1"/>
  <c r="J171" i="1"/>
  <c r="Z171" i="1" s="1"/>
  <c r="I171" i="1"/>
  <c r="G171" i="1"/>
  <c r="A171" i="1"/>
  <c r="AE170" i="1"/>
  <c r="AD170" i="1"/>
  <c r="AC170" i="1"/>
  <c r="AB170" i="1"/>
  <c r="AA170" i="1"/>
  <c r="Y170" i="1"/>
  <c r="X170" i="1"/>
  <c r="R170" i="1"/>
  <c r="J170" i="1"/>
  <c r="Z170" i="1" s="1"/>
  <c r="I170" i="1"/>
  <c r="G170" i="1"/>
  <c r="A170" i="1"/>
  <c r="AE169" i="1"/>
  <c r="AD169" i="1"/>
  <c r="AC169" i="1"/>
  <c r="AB169" i="1"/>
  <c r="AA169" i="1"/>
  <c r="Y169" i="1"/>
  <c r="X169" i="1"/>
  <c r="R169" i="1"/>
  <c r="J169" i="1"/>
  <c r="Z169" i="1" s="1"/>
  <c r="I169" i="1"/>
  <c r="G169" i="1"/>
  <c r="A169" i="1"/>
  <c r="AE168" i="1"/>
  <c r="AD168" i="1"/>
  <c r="AC168" i="1"/>
  <c r="AB168" i="1"/>
  <c r="AA168" i="1"/>
  <c r="Y168" i="1"/>
  <c r="X168" i="1"/>
  <c r="R168" i="1"/>
  <c r="J168" i="1"/>
  <c r="Z168" i="1" s="1"/>
  <c r="I168" i="1"/>
  <c r="G168" i="1"/>
  <c r="A168" i="1"/>
  <c r="AE167" i="1"/>
  <c r="AD167" i="1"/>
  <c r="AC167" i="1"/>
  <c r="AB167" i="1"/>
  <c r="AA167" i="1"/>
  <c r="Y167" i="1"/>
  <c r="X167" i="1"/>
  <c r="R167" i="1"/>
  <c r="J167" i="1"/>
  <c r="Z167" i="1" s="1"/>
  <c r="I167" i="1"/>
  <c r="G167" i="1"/>
  <c r="A167" i="1"/>
  <c r="AE166" i="1"/>
  <c r="AD166" i="1"/>
  <c r="AC166" i="1"/>
  <c r="AB166" i="1"/>
  <c r="AA166" i="1"/>
  <c r="Y166" i="1"/>
  <c r="X166" i="1"/>
  <c r="R166" i="1"/>
  <c r="J166" i="1"/>
  <c r="Z166" i="1" s="1"/>
  <c r="I166" i="1"/>
  <c r="G166" i="1"/>
  <c r="A166" i="1"/>
  <c r="AE165" i="1"/>
  <c r="AD165" i="1"/>
  <c r="AC165" i="1"/>
  <c r="AB165" i="1"/>
  <c r="AA165" i="1"/>
  <c r="Y165" i="1"/>
  <c r="X165" i="1"/>
  <c r="R165" i="1"/>
  <c r="J165" i="1"/>
  <c r="Z165" i="1" s="1"/>
  <c r="I165" i="1"/>
  <c r="G165" i="1"/>
  <c r="A165" i="1"/>
  <c r="AE164" i="1"/>
  <c r="AD164" i="1"/>
  <c r="AC164" i="1"/>
  <c r="AB164" i="1"/>
  <c r="AA164" i="1"/>
  <c r="Y164" i="1"/>
  <c r="X164" i="1"/>
  <c r="R164" i="1"/>
  <c r="J164" i="1"/>
  <c r="Z164" i="1" s="1"/>
  <c r="I164" i="1"/>
  <c r="G164" i="1"/>
  <c r="A164" i="1"/>
  <c r="AE163" i="1"/>
  <c r="AD163" i="1"/>
  <c r="AC163" i="1"/>
  <c r="AB163" i="1"/>
  <c r="AA163" i="1"/>
  <c r="Y163" i="1"/>
  <c r="X163" i="1"/>
  <c r="R163" i="1"/>
  <c r="J163" i="1"/>
  <c r="Z163" i="1" s="1"/>
  <c r="I163" i="1"/>
  <c r="G163" i="1"/>
  <c r="A163" i="1"/>
  <c r="AE162" i="1"/>
  <c r="AD162" i="1"/>
  <c r="AC162" i="1"/>
  <c r="AB162" i="1"/>
  <c r="AA162" i="1"/>
  <c r="Y162" i="1"/>
  <c r="X162" i="1"/>
  <c r="R162" i="1"/>
  <c r="J162" i="1"/>
  <c r="Z162" i="1" s="1"/>
  <c r="I162" i="1"/>
  <c r="G162" i="1"/>
  <c r="A162" i="1"/>
  <c r="AE161" i="1"/>
  <c r="AD161" i="1"/>
  <c r="AC161" i="1"/>
  <c r="AB161" i="1"/>
  <c r="AA161" i="1"/>
  <c r="Y161" i="1"/>
  <c r="X161" i="1"/>
  <c r="R161" i="1"/>
  <c r="J161" i="1"/>
  <c r="Z161" i="1" s="1"/>
  <c r="I161" i="1"/>
  <c r="G161" i="1"/>
  <c r="A161" i="1"/>
  <c r="AE160" i="1"/>
  <c r="AD160" i="1"/>
  <c r="AC160" i="1"/>
  <c r="AB160" i="1"/>
  <c r="AA160" i="1"/>
  <c r="Y160" i="1"/>
  <c r="X160" i="1"/>
  <c r="R160" i="1"/>
  <c r="J160" i="1"/>
  <c r="Z160" i="1" s="1"/>
  <c r="I160" i="1"/>
  <c r="G160" i="1"/>
  <c r="A160" i="1"/>
  <c r="AE159" i="1"/>
  <c r="AD159" i="1"/>
  <c r="AC159" i="1"/>
  <c r="AB159" i="1"/>
  <c r="AA159" i="1"/>
  <c r="Y159" i="1"/>
  <c r="X159" i="1"/>
  <c r="R159" i="1"/>
  <c r="J159" i="1"/>
  <c r="Z159" i="1" s="1"/>
  <c r="I159" i="1"/>
  <c r="G159" i="1"/>
  <c r="A159" i="1"/>
  <c r="AE158" i="1"/>
  <c r="AD158" i="1"/>
  <c r="AC158" i="1"/>
  <c r="AB158" i="1"/>
  <c r="AA158" i="1"/>
  <c r="Y158" i="1"/>
  <c r="X158" i="1"/>
  <c r="R158" i="1"/>
  <c r="J158" i="1"/>
  <c r="Z158" i="1" s="1"/>
  <c r="I158" i="1"/>
  <c r="G158" i="1"/>
  <c r="A158" i="1"/>
  <c r="AE157" i="1"/>
  <c r="AD157" i="1"/>
  <c r="AC157" i="1"/>
  <c r="AB157" i="1"/>
  <c r="AA157" i="1"/>
  <c r="Y157" i="1"/>
  <c r="X157" i="1"/>
  <c r="R157" i="1"/>
  <c r="J157" i="1"/>
  <c r="Z157" i="1" s="1"/>
  <c r="I157" i="1"/>
  <c r="G157" i="1"/>
  <c r="A157" i="1"/>
  <c r="AE156" i="1"/>
  <c r="AD156" i="1"/>
  <c r="AC156" i="1"/>
  <c r="AB156" i="1"/>
  <c r="AA156" i="1"/>
  <c r="Y156" i="1"/>
  <c r="X156" i="1"/>
  <c r="R156" i="1"/>
  <c r="J156" i="1"/>
  <c r="Z156" i="1" s="1"/>
  <c r="I156" i="1"/>
  <c r="G156" i="1"/>
  <c r="A156" i="1"/>
  <c r="AE155" i="1"/>
  <c r="AD155" i="1"/>
  <c r="AC155" i="1"/>
  <c r="AB155" i="1"/>
  <c r="AA155" i="1"/>
  <c r="Y155" i="1"/>
  <c r="X155" i="1"/>
  <c r="R155" i="1"/>
  <c r="J155" i="1"/>
  <c r="Z155" i="1" s="1"/>
  <c r="I155" i="1"/>
  <c r="G155" i="1"/>
  <c r="A155" i="1"/>
  <c r="AE154" i="1"/>
  <c r="AD154" i="1"/>
  <c r="AC154" i="1"/>
  <c r="AB154" i="1"/>
  <c r="AA154" i="1"/>
  <c r="Y154" i="1"/>
  <c r="X154" i="1"/>
  <c r="R154" i="1"/>
  <c r="J154" i="1"/>
  <c r="Z154" i="1" s="1"/>
  <c r="I154" i="1"/>
  <c r="G154" i="1"/>
  <c r="A154" i="1"/>
  <c r="AE153" i="1"/>
  <c r="AD153" i="1"/>
  <c r="AC153" i="1"/>
  <c r="AB153" i="1"/>
  <c r="AA153" i="1"/>
  <c r="Y153" i="1"/>
  <c r="X153" i="1"/>
  <c r="R153" i="1"/>
  <c r="J153" i="1"/>
  <c r="Z153" i="1" s="1"/>
  <c r="I153" i="1"/>
  <c r="G153" i="1"/>
  <c r="A153" i="1"/>
  <c r="AE152" i="1"/>
  <c r="AD152" i="1"/>
  <c r="AC152" i="1"/>
  <c r="AB152" i="1"/>
  <c r="AA152" i="1"/>
  <c r="Y152" i="1"/>
  <c r="X152" i="1"/>
  <c r="R152" i="1"/>
  <c r="J152" i="1"/>
  <c r="Z152" i="1" s="1"/>
  <c r="I152" i="1"/>
  <c r="G152" i="1"/>
  <c r="A152" i="1"/>
  <c r="AE151" i="1"/>
  <c r="AD151" i="1"/>
  <c r="AC151" i="1"/>
  <c r="AB151" i="1"/>
  <c r="AA151" i="1"/>
  <c r="Y151" i="1"/>
  <c r="X151" i="1"/>
  <c r="R151" i="1"/>
  <c r="J151" i="1"/>
  <c r="Z151" i="1" s="1"/>
  <c r="I151" i="1"/>
  <c r="G151" i="1"/>
  <c r="A151" i="1"/>
  <c r="AE150" i="1"/>
  <c r="AD150" i="1"/>
  <c r="AC150" i="1"/>
  <c r="AB150" i="1"/>
  <c r="AA150" i="1"/>
  <c r="Y150" i="1"/>
  <c r="X150" i="1"/>
  <c r="R150" i="1"/>
  <c r="J150" i="1"/>
  <c r="Z150" i="1" s="1"/>
  <c r="I150" i="1"/>
  <c r="G150" i="1"/>
  <c r="A150" i="1"/>
  <c r="AE149" i="1"/>
  <c r="AD149" i="1"/>
  <c r="AC149" i="1"/>
  <c r="AB149" i="1"/>
  <c r="AA149" i="1"/>
  <c r="Y149" i="1"/>
  <c r="X149" i="1"/>
  <c r="R149" i="1"/>
  <c r="J149" i="1"/>
  <c r="Z149" i="1" s="1"/>
  <c r="I149" i="1"/>
  <c r="G149" i="1"/>
  <c r="A149" i="1"/>
  <c r="AE148" i="1"/>
  <c r="AD148" i="1"/>
  <c r="AC148" i="1"/>
  <c r="AB148" i="1"/>
  <c r="AA148" i="1"/>
  <c r="Y148" i="1"/>
  <c r="X148" i="1"/>
  <c r="R148" i="1"/>
  <c r="J148" i="1"/>
  <c r="Z148" i="1" s="1"/>
  <c r="I148" i="1"/>
  <c r="G148" i="1"/>
  <c r="A148" i="1"/>
  <c r="AE147" i="1"/>
  <c r="AD147" i="1"/>
  <c r="AC147" i="1"/>
  <c r="AB147" i="1"/>
  <c r="AA147" i="1"/>
  <c r="Y147" i="1"/>
  <c r="X147" i="1"/>
  <c r="R147" i="1"/>
  <c r="J147" i="1"/>
  <c r="Z147" i="1" s="1"/>
  <c r="I147" i="1"/>
  <c r="G147" i="1"/>
  <c r="A147" i="1"/>
  <c r="AE146" i="1"/>
  <c r="AD146" i="1"/>
  <c r="AC146" i="1"/>
  <c r="AB146" i="1"/>
  <c r="AA146" i="1"/>
  <c r="Y146" i="1"/>
  <c r="X146" i="1"/>
  <c r="R146" i="1"/>
  <c r="J146" i="1"/>
  <c r="Z146" i="1" s="1"/>
  <c r="I146" i="1"/>
  <c r="G146" i="1"/>
  <c r="A146" i="1"/>
  <c r="AE145" i="1"/>
  <c r="AD145" i="1"/>
  <c r="AC145" i="1"/>
  <c r="AB145" i="1"/>
  <c r="AA145" i="1"/>
  <c r="Y145" i="1"/>
  <c r="X145" i="1"/>
  <c r="R145" i="1"/>
  <c r="J145" i="1"/>
  <c r="Z145" i="1" s="1"/>
  <c r="I145" i="1"/>
  <c r="G145" i="1"/>
  <c r="A145" i="1"/>
  <c r="AE144" i="1"/>
  <c r="AD144" i="1"/>
  <c r="AC144" i="1"/>
  <c r="AB144" i="1"/>
  <c r="AA144" i="1"/>
  <c r="Y144" i="1"/>
  <c r="X144" i="1"/>
  <c r="R144" i="1"/>
  <c r="J144" i="1"/>
  <c r="Z144" i="1" s="1"/>
  <c r="I144" i="1"/>
  <c r="G144" i="1"/>
  <c r="A144" i="1"/>
  <c r="AE143" i="1"/>
  <c r="AD143" i="1"/>
  <c r="AC143" i="1"/>
  <c r="AB143" i="1"/>
  <c r="AA143" i="1"/>
  <c r="Y143" i="1"/>
  <c r="X143" i="1"/>
  <c r="R143" i="1"/>
  <c r="J143" i="1"/>
  <c r="Z143" i="1" s="1"/>
  <c r="I143" i="1"/>
  <c r="G143" i="1"/>
  <c r="A143" i="1"/>
  <c r="AE142" i="1"/>
  <c r="AD142" i="1"/>
  <c r="AC142" i="1"/>
  <c r="AB142" i="1"/>
  <c r="AA142" i="1"/>
  <c r="Y142" i="1"/>
  <c r="X142" i="1"/>
  <c r="R142" i="1"/>
  <c r="J142" i="1"/>
  <c r="Z142" i="1" s="1"/>
  <c r="I142" i="1"/>
  <c r="G142" i="1"/>
  <c r="A142" i="1"/>
  <c r="AE141" i="1"/>
  <c r="AD141" i="1"/>
  <c r="AC141" i="1"/>
  <c r="AB141" i="1"/>
  <c r="AA141" i="1"/>
  <c r="Y141" i="1"/>
  <c r="X141" i="1"/>
  <c r="R141" i="1"/>
  <c r="J141" i="1"/>
  <c r="Z141" i="1" s="1"/>
  <c r="I141" i="1"/>
  <c r="G141" i="1"/>
  <c r="A141" i="1"/>
  <c r="AE140" i="1"/>
  <c r="AD140" i="1"/>
  <c r="AC140" i="1"/>
  <c r="AB140" i="1"/>
  <c r="AA140" i="1"/>
  <c r="Y140" i="1"/>
  <c r="X140" i="1"/>
  <c r="R140" i="1"/>
  <c r="J140" i="1"/>
  <c r="Z140" i="1" s="1"/>
  <c r="I140" i="1"/>
  <c r="G140" i="1"/>
  <c r="A140" i="1"/>
  <c r="AE139" i="1"/>
  <c r="AD139" i="1"/>
  <c r="AC139" i="1"/>
  <c r="AB139" i="1"/>
  <c r="AA139" i="1"/>
  <c r="Y139" i="1"/>
  <c r="X139" i="1"/>
  <c r="R139" i="1"/>
  <c r="J139" i="1"/>
  <c r="Z139" i="1" s="1"/>
  <c r="I139" i="1"/>
  <c r="G139" i="1"/>
  <c r="A139" i="1"/>
  <c r="AE138" i="1"/>
  <c r="AD138" i="1"/>
  <c r="AC138" i="1"/>
  <c r="AB138" i="1"/>
  <c r="AA138" i="1"/>
  <c r="Y138" i="1"/>
  <c r="X138" i="1"/>
  <c r="R138" i="1"/>
  <c r="J138" i="1"/>
  <c r="Z138" i="1" s="1"/>
  <c r="I138" i="1"/>
  <c r="G138" i="1"/>
  <c r="A138" i="1"/>
  <c r="AE137" i="1"/>
  <c r="AD137" i="1"/>
  <c r="AC137" i="1"/>
  <c r="AB137" i="1"/>
  <c r="AA137" i="1"/>
  <c r="Y137" i="1"/>
  <c r="X137" i="1"/>
  <c r="R137" i="1"/>
  <c r="J137" i="1"/>
  <c r="Z137" i="1" s="1"/>
  <c r="I137" i="1"/>
  <c r="G137" i="1"/>
  <c r="A137" i="1"/>
  <c r="AE136" i="1"/>
  <c r="AD136" i="1"/>
  <c r="AC136" i="1"/>
  <c r="AB136" i="1"/>
  <c r="AA136" i="1"/>
  <c r="Y136" i="1"/>
  <c r="X136" i="1"/>
  <c r="R136" i="1"/>
  <c r="J136" i="1"/>
  <c r="Z136" i="1" s="1"/>
  <c r="I136" i="1"/>
  <c r="G136" i="1"/>
  <c r="A136" i="1"/>
  <c r="AE135" i="1"/>
  <c r="AD135" i="1"/>
  <c r="AC135" i="1"/>
  <c r="AB135" i="1"/>
  <c r="AA135" i="1"/>
  <c r="Y135" i="1"/>
  <c r="X135" i="1"/>
  <c r="R135" i="1"/>
  <c r="J135" i="1"/>
  <c r="Z135" i="1" s="1"/>
  <c r="I135" i="1"/>
  <c r="G135" i="1"/>
  <c r="A135" i="1"/>
  <c r="AE134" i="1"/>
  <c r="AD134" i="1"/>
  <c r="AC134" i="1"/>
  <c r="AB134" i="1"/>
  <c r="AA134" i="1"/>
  <c r="Y134" i="1"/>
  <c r="X134" i="1"/>
  <c r="R134" i="1"/>
  <c r="J134" i="1"/>
  <c r="Z134" i="1" s="1"/>
  <c r="I134" i="1"/>
  <c r="G134" i="1"/>
  <c r="A134" i="1"/>
  <c r="AE133" i="1"/>
  <c r="AD133" i="1"/>
  <c r="AC133" i="1"/>
  <c r="AB133" i="1"/>
  <c r="AA133" i="1"/>
  <c r="Y133" i="1"/>
  <c r="X133" i="1"/>
  <c r="R133" i="1"/>
  <c r="J133" i="1"/>
  <c r="Z133" i="1" s="1"/>
  <c r="I133" i="1"/>
  <c r="G133" i="1"/>
  <c r="A133" i="1"/>
  <c r="AE132" i="1"/>
  <c r="AD132" i="1"/>
  <c r="AC132" i="1"/>
  <c r="AB132" i="1"/>
  <c r="AA132" i="1"/>
  <c r="Y132" i="1"/>
  <c r="X132" i="1"/>
  <c r="R132" i="1"/>
  <c r="J132" i="1"/>
  <c r="Z132" i="1" s="1"/>
  <c r="I132" i="1"/>
  <c r="G132" i="1"/>
  <c r="A132" i="1"/>
  <c r="AE131" i="1"/>
  <c r="AD131" i="1"/>
  <c r="AC131" i="1"/>
  <c r="AB131" i="1"/>
  <c r="AA131" i="1"/>
  <c r="Y131" i="1"/>
  <c r="X131" i="1"/>
  <c r="R131" i="1"/>
  <c r="J131" i="1"/>
  <c r="Z131" i="1" s="1"/>
  <c r="I131" i="1"/>
  <c r="G131" i="1"/>
  <c r="A131" i="1"/>
  <c r="AE130" i="1"/>
  <c r="AD130" i="1"/>
  <c r="AC130" i="1"/>
  <c r="AB130" i="1"/>
  <c r="AA130" i="1"/>
  <c r="Y130" i="1"/>
  <c r="X130" i="1"/>
  <c r="R130" i="1"/>
  <c r="J130" i="1"/>
  <c r="Z130" i="1" s="1"/>
  <c r="I130" i="1"/>
  <c r="G130" i="1"/>
  <c r="A130" i="1"/>
  <c r="AE129" i="1"/>
  <c r="AD129" i="1"/>
  <c r="AC129" i="1"/>
  <c r="AB129" i="1"/>
  <c r="AA129" i="1"/>
  <c r="Y129" i="1"/>
  <c r="X129" i="1"/>
  <c r="R129" i="1"/>
  <c r="J129" i="1"/>
  <c r="Z129" i="1" s="1"/>
  <c r="I129" i="1"/>
  <c r="G129" i="1"/>
  <c r="A129" i="1"/>
  <c r="AE128" i="1"/>
  <c r="AD128" i="1"/>
  <c r="AC128" i="1"/>
  <c r="AB128" i="1"/>
  <c r="AA128" i="1"/>
  <c r="Y128" i="1"/>
  <c r="X128" i="1"/>
  <c r="R128" i="1"/>
  <c r="J128" i="1"/>
  <c r="Z128" i="1" s="1"/>
  <c r="I128" i="1"/>
  <c r="G128" i="1"/>
  <c r="A128" i="1"/>
  <c r="AE127" i="1"/>
  <c r="AD127" i="1"/>
  <c r="AC127" i="1"/>
  <c r="AB127" i="1"/>
  <c r="AA127" i="1"/>
  <c r="Y127" i="1"/>
  <c r="X127" i="1"/>
  <c r="R127" i="1"/>
  <c r="J127" i="1"/>
  <c r="Z127" i="1" s="1"/>
  <c r="I127" i="1"/>
  <c r="G127" i="1"/>
  <c r="A127" i="1"/>
  <c r="AE126" i="1"/>
  <c r="AD126" i="1"/>
  <c r="AC126" i="1"/>
  <c r="AB126" i="1"/>
  <c r="AA126" i="1"/>
  <c r="Y126" i="1"/>
  <c r="X126" i="1"/>
  <c r="R126" i="1"/>
  <c r="J126" i="1"/>
  <c r="Z126" i="1" s="1"/>
  <c r="I126" i="1"/>
  <c r="G126" i="1"/>
  <c r="A126" i="1"/>
  <c r="AE125" i="1"/>
  <c r="AD125" i="1"/>
  <c r="AC125" i="1"/>
  <c r="AB125" i="1"/>
  <c r="AA125" i="1"/>
  <c r="Y125" i="1"/>
  <c r="X125" i="1"/>
  <c r="R125" i="1"/>
  <c r="J125" i="1"/>
  <c r="Z125" i="1" s="1"/>
  <c r="I125" i="1"/>
  <c r="G125" i="1"/>
  <c r="A125" i="1"/>
  <c r="AE124" i="1"/>
  <c r="AD124" i="1"/>
  <c r="AC124" i="1"/>
  <c r="AB124" i="1"/>
  <c r="AA124" i="1"/>
  <c r="Y124" i="1"/>
  <c r="X124" i="1"/>
  <c r="R124" i="1"/>
  <c r="J124" i="1"/>
  <c r="Z124" i="1" s="1"/>
  <c r="I124" i="1"/>
  <c r="G124" i="1"/>
  <c r="A124" i="1"/>
  <c r="AE123" i="1"/>
  <c r="AD123" i="1"/>
  <c r="AC123" i="1"/>
  <c r="AB123" i="1"/>
  <c r="AA123" i="1"/>
  <c r="Y123" i="1"/>
  <c r="X123" i="1"/>
  <c r="R123" i="1"/>
  <c r="J123" i="1"/>
  <c r="Z123" i="1" s="1"/>
  <c r="I123" i="1"/>
  <c r="G123" i="1"/>
  <c r="A123" i="1"/>
  <c r="AE122" i="1"/>
  <c r="AD122" i="1"/>
  <c r="AC122" i="1"/>
  <c r="AB122" i="1"/>
  <c r="AA122" i="1"/>
  <c r="Y122" i="1"/>
  <c r="X122" i="1"/>
  <c r="R122" i="1"/>
  <c r="J122" i="1"/>
  <c r="Z122" i="1" s="1"/>
  <c r="I122" i="1"/>
  <c r="G122" i="1"/>
  <c r="A122" i="1"/>
  <c r="AE121" i="1"/>
  <c r="AD121" i="1"/>
  <c r="AC121" i="1"/>
  <c r="AB121" i="1"/>
  <c r="AA121" i="1"/>
  <c r="Y121" i="1"/>
  <c r="X121" i="1"/>
  <c r="R121" i="1"/>
  <c r="J121" i="1"/>
  <c r="Z121" i="1" s="1"/>
  <c r="I121" i="1"/>
  <c r="G121" i="1"/>
  <c r="A121" i="1"/>
  <c r="AE120" i="1"/>
  <c r="AD120" i="1"/>
  <c r="AC120" i="1"/>
  <c r="AB120" i="1"/>
  <c r="AA120" i="1"/>
  <c r="Y120" i="1"/>
  <c r="X120" i="1"/>
  <c r="R120" i="1"/>
  <c r="J120" i="1"/>
  <c r="Z120" i="1" s="1"/>
  <c r="I120" i="1"/>
  <c r="G120" i="1"/>
  <c r="A120" i="1"/>
  <c r="AE119" i="1"/>
  <c r="AD119" i="1"/>
  <c r="AC119" i="1"/>
  <c r="AB119" i="1"/>
  <c r="AA119" i="1"/>
  <c r="Y119" i="1"/>
  <c r="X119" i="1"/>
  <c r="R119" i="1"/>
  <c r="J119" i="1"/>
  <c r="Z119" i="1" s="1"/>
  <c r="I119" i="1"/>
  <c r="G119" i="1"/>
  <c r="A119" i="1"/>
  <c r="AE118" i="1"/>
  <c r="AD118" i="1"/>
  <c r="AC118" i="1"/>
  <c r="AB118" i="1"/>
  <c r="AA118" i="1"/>
  <c r="Y118" i="1"/>
  <c r="X118" i="1"/>
  <c r="R118" i="1"/>
  <c r="J118" i="1"/>
  <c r="Z118" i="1" s="1"/>
  <c r="I118" i="1"/>
  <c r="G118" i="1"/>
  <c r="A118" i="1"/>
  <c r="AE117" i="1"/>
  <c r="AD117" i="1"/>
  <c r="AC117" i="1"/>
  <c r="AB117" i="1"/>
  <c r="AA117" i="1"/>
  <c r="Y117" i="1"/>
  <c r="X117" i="1"/>
  <c r="R117" i="1"/>
  <c r="J117" i="1"/>
  <c r="Z117" i="1" s="1"/>
  <c r="I117" i="1"/>
  <c r="G117" i="1"/>
  <c r="A117" i="1"/>
  <c r="AE116" i="1"/>
  <c r="AD116" i="1"/>
  <c r="AC116" i="1"/>
  <c r="AB116" i="1"/>
  <c r="AA116" i="1"/>
  <c r="Y116" i="1"/>
  <c r="X116" i="1"/>
  <c r="R116" i="1"/>
  <c r="J116" i="1"/>
  <c r="Z116" i="1" s="1"/>
  <c r="I116" i="1"/>
  <c r="G116" i="1"/>
  <c r="A116" i="1"/>
  <c r="AE115" i="1"/>
  <c r="AD115" i="1"/>
  <c r="AC115" i="1"/>
  <c r="AB115" i="1"/>
  <c r="AA115" i="1"/>
  <c r="Y115" i="1"/>
  <c r="X115" i="1"/>
  <c r="R115" i="1"/>
  <c r="J115" i="1"/>
  <c r="Z115" i="1" s="1"/>
  <c r="I115" i="1"/>
  <c r="G115" i="1"/>
  <c r="A115" i="1"/>
  <c r="AE114" i="1"/>
  <c r="AD114" i="1"/>
  <c r="AC114" i="1"/>
  <c r="AB114" i="1"/>
  <c r="AA114" i="1"/>
  <c r="Y114" i="1"/>
  <c r="X114" i="1"/>
  <c r="R114" i="1"/>
  <c r="J114" i="1"/>
  <c r="Z114" i="1" s="1"/>
  <c r="I114" i="1"/>
  <c r="G114" i="1"/>
  <c r="A114" i="1"/>
  <c r="AE113" i="1"/>
  <c r="AD113" i="1"/>
  <c r="AC113" i="1"/>
  <c r="AB113" i="1"/>
  <c r="AA113" i="1"/>
  <c r="Y113" i="1"/>
  <c r="X113" i="1"/>
  <c r="R113" i="1"/>
  <c r="J113" i="1"/>
  <c r="Z113" i="1" s="1"/>
  <c r="I113" i="1"/>
  <c r="G113" i="1"/>
  <c r="A113" i="1"/>
  <c r="AE112" i="1"/>
  <c r="AD112" i="1"/>
  <c r="AC112" i="1"/>
  <c r="AB112" i="1"/>
  <c r="AA112" i="1"/>
  <c r="Y112" i="1"/>
  <c r="X112" i="1"/>
  <c r="R112" i="1"/>
  <c r="J112" i="1"/>
  <c r="Z112" i="1" s="1"/>
  <c r="I112" i="1"/>
  <c r="G112" i="1"/>
  <c r="A112" i="1"/>
  <c r="AE111" i="1"/>
  <c r="AD111" i="1"/>
  <c r="AC111" i="1"/>
  <c r="AB111" i="1"/>
  <c r="AA111" i="1"/>
  <c r="Y111" i="1"/>
  <c r="X111" i="1"/>
  <c r="R111" i="1"/>
  <c r="J111" i="1"/>
  <c r="Z111" i="1" s="1"/>
  <c r="I111" i="1"/>
  <c r="G111" i="1"/>
  <c r="A111" i="1"/>
  <c r="AE110" i="1"/>
  <c r="AD110" i="1"/>
  <c r="AC110" i="1"/>
  <c r="AB110" i="1"/>
  <c r="AA110" i="1"/>
  <c r="Y110" i="1"/>
  <c r="X110" i="1"/>
  <c r="R110" i="1"/>
  <c r="J110" i="1"/>
  <c r="Z110" i="1" s="1"/>
  <c r="I110" i="1"/>
  <c r="G110" i="1"/>
  <c r="A110" i="1"/>
  <c r="AE109" i="1"/>
  <c r="AD109" i="1"/>
  <c r="AC109" i="1"/>
  <c r="AB109" i="1"/>
  <c r="AA109" i="1"/>
  <c r="Y109" i="1"/>
  <c r="X109" i="1"/>
  <c r="R109" i="1"/>
  <c r="J109" i="1"/>
  <c r="Z109" i="1" s="1"/>
  <c r="I109" i="1"/>
  <c r="G109" i="1"/>
  <c r="A109" i="1"/>
  <c r="AE108" i="1"/>
  <c r="AD108" i="1"/>
  <c r="AC108" i="1"/>
  <c r="AB108" i="1"/>
  <c r="AA108" i="1"/>
  <c r="Y108" i="1"/>
  <c r="X108" i="1"/>
  <c r="R108" i="1"/>
  <c r="J108" i="1"/>
  <c r="Z108" i="1" s="1"/>
  <c r="I108" i="1"/>
  <c r="G108" i="1"/>
  <c r="A108" i="1"/>
  <c r="AE107" i="1"/>
  <c r="AD107" i="1"/>
  <c r="AC107" i="1"/>
  <c r="AB107" i="1"/>
  <c r="AA107" i="1"/>
  <c r="Y107" i="1"/>
  <c r="X107" i="1"/>
  <c r="R107" i="1"/>
  <c r="J107" i="1"/>
  <c r="Z107" i="1" s="1"/>
  <c r="I107" i="1"/>
  <c r="G107" i="1"/>
  <c r="A107" i="1"/>
  <c r="AE106" i="1"/>
  <c r="AD106" i="1"/>
  <c r="AC106" i="1"/>
  <c r="AB106" i="1"/>
  <c r="AA106" i="1"/>
  <c r="Y106" i="1"/>
  <c r="X106" i="1"/>
  <c r="R106" i="1"/>
  <c r="J106" i="1"/>
  <c r="Z106" i="1" s="1"/>
  <c r="I106" i="1"/>
  <c r="G106" i="1"/>
  <c r="A106" i="1"/>
  <c r="AE105" i="1"/>
  <c r="AD105" i="1"/>
  <c r="AC105" i="1"/>
  <c r="AB105" i="1"/>
  <c r="AA105" i="1"/>
  <c r="Y105" i="1"/>
  <c r="X105" i="1"/>
  <c r="R105" i="1"/>
  <c r="J105" i="1"/>
  <c r="Z105" i="1" s="1"/>
  <c r="I105" i="1"/>
  <c r="G105" i="1"/>
  <c r="A105" i="1"/>
  <c r="AE104" i="1"/>
  <c r="AD104" i="1"/>
  <c r="AC104" i="1"/>
  <c r="AB104" i="1"/>
  <c r="AA104" i="1"/>
  <c r="Y104" i="1"/>
  <c r="X104" i="1"/>
  <c r="R104" i="1"/>
  <c r="J104" i="1"/>
  <c r="Z104" i="1" s="1"/>
  <c r="I104" i="1"/>
  <c r="G104" i="1"/>
  <c r="A104" i="1"/>
  <c r="AE103" i="1"/>
  <c r="AD103" i="1"/>
  <c r="AC103" i="1"/>
  <c r="AB103" i="1"/>
  <c r="AA103" i="1"/>
  <c r="Y103" i="1"/>
  <c r="X103" i="1"/>
  <c r="R103" i="1"/>
  <c r="J103" i="1"/>
  <c r="Z103" i="1" s="1"/>
  <c r="I103" i="1"/>
  <c r="G103" i="1"/>
  <c r="A103" i="1"/>
  <c r="AE102" i="1"/>
  <c r="AD102" i="1"/>
  <c r="AC102" i="1"/>
  <c r="AB102" i="1"/>
  <c r="AA102" i="1"/>
  <c r="Y102" i="1"/>
  <c r="X102" i="1"/>
  <c r="R102" i="1"/>
  <c r="J102" i="1"/>
  <c r="Z102" i="1" s="1"/>
  <c r="I102" i="1"/>
  <c r="G102" i="1"/>
  <c r="A102" i="1"/>
  <c r="AE101" i="1"/>
  <c r="AD101" i="1"/>
  <c r="AC101" i="1"/>
  <c r="AB101" i="1"/>
  <c r="AA101" i="1"/>
  <c r="Y101" i="1"/>
  <c r="X101" i="1"/>
  <c r="R101" i="1"/>
  <c r="J101" i="1"/>
  <c r="Z101" i="1" s="1"/>
  <c r="I101" i="1"/>
  <c r="G101" i="1"/>
  <c r="A101" i="1"/>
  <c r="AE100" i="1"/>
  <c r="AD100" i="1"/>
  <c r="AC100" i="1"/>
  <c r="AB100" i="1"/>
  <c r="AA100" i="1"/>
  <c r="Y100" i="1"/>
  <c r="X100" i="1"/>
  <c r="R100" i="1"/>
  <c r="J100" i="1"/>
  <c r="Z100" i="1" s="1"/>
  <c r="I100" i="1"/>
  <c r="G100" i="1"/>
  <c r="A100" i="1"/>
  <c r="AE99" i="1"/>
  <c r="AD99" i="1"/>
  <c r="AC99" i="1"/>
  <c r="AB99" i="1"/>
  <c r="AA99" i="1"/>
  <c r="Y99" i="1"/>
  <c r="X99" i="1"/>
  <c r="R99" i="1"/>
  <c r="J99" i="1"/>
  <c r="Z99" i="1" s="1"/>
  <c r="I99" i="1"/>
  <c r="G99" i="1"/>
  <c r="A99" i="1"/>
  <c r="AE98" i="1"/>
  <c r="AD98" i="1"/>
  <c r="AC98" i="1"/>
  <c r="AB98" i="1"/>
  <c r="AA98" i="1"/>
  <c r="Y98" i="1"/>
  <c r="X98" i="1"/>
  <c r="R98" i="1"/>
  <c r="J98" i="1"/>
  <c r="Z98" i="1" s="1"/>
  <c r="I98" i="1"/>
  <c r="G98" i="1"/>
  <c r="A98" i="1"/>
  <c r="AE97" i="1"/>
  <c r="AD97" i="1"/>
  <c r="AC97" i="1"/>
  <c r="AB97" i="1"/>
  <c r="AA97" i="1"/>
  <c r="Y97" i="1"/>
  <c r="X97" i="1"/>
  <c r="R97" i="1"/>
  <c r="J97" i="1"/>
  <c r="Z97" i="1" s="1"/>
  <c r="I97" i="1"/>
  <c r="G97" i="1"/>
  <c r="A97" i="1"/>
  <c r="AE96" i="1"/>
  <c r="AD96" i="1"/>
  <c r="AC96" i="1"/>
  <c r="AB96" i="1"/>
  <c r="AA96" i="1"/>
  <c r="Y96" i="1"/>
  <c r="X96" i="1"/>
  <c r="R96" i="1"/>
  <c r="J96" i="1"/>
  <c r="Z96" i="1" s="1"/>
  <c r="I96" i="1"/>
  <c r="G96" i="1"/>
  <c r="A96" i="1"/>
  <c r="AE95" i="1"/>
  <c r="AD95" i="1"/>
  <c r="AC95" i="1"/>
  <c r="AB95" i="1"/>
  <c r="AA95" i="1"/>
  <c r="Y95" i="1"/>
  <c r="X95" i="1"/>
  <c r="R95" i="1"/>
  <c r="J95" i="1"/>
  <c r="Z95" i="1" s="1"/>
  <c r="I95" i="1"/>
  <c r="G95" i="1"/>
  <c r="A95" i="1"/>
  <c r="AE94" i="1"/>
  <c r="AD94" i="1"/>
  <c r="AC94" i="1"/>
  <c r="AB94" i="1"/>
  <c r="AA94" i="1"/>
  <c r="Y94" i="1"/>
  <c r="X94" i="1"/>
  <c r="R94" i="1"/>
  <c r="J94" i="1"/>
  <c r="Z94" i="1" s="1"/>
  <c r="I94" i="1"/>
  <c r="G94" i="1"/>
  <c r="A94" i="1"/>
  <c r="AE93" i="1"/>
  <c r="AD93" i="1"/>
  <c r="AC93" i="1"/>
  <c r="AB93" i="1"/>
  <c r="AA93" i="1"/>
  <c r="Y93" i="1"/>
  <c r="X93" i="1"/>
  <c r="R93" i="1"/>
  <c r="J93" i="1"/>
  <c r="Z93" i="1" s="1"/>
  <c r="I93" i="1"/>
  <c r="G93" i="1"/>
  <c r="A93" i="1"/>
  <c r="AE92" i="1"/>
  <c r="AD92" i="1"/>
  <c r="AC92" i="1"/>
  <c r="AB92" i="1"/>
  <c r="AA92" i="1"/>
  <c r="Y92" i="1"/>
  <c r="X92" i="1"/>
  <c r="R92" i="1"/>
  <c r="J92" i="1"/>
  <c r="Z92" i="1" s="1"/>
  <c r="I92" i="1"/>
  <c r="G92" i="1"/>
  <c r="A92" i="1"/>
  <c r="AE91" i="1"/>
  <c r="AD91" i="1"/>
  <c r="AC91" i="1"/>
  <c r="AB91" i="1"/>
  <c r="AA91" i="1"/>
  <c r="Y91" i="1"/>
  <c r="X91" i="1"/>
  <c r="R91" i="1"/>
  <c r="J91" i="1"/>
  <c r="Z91" i="1" s="1"/>
  <c r="I91" i="1"/>
  <c r="G91" i="1"/>
  <c r="A91" i="1"/>
  <c r="AE90" i="1"/>
  <c r="AD90" i="1"/>
  <c r="AC90" i="1"/>
  <c r="AB90" i="1"/>
  <c r="AA90" i="1"/>
  <c r="Y90" i="1"/>
  <c r="X90" i="1"/>
  <c r="R90" i="1"/>
  <c r="J90" i="1"/>
  <c r="Z90" i="1" s="1"/>
  <c r="I90" i="1"/>
  <c r="G90" i="1"/>
  <c r="A90" i="1"/>
  <c r="AE89" i="1"/>
  <c r="AD89" i="1"/>
  <c r="AC89" i="1"/>
  <c r="AB89" i="1"/>
  <c r="AA89" i="1"/>
  <c r="Y89" i="1"/>
  <c r="X89" i="1"/>
  <c r="R89" i="1"/>
  <c r="J89" i="1"/>
  <c r="Z89" i="1" s="1"/>
  <c r="I89" i="1"/>
  <c r="G89" i="1"/>
  <c r="A89" i="1"/>
  <c r="AE88" i="1"/>
  <c r="AD88" i="1"/>
  <c r="AC88" i="1"/>
  <c r="AB88" i="1"/>
  <c r="AA88" i="1"/>
  <c r="Y88" i="1"/>
  <c r="X88" i="1"/>
  <c r="R88" i="1"/>
  <c r="J88" i="1"/>
  <c r="Z88" i="1" s="1"/>
  <c r="I88" i="1"/>
  <c r="G88" i="1"/>
  <c r="A88" i="1"/>
  <c r="AE87" i="1"/>
  <c r="AD87" i="1"/>
  <c r="AC87" i="1"/>
  <c r="AB87" i="1"/>
  <c r="AA87" i="1"/>
  <c r="Y87" i="1"/>
  <c r="X87" i="1"/>
  <c r="R87" i="1"/>
  <c r="J87" i="1"/>
  <c r="Z87" i="1" s="1"/>
  <c r="I87" i="1"/>
  <c r="G87" i="1"/>
  <c r="A87" i="1"/>
  <c r="AE86" i="1"/>
  <c r="AD86" i="1"/>
  <c r="AC86" i="1"/>
  <c r="AB86" i="1"/>
  <c r="AA86" i="1"/>
  <c r="Y86" i="1"/>
  <c r="X86" i="1"/>
  <c r="R86" i="1"/>
  <c r="J86" i="1"/>
  <c r="Z86" i="1" s="1"/>
  <c r="I86" i="1"/>
  <c r="G86" i="1"/>
  <c r="A86" i="1"/>
  <c r="AE85" i="1"/>
  <c r="AD85" i="1"/>
  <c r="AC85" i="1"/>
  <c r="AB85" i="1"/>
  <c r="AA85" i="1"/>
  <c r="Y85" i="1"/>
  <c r="X85" i="1"/>
  <c r="R85" i="1"/>
  <c r="J85" i="1"/>
  <c r="Z85" i="1" s="1"/>
  <c r="I85" i="1"/>
  <c r="G85" i="1"/>
  <c r="A85" i="1"/>
  <c r="AE84" i="1"/>
  <c r="AD84" i="1"/>
  <c r="AC84" i="1"/>
  <c r="AB84" i="1"/>
  <c r="AA84" i="1"/>
  <c r="Y84" i="1"/>
  <c r="X84" i="1"/>
  <c r="R84" i="1"/>
  <c r="J84" i="1"/>
  <c r="Z84" i="1" s="1"/>
  <c r="I84" i="1"/>
  <c r="G84" i="1"/>
  <c r="A84" i="1"/>
  <c r="AE83" i="1"/>
  <c r="AD83" i="1"/>
  <c r="AC83" i="1"/>
  <c r="AB83" i="1"/>
  <c r="AA83" i="1"/>
  <c r="Y83" i="1"/>
  <c r="X83" i="1"/>
  <c r="R83" i="1"/>
  <c r="J83" i="1"/>
  <c r="Z83" i="1" s="1"/>
  <c r="I83" i="1"/>
  <c r="G83" i="1"/>
  <c r="A83" i="1"/>
  <c r="AE82" i="1"/>
  <c r="AD82" i="1"/>
  <c r="AC82" i="1"/>
  <c r="AB82" i="1"/>
  <c r="AA82" i="1"/>
  <c r="Y82" i="1"/>
  <c r="X82" i="1"/>
  <c r="R82" i="1"/>
  <c r="J82" i="1"/>
  <c r="Z82" i="1" s="1"/>
  <c r="I82" i="1"/>
  <c r="G82" i="1"/>
  <c r="A82" i="1"/>
  <c r="AE81" i="1"/>
  <c r="AD81" i="1"/>
  <c r="AC81" i="1"/>
  <c r="AB81" i="1"/>
  <c r="AA81" i="1"/>
  <c r="Y81" i="1"/>
  <c r="X81" i="1"/>
  <c r="R81" i="1"/>
  <c r="J81" i="1"/>
  <c r="Z81" i="1" s="1"/>
  <c r="I81" i="1"/>
  <c r="G81" i="1"/>
  <c r="A81" i="1"/>
  <c r="AE80" i="1"/>
  <c r="AD80" i="1"/>
  <c r="AC80" i="1"/>
  <c r="AB80" i="1"/>
  <c r="AA80" i="1"/>
  <c r="Y80" i="1"/>
  <c r="X80" i="1"/>
  <c r="R80" i="1"/>
  <c r="J80" i="1"/>
  <c r="Z80" i="1" s="1"/>
  <c r="I80" i="1"/>
  <c r="G80" i="1"/>
  <c r="A80" i="1"/>
  <c r="AE79" i="1"/>
  <c r="AD79" i="1"/>
  <c r="AC79" i="1"/>
  <c r="AB79" i="1"/>
  <c r="AA79" i="1"/>
  <c r="Y79" i="1"/>
  <c r="X79" i="1"/>
  <c r="R79" i="1"/>
  <c r="J79" i="1"/>
  <c r="Z79" i="1" s="1"/>
  <c r="I79" i="1"/>
  <c r="G79" i="1"/>
  <c r="A79" i="1"/>
  <c r="AE78" i="1"/>
  <c r="AD78" i="1"/>
  <c r="AC78" i="1"/>
  <c r="AB78" i="1"/>
  <c r="AA78" i="1"/>
  <c r="Y78" i="1"/>
  <c r="X78" i="1"/>
  <c r="R78" i="1"/>
  <c r="J78" i="1"/>
  <c r="Z78" i="1" s="1"/>
  <c r="I78" i="1"/>
  <c r="G78" i="1"/>
  <c r="A78" i="1"/>
  <c r="AE77" i="1"/>
  <c r="AD77" i="1"/>
  <c r="AC77" i="1"/>
  <c r="AB77" i="1"/>
  <c r="AA77" i="1"/>
  <c r="Y77" i="1"/>
  <c r="X77" i="1"/>
  <c r="R77" i="1"/>
  <c r="J77" i="1"/>
  <c r="Z77" i="1" s="1"/>
  <c r="I77" i="1"/>
  <c r="G77" i="1"/>
  <c r="A77" i="1"/>
  <c r="AE76" i="1"/>
  <c r="AD76" i="1"/>
  <c r="AC76" i="1"/>
  <c r="AB76" i="1"/>
  <c r="AA76" i="1"/>
  <c r="Y76" i="1"/>
  <c r="X76" i="1"/>
  <c r="R76" i="1"/>
  <c r="J76" i="1"/>
  <c r="Z76" i="1" s="1"/>
  <c r="I76" i="1"/>
  <c r="G76" i="1"/>
  <c r="A76" i="1"/>
  <c r="AE75" i="1"/>
  <c r="AD75" i="1"/>
  <c r="AC75" i="1"/>
  <c r="AB75" i="1"/>
  <c r="AA75" i="1"/>
  <c r="Y75" i="1"/>
  <c r="X75" i="1"/>
  <c r="R75" i="1"/>
  <c r="J75" i="1"/>
  <c r="Z75" i="1" s="1"/>
  <c r="I75" i="1"/>
  <c r="G75" i="1"/>
  <c r="A75" i="1"/>
  <c r="AE74" i="1"/>
  <c r="AD74" i="1"/>
  <c r="AC74" i="1"/>
  <c r="AB74" i="1"/>
  <c r="AA74" i="1"/>
  <c r="Y74" i="1"/>
  <c r="X74" i="1"/>
  <c r="R74" i="1"/>
  <c r="J74" i="1"/>
  <c r="Z74" i="1" s="1"/>
  <c r="I74" i="1"/>
  <c r="G74" i="1"/>
  <c r="A74" i="1"/>
  <c r="AE73" i="1"/>
  <c r="AD73" i="1"/>
  <c r="AC73" i="1"/>
  <c r="AB73" i="1"/>
  <c r="AA73" i="1"/>
  <c r="Y73" i="1"/>
  <c r="X73" i="1"/>
  <c r="R73" i="1"/>
  <c r="J73" i="1"/>
  <c r="Z73" i="1" s="1"/>
  <c r="I73" i="1"/>
  <c r="G73" i="1"/>
  <c r="A73" i="1"/>
  <c r="AE72" i="1"/>
  <c r="AD72" i="1"/>
  <c r="AC72" i="1"/>
  <c r="AB72" i="1"/>
  <c r="AA72" i="1"/>
  <c r="Y72" i="1"/>
  <c r="X72" i="1"/>
  <c r="R72" i="1"/>
  <c r="J72" i="1"/>
  <c r="Z72" i="1" s="1"/>
  <c r="I72" i="1"/>
  <c r="G72" i="1"/>
  <c r="A72" i="1"/>
  <c r="AE71" i="1"/>
  <c r="AD71" i="1"/>
  <c r="AC71" i="1"/>
  <c r="AB71" i="1"/>
  <c r="AA71" i="1"/>
  <c r="Y71" i="1"/>
  <c r="X71" i="1"/>
  <c r="R71" i="1"/>
  <c r="J71" i="1"/>
  <c r="Z71" i="1" s="1"/>
  <c r="I71" i="1"/>
  <c r="G71" i="1"/>
  <c r="A71" i="1"/>
  <c r="AE70" i="1"/>
  <c r="AD70" i="1"/>
  <c r="AC70" i="1"/>
  <c r="AB70" i="1"/>
  <c r="AA70" i="1"/>
  <c r="Y70" i="1"/>
  <c r="X70" i="1"/>
  <c r="R70" i="1"/>
  <c r="J70" i="1"/>
  <c r="Z70" i="1" s="1"/>
  <c r="I70" i="1"/>
  <c r="G70" i="1"/>
  <c r="A70" i="1"/>
  <c r="AE69" i="1"/>
  <c r="AD69" i="1"/>
  <c r="AC69" i="1"/>
  <c r="AB69" i="1"/>
  <c r="AA69" i="1"/>
  <c r="Y69" i="1"/>
  <c r="X69" i="1"/>
  <c r="R69" i="1"/>
  <c r="J69" i="1"/>
  <c r="Z69" i="1" s="1"/>
  <c r="I69" i="1"/>
  <c r="G69" i="1"/>
  <c r="A69" i="1"/>
  <c r="AE68" i="1"/>
  <c r="AD68" i="1"/>
  <c r="AC68" i="1"/>
  <c r="AB68" i="1"/>
  <c r="AA68" i="1"/>
  <c r="Y68" i="1"/>
  <c r="X68" i="1"/>
  <c r="R68" i="1"/>
  <c r="J68" i="1"/>
  <c r="Z68" i="1" s="1"/>
  <c r="I68" i="1"/>
  <c r="G68" i="1"/>
  <c r="A68" i="1"/>
  <c r="AE67" i="1"/>
  <c r="AD67" i="1"/>
  <c r="AC67" i="1"/>
  <c r="AB67" i="1"/>
  <c r="AA67" i="1"/>
  <c r="Y67" i="1"/>
  <c r="X67" i="1"/>
  <c r="R67" i="1"/>
  <c r="J67" i="1"/>
  <c r="Z67" i="1" s="1"/>
  <c r="I67" i="1"/>
  <c r="G67" i="1"/>
  <c r="A67" i="1"/>
  <c r="AE66" i="1"/>
  <c r="AD66" i="1"/>
  <c r="AC66" i="1"/>
  <c r="AB66" i="1"/>
  <c r="AA66" i="1"/>
  <c r="Y66" i="1"/>
  <c r="X66" i="1"/>
  <c r="R66" i="1"/>
  <c r="J66" i="1"/>
  <c r="Z66" i="1" s="1"/>
  <c r="I66" i="1"/>
  <c r="G66" i="1"/>
  <c r="A66" i="1"/>
  <c r="AE65" i="1"/>
  <c r="AD65" i="1"/>
  <c r="AC65" i="1"/>
  <c r="AB65" i="1"/>
  <c r="AA65" i="1"/>
  <c r="Y65" i="1"/>
  <c r="X65" i="1"/>
  <c r="R65" i="1"/>
  <c r="J65" i="1"/>
  <c r="Z65" i="1" s="1"/>
  <c r="I65" i="1"/>
  <c r="G65" i="1"/>
  <c r="A65" i="1"/>
  <c r="AE64" i="1"/>
  <c r="AD64" i="1"/>
  <c r="AC64" i="1"/>
  <c r="AB64" i="1"/>
  <c r="AA64" i="1"/>
  <c r="Y64" i="1"/>
  <c r="X64" i="1"/>
  <c r="R64" i="1"/>
  <c r="J64" i="1"/>
  <c r="Z64" i="1" s="1"/>
  <c r="I64" i="1"/>
  <c r="G64" i="1"/>
  <c r="A64" i="1"/>
  <c r="AE63" i="1"/>
  <c r="AD63" i="1"/>
  <c r="AC63" i="1"/>
  <c r="AB63" i="1"/>
  <c r="AA63" i="1"/>
  <c r="Y63" i="1"/>
  <c r="X63" i="1"/>
  <c r="R63" i="1"/>
  <c r="J63" i="1"/>
  <c r="Z63" i="1" s="1"/>
  <c r="I63" i="1"/>
  <c r="G63" i="1"/>
  <c r="A63" i="1"/>
  <c r="AE62" i="1"/>
  <c r="AD62" i="1"/>
  <c r="AC62" i="1"/>
  <c r="AB62" i="1"/>
  <c r="AA62" i="1"/>
  <c r="Y62" i="1"/>
  <c r="X62" i="1"/>
  <c r="R62" i="1"/>
  <c r="J62" i="1"/>
  <c r="Z62" i="1" s="1"/>
  <c r="I62" i="1"/>
  <c r="G62" i="1"/>
  <c r="A62" i="1"/>
  <c r="AE61" i="1"/>
  <c r="AD61" i="1"/>
  <c r="AC61" i="1"/>
  <c r="AB61" i="1"/>
  <c r="AA61" i="1"/>
  <c r="Y61" i="1"/>
  <c r="X61" i="1"/>
  <c r="R61" i="1"/>
  <c r="J61" i="1"/>
  <c r="Z61" i="1" s="1"/>
  <c r="I61" i="1"/>
  <c r="G61" i="1"/>
  <c r="A61" i="1"/>
  <c r="AE60" i="1"/>
  <c r="AD60" i="1"/>
  <c r="AC60" i="1"/>
  <c r="AB60" i="1"/>
  <c r="AA60" i="1"/>
  <c r="Y60" i="1"/>
  <c r="X60" i="1"/>
  <c r="R60" i="1"/>
  <c r="J60" i="1"/>
  <c r="Z60" i="1" s="1"/>
  <c r="I60" i="1"/>
  <c r="G60" i="1"/>
  <c r="A60" i="1"/>
  <c r="AE59" i="1"/>
  <c r="AD59" i="1"/>
  <c r="AC59" i="1"/>
  <c r="AB59" i="1"/>
  <c r="AA59" i="1"/>
  <c r="Y59" i="1"/>
  <c r="X59" i="1"/>
  <c r="R59" i="1"/>
  <c r="J59" i="1"/>
  <c r="Z59" i="1" s="1"/>
  <c r="I59" i="1"/>
  <c r="G59" i="1"/>
  <c r="A59" i="1"/>
  <c r="AE58" i="1"/>
  <c r="AD58" i="1"/>
  <c r="AC58" i="1"/>
  <c r="AB58" i="1"/>
  <c r="AA58" i="1"/>
  <c r="Y58" i="1"/>
  <c r="X58" i="1"/>
  <c r="R58" i="1"/>
  <c r="J58" i="1"/>
  <c r="Z58" i="1" s="1"/>
  <c r="I58" i="1"/>
  <c r="G58" i="1"/>
  <c r="A58" i="1"/>
  <c r="AE57" i="1"/>
  <c r="AD57" i="1"/>
  <c r="AC57" i="1"/>
  <c r="AB57" i="1"/>
  <c r="AA57" i="1"/>
  <c r="Y57" i="1"/>
  <c r="X57" i="1"/>
  <c r="R57" i="1"/>
  <c r="J57" i="1"/>
  <c r="Z57" i="1" s="1"/>
  <c r="I57" i="1"/>
  <c r="G57" i="1"/>
  <c r="A57" i="1"/>
  <c r="AE56" i="1"/>
  <c r="AD56" i="1"/>
  <c r="AC56" i="1"/>
  <c r="AB56" i="1"/>
  <c r="AA56" i="1"/>
  <c r="Y56" i="1"/>
  <c r="X56" i="1"/>
  <c r="R56" i="1"/>
  <c r="J56" i="1"/>
  <c r="Z56" i="1" s="1"/>
  <c r="I56" i="1"/>
  <c r="G56" i="1"/>
  <c r="A56" i="1"/>
  <c r="AE55" i="1"/>
  <c r="AD55" i="1"/>
  <c r="AC55" i="1"/>
  <c r="AB55" i="1"/>
  <c r="AA55" i="1"/>
  <c r="Y55" i="1"/>
  <c r="X55" i="1"/>
  <c r="R55" i="1"/>
  <c r="J55" i="1"/>
  <c r="Z55" i="1" s="1"/>
  <c r="I55" i="1"/>
  <c r="G55" i="1"/>
  <c r="A55" i="1"/>
  <c r="AE54" i="1"/>
  <c r="AD54" i="1"/>
  <c r="AC54" i="1"/>
  <c r="AB54" i="1"/>
  <c r="AA54" i="1"/>
  <c r="Y54" i="1"/>
  <c r="X54" i="1"/>
  <c r="R54" i="1"/>
  <c r="J54" i="1"/>
  <c r="Z54" i="1" s="1"/>
  <c r="I54" i="1"/>
  <c r="G54" i="1"/>
  <c r="A54" i="1"/>
  <c r="AE53" i="1"/>
  <c r="W52" i="2" s="1"/>
  <c r="AD53" i="1"/>
  <c r="AC53" i="1"/>
  <c r="AB53" i="1"/>
  <c r="AA53" i="1"/>
  <c r="Y53" i="1"/>
  <c r="X53" i="1"/>
  <c r="R53" i="1"/>
  <c r="J53" i="1"/>
  <c r="Z53" i="1" s="1"/>
  <c r="I53" i="1"/>
  <c r="G53" i="1"/>
  <c r="A53" i="1"/>
  <c r="AE52" i="1"/>
  <c r="AD52" i="1"/>
  <c r="AC52" i="1"/>
  <c r="AB52" i="1"/>
  <c r="AA52" i="1"/>
  <c r="Y52" i="1"/>
  <c r="X52" i="1"/>
  <c r="R52" i="1"/>
  <c r="J52" i="1"/>
  <c r="Z52" i="1" s="1"/>
  <c r="I52" i="1"/>
  <c r="G52" i="1"/>
  <c r="A52" i="1"/>
  <c r="AE51" i="1"/>
  <c r="AD51" i="1"/>
  <c r="AC51" i="1"/>
  <c r="AB51" i="1"/>
  <c r="AA51" i="1"/>
  <c r="Y51" i="1"/>
  <c r="X51" i="1"/>
  <c r="R51" i="1"/>
  <c r="J51" i="1"/>
  <c r="Z51" i="1" s="1"/>
  <c r="I51" i="1"/>
  <c r="G51" i="1"/>
  <c r="A51" i="1"/>
  <c r="AE50" i="1"/>
  <c r="AD50" i="1"/>
  <c r="AC50" i="1"/>
  <c r="AB50" i="1"/>
  <c r="AA50" i="1"/>
  <c r="Y50" i="1"/>
  <c r="X50" i="1"/>
  <c r="R50" i="1"/>
  <c r="J50" i="1"/>
  <c r="Z50" i="1" s="1"/>
  <c r="I50" i="1"/>
  <c r="G50" i="1"/>
  <c r="A50" i="1"/>
  <c r="AE49" i="1"/>
  <c r="AD49" i="1"/>
  <c r="AC49" i="1"/>
  <c r="AB49" i="1"/>
  <c r="AA49" i="1"/>
  <c r="Y49" i="1"/>
  <c r="X49" i="1"/>
  <c r="R49" i="1"/>
  <c r="J49" i="1"/>
  <c r="Z49" i="1" s="1"/>
  <c r="I49" i="1"/>
  <c r="G49" i="1"/>
  <c r="A49" i="1"/>
  <c r="AE48" i="1"/>
  <c r="AD48" i="1"/>
  <c r="AC48" i="1"/>
  <c r="AB48" i="1"/>
  <c r="AA48" i="1"/>
  <c r="Y48" i="1"/>
  <c r="X48" i="1"/>
  <c r="R48" i="1"/>
  <c r="J48" i="1"/>
  <c r="Z48" i="1" s="1"/>
  <c r="I48" i="1"/>
  <c r="G48" i="1"/>
  <c r="A48" i="1"/>
  <c r="AE47" i="1"/>
  <c r="AD47" i="1"/>
  <c r="AC47" i="1"/>
  <c r="AB47" i="1"/>
  <c r="AA47" i="1"/>
  <c r="Y47" i="1"/>
  <c r="X47" i="1"/>
  <c r="R47" i="1"/>
  <c r="J47" i="1"/>
  <c r="Z47" i="1" s="1"/>
  <c r="I47" i="1"/>
  <c r="G47" i="1"/>
  <c r="A47" i="1"/>
  <c r="AE46" i="1"/>
  <c r="AD46" i="1"/>
  <c r="AC46" i="1"/>
  <c r="AB46" i="1"/>
  <c r="AA46" i="1"/>
  <c r="Y46" i="1"/>
  <c r="X46" i="1"/>
  <c r="R46" i="1"/>
  <c r="J46" i="1"/>
  <c r="Z46" i="1" s="1"/>
  <c r="I46" i="1"/>
  <c r="G46" i="1"/>
  <c r="A46" i="1"/>
  <c r="AE45" i="1"/>
  <c r="AD45" i="1"/>
  <c r="AC45" i="1"/>
  <c r="AB45" i="1"/>
  <c r="AA45" i="1"/>
  <c r="Y45" i="1"/>
  <c r="X45" i="1"/>
  <c r="R45" i="1"/>
  <c r="J45" i="1"/>
  <c r="Z45" i="1" s="1"/>
  <c r="I45" i="1"/>
  <c r="G45" i="1"/>
  <c r="A45" i="1"/>
  <c r="AE44" i="1"/>
  <c r="AD44" i="1"/>
  <c r="AC44" i="1"/>
  <c r="AB44" i="1"/>
  <c r="AA44" i="1"/>
  <c r="Y44" i="1"/>
  <c r="X44" i="1"/>
  <c r="R44" i="1"/>
  <c r="J44" i="1"/>
  <c r="Z44" i="1" s="1"/>
  <c r="I44" i="1"/>
  <c r="G44" i="1"/>
  <c r="A44" i="1"/>
  <c r="AE43" i="1"/>
  <c r="AD43" i="1"/>
  <c r="AC43" i="1"/>
  <c r="AB43" i="1"/>
  <c r="AA43" i="1"/>
  <c r="Y43" i="1"/>
  <c r="X43" i="1"/>
  <c r="R43" i="1"/>
  <c r="J43" i="1"/>
  <c r="Z43" i="1" s="1"/>
  <c r="I43" i="1"/>
  <c r="G43" i="1"/>
  <c r="A43" i="1"/>
  <c r="AE42" i="1"/>
  <c r="AD42" i="1"/>
  <c r="AC42" i="1"/>
  <c r="AB42" i="1"/>
  <c r="AA42" i="1"/>
  <c r="Y42" i="1"/>
  <c r="X42" i="1"/>
  <c r="R42" i="1"/>
  <c r="J42" i="1"/>
  <c r="Z42" i="1" s="1"/>
  <c r="I42" i="1"/>
  <c r="G42" i="1"/>
  <c r="A42" i="1"/>
  <c r="AE41" i="1"/>
  <c r="AD41" i="1"/>
  <c r="AC41" i="1"/>
  <c r="AB41" i="1"/>
  <c r="AA41" i="1"/>
  <c r="Y41" i="1"/>
  <c r="X41" i="1"/>
  <c r="R41" i="1"/>
  <c r="J41" i="1"/>
  <c r="Z41" i="1" s="1"/>
  <c r="I41" i="1"/>
  <c r="G41" i="1"/>
  <c r="A41" i="1"/>
  <c r="AE40" i="1"/>
  <c r="AD40" i="1"/>
  <c r="AC40" i="1"/>
  <c r="AB40" i="1"/>
  <c r="AA40" i="1"/>
  <c r="Y40" i="1"/>
  <c r="X40" i="1"/>
  <c r="R40" i="1"/>
  <c r="J40" i="1"/>
  <c r="Z40" i="1" s="1"/>
  <c r="I40" i="1"/>
  <c r="G40" i="1"/>
  <c r="A40" i="1"/>
  <c r="AE39" i="1"/>
  <c r="AD39" i="1"/>
  <c r="AC39" i="1"/>
  <c r="AB39" i="1"/>
  <c r="AA39" i="1"/>
  <c r="Y39" i="1"/>
  <c r="X39" i="1"/>
  <c r="R39" i="1"/>
  <c r="J39" i="1"/>
  <c r="Z39" i="1" s="1"/>
  <c r="I39" i="1"/>
  <c r="G39" i="1"/>
  <c r="A39" i="1"/>
  <c r="AE38" i="1"/>
  <c r="AD38" i="1"/>
  <c r="AC38" i="1"/>
  <c r="AB38" i="1"/>
  <c r="AA38" i="1"/>
  <c r="Y38" i="1"/>
  <c r="X38" i="1"/>
  <c r="R38" i="1"/>
  <c r="J38" i="1"/>
  <c r="Z38" i="1" s="1"/>
  <c r="I38" i="1"/>
  <c r="G38" i="1"/>
  <c r="A38" i="1"/>
  <c r="AE37" i="1"/>
  <c r="AD37" i="1"/>
  <c r="AC37" i="1"/>
  <c r="AB37" i="1"/>
  <c r="AA37" i="1"/>
  <c r="Y37" i="1"/>
  <c r="X37" i="1"/>
  <c r="R37" i="1"/>
  <c r="J37" i="1"/>
  <c r="Z37" i="1" s="1"/>
  <c r="I37" i="1"/>
  <c r="G37" i="1"/>
  <c r="A37" i="1"/>
  <c r="AE36" i="1"/>
  <c r="AD36" i="1"/>
  <c r="AC36" i="1"/>
  <c r="AB36" i="1"/>
  <c r="AA36" i="1"/>
  <c r="Y36" i="1"/>
  <c r="X36" i="1"/>
  <c r="R36" i="1"/>
  <c r="J36" i="1"/>
  <c r="Z36" i="1" s="1"/>
  <c r="I36" i="1"/>
  <c r="G36" i="1"/>
  <c r="A36" i="1"/>
  <c r="AE35" i="1"/>
  <c r="AD35" i="1"/>
  <c r="AC35" i="1"/>
  <c r="AB35" i="1"/>
  <c r="AA35" i="1"/>
  <c r="Y35" i="1"/>
  <c r="X35" i="1"/>
  <c r="R35" i="1"/>
  <c r="J35" i="1"/>
  <c r="Z35" i="1" s="1"/>
  <c r="I35" i="1"/>
  <c r="G35" i="1"/>
  <c r="A35" i="1"/>
  <c r="AE34" i="1"/>
  <c r="J34" i="1"/>
  <c r="I34" i="1"/>
  <c r="A34" i="1"/>
  <c r="AE33" i="1"/>
  <c r="I33" i="1"/>
  <c r="A33" i="1"/>
  <c r="AE32" i="1"/>
  <c r="I32" i="1"/>
  <c r="A32" i="1"/>
  <c r="AE31" i="1"/>
  <c r="R31" i="1"/>
  <c r="J31" i="1"/>
  <c r="A31" i="1"/>
  <c r="AE30" i="1"/>
  <c r="J30" i="1"/>
  <c r="I30" i="1"/>
  <c r="A30" i="1"/>
  <c r="AE29" i="1"/>
  <c r="AD29" i="1"/>
  <c r="AC29" i="1"/>
  <c r="AB29" i="1"/>
  <c r="AA29" i="1"/>
  <c r="Y29" i="1"/>
  <c r="X29" i="1"/>
  <c r="R29" i="1"/>
  <c r="J29" i="1"/>
  <c r="Z29" i="1" s="1"/>
  <c r="I29" i="1"/>
  <c r="G29" i="1"/>
  <c r="A29" i="1"/>
  <c r="AE28" i="1"/>
  <c r="AD28" i="1"/>
  <c r="AC28" i="1"/>
  <c r="AB28" i="1"/>
  <c r="AA28" i="1"/>
  <c r="Y28" i="1"/>
  <c r="X28" i="1"/>
  <c r="R28" i="1"/>
  <c r="J28" i="1"/>
  <c r="Z28" i="1" s="1"/>
  <c r="I28" i="1"/>
  <c r="G28" i="1"/>
  <c r="A28" i="1"/>
  <c r="AE27" i="1"/>
  <c r="J27" i="1"/>
  <c r="R27" i="1" s="1"/>
  <c r="I27" i="1"/>
  <c r="A27" i="1"/>
  <c r="AE26" i="1"/>
  <c r="I26" i="1"/>
  <c r="A26" i="1"/>
  <c r="AE25" i="1"/>
  <c r="I25" i="1"/>
  <c r="A25" i="1"/>
  <c r="AE24" i="1"/>
  <c r="J24" i="1"/>
  <c r="A24" i="1"/>
  <c r="AE23" i="1"/>
  <c r="I23" i="1"/>
  <c r="A23" i="1"/>
  <c r="AE22" i="1"/>
  <c r="I22" i="1"/>
  <c r="A22" i="1"/>
  <c r="AE21" i="1"/>
  <c r="J21" i="1"/>
  <c r="R21" i="1" s="1"/>
  <c r="A21" i="1"/>
  <c r="AE20" i="1"/>
  <c r="R20" i="1"/>
  <c r="J20" i="1"/>
  <c r="I20" i="1"/>
  <c r="A20" i="1"/>
  <c r="AE19" i="1"/>
  <c r="R19" i="1"/>
  <c r="J19" i="1"/>
  <c r="I19" i="1"/>
  <c r="A19" i="1"/>
  <c r="AE18" i="1"/>
  <c r="AD18" i="1"/>
  <c r="AC18" i="1"/>
  <c r="AB18" i="1"/>
  <c r="AA18" i="1"/>
  <c r="Y18" i="1"/>
  <c r="X18" i="1"/>
  <c r="R18" i="1"/>
  <c r="J18" i="1"/>
  <c r="Z18" i="1" s="1"/>
  <c r="I18" i="1"/>
  <c r="G18" i="1"/>
  <c r="A18" i="1"/>
  <c r="AE17" i="1"/>
  <c r="AD17" i="1"/>
  <c r="AC17" i="1"/>
  <c r="AB17" i="1"/>
  <c r="AA17" i="1"/>
  <c r="Y17" i="1"/>
  <c r="X17" i="1"/>
  <c r="R17" i="1"/>
  <c r="J17" i="1"/>
  <c r="Z17" i="1" s="1"/>
  <c r="I17" i="1"/>
  <c r="G17" i="1"/>
  <c r="A17" i="1"/>
  <c r="AE16" i="1"/>
  <c r="J16" i="1"/>
  <c r="R16" i="1" s="1"/>
  <c r="I16" i="1"/>
  <c r="A16" i="1"/>
  <c r="AE15" i="1"/>
  <c r="I15" i="1"/>
  <c r="A15" i="1"/>
  <c r="AE14" i="1"/>
  <c r="I14" i="1"/>
  <c r="A14" i="1"/>
  <c r="AE13" i="1"/>
  <c r="R13" i="1"/>
  <c r="J13" i="1"/>
  <c r="A13" i="1"/>
  <c r="AE12" i="1"/>
  <c r="I12" i="1"/>
  <c r="A12" i="1"/>
  <c r="AE11" i="1"/>
  <c r="I11" i="1"/>
  <c r="A11" i="1"/>
  <c r="AE10" i="1"/>
  <c r="R10" i="1"/>
  <c r="J10" i="1"/>
  <c r="A10" i="1"/>
  <c r="AE9" i="1"/>
  <c r="J9" i="1"/>
  <c r="R9" i="1" s="1"/>
  <c r="I9" i="1"/>
  <c r="A9" i="1"/>
  <c r="AE8" i="1"/>
  <c r="R8" i="1"/>
  <c r="J8" i="1"/>
  <c r="I8" i="1"/>
  <c r="A8" i="1"/>
  <c r="AE7" i="1"/>
  <c r="R7" i="1"/>
  <c r="J7" i="1"/>
  <c r="I7" i="1"/>
  <c r="A7" i="1"/>
  <c r="AE6" i="1"/>
  <c r="AD6" i="1"/>
  <c r="AC6" i="1"/>
  <c r="AB6" i="1"/>
  <c r="AA6" i="1"/>
  <c r="Y6" i="1"/>
  <c r="X6" i="1"/>
  <c r="R6" i="1"/>
  <c r="J6" i="1"/>
  <c r="Z6" i="1" s="1"/>
  <c r="I6" i="1"/>
  <c r="G6" i="1"/>
  <c r="A6" i="1"/>
  <c r="Q163" i="2" l="1"/>
  <c r="P163" i="2"/>
  <c r="O163" i="2"/>
  <c r="N163" i="2"/>
  <c r="M163" i="2"/>
  <c r="L163" i="2"/>
  <c r="K163" i="2"/>
  <c r="J163" i="2"/>
  <c r="I163" i="2"/>
  <c r="H163" i="2"/>
  <c r="G163" i="2"/>
  <c r="F163" i="2"/>
  <c r="X163" i="2" s="1"/>
  <c r="E163" i="2"/>
  <c r="D163" i="2"/>
  <c r="C163" i="2"/>
  <c r="B163" i="2"/>
  <c r="A163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X162" i="2" s="1"/>
  <c r="E162" i="2"/>
  <c r="D162" i="2"/>
  <c r="C162" i="2"/>
  <c r="B162" i="2"/>
  <c r="A162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X161" i="2" s="1"/>
  <c r="E161" i="2"/>
  <c r="D161" i="2"/>
  <c r="C161" i="2"/>
  <c r="B161" i="2"/>
  <c r="A161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X160" i="2" s="1"/>
  <c r="E160" i="2"/>
  <c r="D160" i="2"/>
  <c r="C160" i="2"/>
  <c r="B160" i="2"/>
  <c r="A160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X159" i="2" s="1"/>
  <c r="E159" i="2"/>
  <c r="D159" i="2"/>
  <c r="C159" i="2"/>
  <c r="B159" i="2"/>
  <c r="A159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X158" i="2" s="1"/>
  <c r="E158" i="2"/>
  <c r="D158" i="2"/>
  <c r="C158" i="2"/>
  <c r="B158" i="2"/>
  <c r="A158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X157" i="2" s="1"/>
  <c r="E157" i="2"/>
  <c r="D157" i="2"/>
  <c r="C157" i="2"/>
  <c r="B157" i="2"/>
  <c r="A157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X156" i="2" s="1"/>
  <c r="E156" i="2"/>
  <c r="D156" i="2"/>
  <c r="C156" i="2"/>
  <c r="B156" i="2"/>
  <c r="A156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X155" i="2" s="1"/>
  <c r="E155" i="2"/>
  <c r="D155" i="2"/>
  <c r="C155" i="2"/>
  <c r="B155" i="2"/>
  <c r="A155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X154" i="2" s="1"/>
  <c r="E154" i="2"/>
  <c r="D154" i="2"/>
  <c r="C154" i="2"/>
  <c r="B154" i="2"/>
  <c r="A154" i="2"/>
  <c r="W153" i="2"/>
  <c r="V153" i="2"/>
  <c r="U153" i="2"/>
  <c r="T153" i="2"/>
  <c r="P153" i="2"/>
  <c r="K153" i="2"/>
  <c r="Q153" i="2"/>
  <c r="R153" i="2"/>
  <c r="L153" i="2"/>
  <c r="M153" i="2"/>
  <c r="N153" i="2"/>
  <c r="O153" i="2"/>
  <c r="G153" i="2"/>
  <c r="S153" i="2"/>
  <c r="A153" i="2"/>
  <c r="B153" i="2"/>
  <c r="C153" i="2"/>
  <c r="D153" i="2"/>
  <c r="E153" i="2"/>
  <c r="F153" i="2"/>
  <c r="X153" i="2" s="1"/>
  <c r="H153" i="2"/>
  <c r="I153" i="2"/>
  <c r="J153" i="2"/>
  <c r="O152" i="2"/>
  <c r="A152" i="2"/>
  <c r="B152" i="2"/>
  <c r="C152" i="2"/>
  <c r="U152" i="2"/>
  <c r="V152" i="2"/>
  <c r="E152" i="2"/>
  <c r="F152" i="2"/>
  <c r="X152" i="2" s="1"/>
  <c r="G152" i="2"/>
  <c r="H152" i="2"/>
  <c r="I152" i="2"/>
  <c r="J152" i="2"/>
  <c r="K152" i="2"/>
  <c r="L152" i="2"/>
  <c r="D152" i="2"/>
  <c r="M152" i="2"/>
  <c r="N152" i="2"/>
  <c r="P152" i="2"/>
  <c r="Q152" i="2"/>
  <c r="R152" i="2"/>
  <c r="S152" i="2"/>
  <c r="T152" i="2"/>
  <c r="W152" i="2"/>
  <c r="S151" i="2"/>
  <c r="R151" i="2"/>
  <c r="Q151" i="2"/>
  <c r="P151" i="2"/>
  <c r="O151" i="2"/>
  <c r="A151" i="2"/>
  <c r="B151" i="2"/>
  <c r="C151" i="2"/>
  <c r="D151" i="2"/>
  <c r="E151" i="2"/>
  <c r="F151" i="2"/>
  <c r="X151" i="2" s="1"/>
  <c r="G151" i="2"/>
  <c r="H151" i="2"/>
  <c r="I151" i="2"/>
  <c r="J151" i="2"/>
  <c r="K151" i="2"/>
  <c r="L151" i="2"/>
  <c r="M151" i="2"/>
  <c r="N151" i="2"/>
  <c r="W151" i="2"/>
  <c r="V151" i="2"/>
  <c r="U151" i="2"/>
  <c r="T151" i="2"/>
  <c r="J150" i="2"/>
  <c r="T150" i="2"/>
  <c r="A150" i="2"/>
  <c r="R150" i="2"/>
  <c r="N150" i="2"/>
  <c r="M150" i="2"/>
  <c r="L150" i="2"/>
  <c r="K150" i="2"/>
  <c r="B150" i="2"/>
  <c r="I150" i="2"/>
  <c r="H150" i="2"/>
  <c r="G150" i="2"/>
  <c r="F150" i="2"/>
  <c r="X150" i="2" s="1"/>
  <c r="E150" i="2"/>
  <c r="D150" i="2"/>
  <c r="C150" i="2"/>
  <c r="W150" i="2"/>
  <c r="V150" i="2"/>
  <c r="U150" i="2"/>
  <c r="S150" i="2"/>
  <c r="Q150" i="2"/>
  <c r="P150" i="2"/>
  <c r="O150" i="2"/>
  <c r="T149" i="2"/>
  <c r="S149" i="2"/>
  <c r="R149" i="2"/>
  <c r="Q149" i="2"/>
  <c r="O149" i="2"/>
  <c r="N149" i="2"/>
  <c r="M149" i="2"/>
  <c r="L149" i="2"/>
  <c r="K149" i="2"/>
  <c r="J149" i="2"/>
  <c r="I149" i="2"/>
  <c r="P149" i="2"/>
  <c r="G149" i="2"/>
  <c r="F149" i="2"/>
  <c r="X149" i="2" s="1"/>
  <c r="E149" i="2"/>
  <c r="B149" i="2"/>
  <c r="C149" i="2"/>
  <c r="D149" i="2"/>
  <c r="A149" i="2"/>
  <c r="H149" i="2"/>
  <c r="W149" i="2"/>
  <c r="V149" i="2"/>
  <c r="U149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X148" i="2" s="1"/>
  <c r="E148" i="2"/>
  <c r="D148" i="2"/>
  <c r="C148" i="2"/>
  <c r="B148" i="2"/>
  <c r="A148" i="2"/>
  <c r="V147" i="2"/>
  <c r="W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X147" i="2" s="1"/>
  <c r="E147" i="2"/>
  <c r="D147" i="2"/>
  <c r="C147" i="2"/>
  <c r="B147" i="2"/>
  <c r="A147" i="2"/>
  <c r="Q146" i="2"/>
  <c r="U146" i="2"/>
  <c r="R146" i="2"/>
  <c r="S146" i="2"/>
  <c r="W146" i="2"/>
  <c r="T146" i="2"/>
  <c r="V146" i="2"/>
  <c r="C132" i="2"/>
  <c r="B132" i="2"/>
  <c r="A132" i="2"/>
  <c r="E132" i="2"/>
  <c r="D132" i="2"/>
  <c r="G132" i="2"/>
  <c r="K132" i="2"/>
  <c r="J132" i="2"/>
  <c r="I132" i="2"/>
  <c r="H132" i="2"/>
  <c r="F132" i="2"/>
  <c r="X132" i="2" s="1"/>
  <c r="W131" i="2"/>
  <c r="V131" i="2"/>
  <c r="U131" i="2"/>
  <c r="A131" i="2"/>
  <c r="D131" i="2"/>
  <c r="G131" i="2"/>
  <c r="J131" i="2"/>
  <c r="L131" i="2"/>
  <c r="N131" i="2"/>
  <c r="P131" i="2"/>
  <c r="E131" i="2"/>
  <c r="K131" i="2"/>
  <c r="H131" i="2"/>
  <c r="I131" i="2"/>
  <c r="O131" i="2"/>
  <c r="R131" i="2"/>
  <c r="Q131" i="2"/>
  <c r="B131" i="2"/>
  <c r="T131" i="2"/>
  <c r="C131" i="2"/>
  <c r="F131" i="2"/>
  <c r="X131" i="2" s="1"/>
  <c r="S131" i="2"/>
  <c r="M131" i="2"/>
  <c r="Q130" i="2"/>
  <c r="T130" i="2"/>
  <c r="V130" i="2"/>
  <c r="E130" i="2"/>
  <c r="G130" i="2"/>
  <c r="H130" i="2"/>
  <c r="J130" i="2"/>
  <c r="L130" i="2"/>
  <c r="N130" i="2"/>
  <c r="R130" i="2"/>
  <c r="S130" i="2"/>
  <c r="U130" i="2"/>
  <c r="W130" i="2"/>
  <c r="K130" i="2"/>
  <c r="C130" i="2"/>
  <c r="B130" i="2"/>
  <c r="D130" i="2"/>
  <c r="F130" i="2"/>
  <c r="X130" i="2" s="1"/>
  <c r="I130" i="2"/>
  <c r="M130" i="2"/>
  <c r="O130" i="2"/>
  <c r="P130" i="2"/>
  <c r="A130" i="2"/>
  <c r="Q129" i="2"/>
  <c r="W129" i="2"/>
  <c r="T129" i="2"/>
  <c r="R129" i="2"/>
  <c r="U129" i="2"/>
  <c r="J129" i="2"/>
  <c r="V129" i="2"/>
  <c r="S129" i="2"/>
  <c r="P129" i="2"/>
  <c r="B129" i="2"/>
  <c r="A129" i="2"/>
  <c r="O129" i="2"/>
  <c r="C129" i="2"/>
  <c r="D129" i="2"/>
  <c r="E129" i="2"/>
  <c r="F129" i="2"/>
  <c r="X129" i="2" s="1"/>
  <c r="G129" i="2"/>
  <c r="H129" i="2"/>
  <c r="I129" i="2"/>
  <c r="K129" i="2"/>
  <c r="L129" i="2"/>
  <c r="M129" i="2"/>
  <c r="N129" i="2"/>
  <c r="A128" i="2"/>
  <c r="Q128" i="2"/>
  <c r="R128" i="2"/>
  <c r="S128" i="2"/>
  <c r="T128" i="2"/>
  <c r="U128" i="2"/>
  <c r="V128" i="2"/>
  <c r="W128" i="2"/>
  <c r="B128" i="2"/>
  <c r="C128" i="2"/>
  <c r="E128" i="2"/>
  <c r="D128" i="2"/>
  <c r="F128" i="2"/>
  <c r="X128" i="2" s="1"/>
  <c r="G128" i="2"/>
  <c r="H128" i="2"/>
  <c r="I128" i="2"/>
  <c r="J128" i="2"/>
  <c r="P128" i="2"/>
  <c r="K128" i="2"/>
  <c r="M128" i="2"/>
  <c r="N128" i="2"/>
  <c r="O128" i="2"/>
  <c r="L128" i="2"/>
  <c r="B127" i="2"/>
  <c r="W127" i="2"/>
  <c r="P127" i="2"/>
  <c r="A127" i="2"/>
  <c r="C127" i="2"/>
  <c r="D127" i="2"/>
  <c r="E127" i="2"/>
  <c r="F127" i="2"/>
  <c r="X127" i="2" s="1"/>
  <c r="G127" i="2"/>
  <c r="H127" i="2"/>
  <c r="I127" i="2"/>
  <c r="J127" i="2"/>
  <c r="K127" i="2"/>
  <c r="L127" i="2"/>
  <c r="M127" i="2"/>
  <c r="N127" i="2"/>
  <c r="O127" i="2"/>
  <c r="Q127" i="2"/>
  <c r="R127" i="2"/>
  <c r="S127" i="2"/>
  <c r="T127" i="2"/>
  <c r="U127" i="2"/>
  <c r="V127" i="2"/>
  <c r="W126" i="2"/>
  <c r="V126" i="2"/>
  <c r="U126" i="2"/>
  <c r="T126" i="2"/>
  <c r="S126" i="2"/>
  <c r="R126" i="2"/>
  <c r="P126" i="2"/>
  <c r="O126" i="2"/>
  <c r="N126" i="2"/>
  <c r="M126" i="2"/>
  <c r="L126" i="2"/>
  <c r="K126" i="2"/>
  <c r="J126" i="2"/>
  <c r="Q126" i="2"/>
  <c r="I126" i="2"/>
  <c r="H126" i="2"/>
  <c r="G126" i="2"/>
  <c r="F126" i="2"/>
  <c r="X126" i="2" s="1"/>
  <c r="E126" i="2"/>
  <c r="D126" i="2"/>
  <c r="C126" i="2"/>
  <c r="B126" i="2"/>
  <c r="A126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X125" i="2" s="1"/>
  <c r="E125" i="2"/>
  <c r="D125" i="2"/>
  <c r="C125" i="2"/>
  <c r="B125" i="2"/>
  <c r="A125" i="2"/>
  <c r="V124" i="2"/>
  <c r="W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X124" i="2" s="1"/>
  <c r="E124" i="2"/>
  <c r="D124" i="2"/>
  <c r="C124" i="2"/>
  <c r="B124" i="2"/>
  <c r="A124" i="2"/>
  <c r="H123" i="2"/>
  <c r="J123" i="2"/>
  <c r="K123" i="2"/>
  <c r="L123" i="2"/>
  <c r="M123" i="2"/>
  <c r="N123" i="2"/>
  <c r="O123" i="2"/>
  <c r="I123" i="2"/>
  <c r="P123" i="2"/>
  <c r="Q123" i="2"/>
  <c r="R123" i="2"/>
  <c r="S123" i="2"/>
  <c r="G123" i="2"/>
  <c r="F123" i="2"/>
  <c r="X123" i="2" s="1"/>
  <c r="E123" i="2"/>
  <c r="D123" i="2"/>
  <c r="C123" i="2"/>
  <c r="B123" i="2"/>
  <c r="A123" i="2"/>
  <c r="U123" i="2"/>
  <c r="T123" i="2"/>
  <c r="V123" i="2"/>
  <c r="W123" i="2"/>
  <c r="O122" i="2"/>
  <c r="P122" i="2"/>
  <c r="M122" i="2"/>
  <c r="L122" i="2"/>
  <c r="K122" i="2"/>
  <c r="J122" i="2"/>
  <c r="I122" i="2"/>
  <c r="H122" i="2"/>
  <c r="G122" i="2"/>
  <c r="F122" i="2"/>
  <c r="X122" i="2" s="1"/>
  <c r="T122" i="2"/>
  <c r="R122" i="2"/>
  <c r="W122" i="2"/>
  <c r="S122" i="2"/>
  <c r="V122" i="2"/>
  <c r="U122" i="2"/>
  <c r="A122" i="2"/>
  <c r="Q122" i="2"/>
  <c r="C122" i="2"/>
  <c r="E122" i="2"/>
  <c r="D122" i="2"/>
  <c r="B122" i="2"/>
  <c r="N122" i="2"/>
  <c r="P121" i="2"/>
  <c r="A121" i="2"/>
  <c r="C121" i="2"/>
  <c r="E121" i="2"/>
  <c r="G121" i="2"/>
  <c r="I121" i="2"/>
  <c r="K121" i="2"/>
  <c r="L121" i="2"/>
  <c r="N121" i="2"/>
  <c r="S121" i="2"/>
  <c r="W121" i="2"/>
  <c r="U121" i="2"/>
  <c r="V121" i="2"/>
  <c r="T121" i="2"/>
  <c r="R121" i="2"/>
  <c r="Q121" i="2"/>
  <c r="M121" i="2"/>
  <c r="J121" i="2"/>
  <c r="H121" i="2"/>
  <c r="F121" i="2"/>
  <c r="X121" i="2" s="1"/>
  <c r="D121" i="2"/>
  <c r="B121" i="2"/>
  <c r="O121" i="2"/>
  <c r="O120" i="2"/>
  <c r="H120" i="2"/>
  <c r="N120" i="2"/>
  <c r="T120" i="2"/>
  <c r="L120" i="2"/>
  <c r="J120" i="2"/>
  <c r="V120" i="2"/>
  <c r="F120" i="2"/>
  <c r="X120" i="2" s="1"/>
  <c r="Q120" i="2"/>
  <c r="D120" i="2"/>
  <c r="B120" i="2"/>
  <c r="S120" i="2"/>
  <c r="W120" i="2"/>
  <c r="A120" i="2"/>
  <c r="C120" i="2"/>
  <c r="E120" i="2"/>
  <c r="G120" i="2"/>
  <c r="I120" i="2"/>
  <c r="K120" i="2"/>
  <c r="M120" i="2"/>
  <c r="P120" i="2"/>
  <c r="R120" i="2"/>
  <c r="U120" i="2"/>
  <c r="V119" i="2"/>
  <c r="U119" i="2"/>
  <c r="S119" i="2"/>
  <c r="Q119" i="2"/>
  <c r="H119" i="2"/>
  <c r="G119" i="2"/>
  <c r="F119" i="2"/>
  <c r="X119" i="2" s="1"/>
  <c r="E119" i="2"/>
  <c r="D119" i="2"/>
  <c r="C119" i="2"/>
  <c r="B119" i="2"/>
  <c r="A119" i="2"/>
  <c r="W119" i="2"/>
  <c r="R119" i="2"/>
  <c r="T119" i="2"/>
  <c r="P119" i="2"/>
  <c r="O119" i="2"/>
  <c r="N119" i="2"/>
  <c r="M119" i="2"/>
  <c r="L119" i="2"/>
  <c r="K119" i="2"/>
  <c r="J119" i="2"/>
  <c r="I119" i="2"/>
  <c r="I118" i="2"/>
  <c r="V118" i="2"/>
  <c r="U118" i="2"/>
  <c r="T118" i="2"/>
  <c r="B118" i="2"/>
  <c r="R118" i="2"/>
  <c r="Q118" i="2"/>
  <c r="P118" i="2"/>
  <c r="O118" i="2"/>
  <c r="N118" i="2"/>
  <c r="M118" i="2"/>
  <c r="L118" i="2"/>
  <c r="K118" i="2"/>
  <c r="S118" i="2"/>
  <c r="J118" i="2"/>
  <c r="A118" i="2"/>
  <c r="H118" i="2"/>
  <c r="G118" i="2"/>
  <c r="F118" i="2"/>
  <c r="X118" i="2" s="1"/>
  <c r="E118" i="2"/>
  <c r="D118" i="2"/>
  <c r="C118" i="2"/>
  <c r="W118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X117" i="2" s="1"/>
  <c r="E117" i="2"/>
  <c r="D117" i="2"/>
  <c r="C117" i="2"/>
  <c r="B117" i="2"/>
  <c r="A117" i="2"/>
  <c r="W117" i="2"/>
  <c r="V116" i="2"/>
  <c r="U116" i="2"/>
  <c r="T116" i="2"/>
  <c r="S116" i="2"/>
  <c r="R116" i="2"/>
  <c r="Q116" i="2"/>
  <c r="P116" i="2"/>
  <c r="O116" i="2"/>
  <c r="M116" i="2"/>
  <c r="N116" i="2"/>
  <c r="A116" i="2"/>
  <c r="B116" i="2"/>
  <c r="C116" i="2"/>
  <c r="D116" i="2"/>
  <c r="E116" i="2"/>
  <c r="G116" i="2"/>
  <c r="H116" i="2"/>
  <c r="I116" i="2"/>
  <c r="J116" i="2"/>
  <c r="K116" i="2"/>
  <c r="L116" i="2"/>
  <c r="F116" i="2"/>
  <c r="X116" i="2" s="1"/>
  <c r="W116" i="2"/>
  <c r="T115" i="2"/>
  <c r="S115" i="2"/>
  <c r="R115" i="2"/>
  <c r="Q115" i="2"/>
  <c r="P115" i="2"/>
  <c r="O115" i="2"/>
  <c r="N115" i="2"/>
  <c r="L115" i="2"/>
  <c r="K115" i="2"/>
  <c r="M115" i="2"/>
  <c r="W115" i="2"/>
  <c r="V115" i="2"/>
  <c r="U115" i="2"/>
  <c r="E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M100" i="2"/>
  <c r="J100" i="2"/>
  <c r="B100" i="2"/>
  <c r="C100" i="2"/>
  <c r="D100" i="2"/>
  <c r="E100" i="2"/>
  <c r="F100" i="2"/>
  <c r="X100" i="2" s="1"/>
  <c r="A100" i="2"/>
  <c r="G100" i="2"/>
  <c r="H100" i="2"/>
  <c r="I100" i="2"/>
  <c r="N100" i="2"/>
  <c r="K100" i="2"/>
  <c r="L100" i="2"/>
  <c r="W100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X99" i="2" s="1"/>
  <c r="E99" i="2"/>
  <c r="D99" i="2"/>
  <c r="C99" i="2"/>
  <c r="B99" i="2"/>
  <c r="A99" i="2"/>
  <c r="W99" i="2"/>
  <c r="E98" i="2"/>
  <c r="V98" i="2"/>
  <c r="U98" i="2"/>
  <c r="T98" i="2"/>
  <c r="S98" i="2"/>
  <c r="R98" i="2"/>
  <c r="Q98" i="2"/>
  <c r="P98" i="2"/>
  <c r="O98" i="2"/>
  <c r="N98" i="2"/>
  <c r="M98" i="2"/>
  <c r="W98" i="2"/>
  <c r="L98" i="2"/>
  <c r="K98" i="2"/>
  <c r="J98" i="2"/>
  <c r="I98" i="2"/>
  <c r="B98" i="2"/>
  <c r="G98" i="2"/>
  <c r="F98" i="2"/>
  <c r="X98" i="2" s="1"/>
  <c r="A98" i="2"/>
  <c r="D98" i="2"/>
  <c r="H98" i="2"/>
  <c r="C98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X97" i="2" s="1"/>
  <c r="E97" i="2"/>
  <c r="D97" i="2"/>
  <c r="C97" i="2"/>
  <c r="B97" i="2"/>
  <c r="A97" i="2"/>
  <c r="W97" i="2"/>
  <c r="B96" i="2"/>
  <c r="E96" i="2"/>
  <c r="F96" i="2"/>
  <c r="X96" i="2" s="1"/>
  <c r="G96" i="2"/>
  <c r="H96" i="2"/>
  <c r="V96" i="2"/>
  <c r="I96" i="2"/>
  <c r="K96" i="2"/>
  <c r="A96" i="2"/>
  <c r="W96" i="2"/>
  <c r="J96" i="2"/>
  <c r="C96" i="2"/>
  <c r="D96" i="2"/>
  <c r="U96" i="2"/>
  <c r="T96" i="2"/>
  <c r="S96" i="2"/>
  <c r="R96" i="2"/>
  <c r="Q96" i="2"/>
  <c r="P96" i="2"/>
  <c r="O96" i="2"/>
  <c r="N96" i="2"/>
  <c r="M96" i="2"/>
  <c r="L96" i="2"/>
  <c r="L95" i="2"/>
  <c r="M95" i="2"/>
  <c r="P95" i="2"/>
  <c r="Q95" i="2"/>
  <c r="R95" i="2"/>
  <c r="T95" i="2"/>
  <c r="U95" i="2"/>
  <c r="V95" i="2"/>
  <c r="W95" i="2"/>
  <c r="S95" i="2"/>
  <c r="N95" i="2"/>
  <c r="O95" i="2"/>
  <c r="K95" i="2"/>
  <c r="J95" i="2"/>
  <c r="I95" i="2"/>
  <c r="H95" i="2"/>
  <c r="G95" i="2"/>
  <c r="F95" i="2"/>
  <c r="X95" i="2" s="1"/>
  <c r="E95" i="2"/>
  <c r="D95" i="2"/>
  <c r="C95" i="2"/>
  <c r="B95" i="2"/>
  <c r="A95" i="2"/>
  <c r="H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G94" i="2"/>
  <c r="F94" i="2"/>
  <c r="X94" i="2" s="1"/>
  <c r="E94" i="2"/>
  <c r="D94" i="2"/>
  <c r="C94" i="2"/>
  <c r="B94" i="2"/>
  <c r="A94" i="2"/>
  <c r="B93" i="2"/>
  <c r="I93" i="2"/>
  <c r="C93" i="2"/>
  <c r="D93" i="2"/>
  <c r="E93" i="2"/>
  <c r="P93" i="2"/>
  <c r="F93" i="2"/>
  <c r="X93" i="2" s="1"/>
  <c r="G93" i="2"/>
  <c r="H93" i="2"/>
  <c r="A93" i="2"/>
  <c r="J93" i="2"/>
  <c r="W93" i="2"/>
  <c r="V93" i="2"/>
  <c r="U93" i="2"/>
  <c r="T93" i="2"/>
  <c r="S93" i="2"/>
  <c r="R93" i="2"/>
  <c r="Q93" i="2"/>
  <c r="O93" i="2"/>
  <c r="N93" i="2"/>
  <c r="M93" i="2"/>
  <c r="L93" i="2"/>
  <c r="K93" i="2"/>
  <c r="O92" i="2"/>
  <c r="F92" i="2"/>
  <c r="X92" i="2" s="1"/>
  <c r="P92" i="2"/>
  <c r="E92" i="2"/>
  <c r="D92" i="2"/>
  <c r="C92" i="2"/>
  <c r="B92" i="2"/>
  <c r="A92" i="2"/>
  <c r="M92" i="2"/>
  <c r="N92" i="2"/>
  <c r="Q92" i="2"/>
  <c r="R92" i="2"/>
  <c r="S92" i="2"/>
  <c r="U92" i="2"/>
  <c r="V92" i="2"/>
  <c r="W92" i="2"/>
  <c r="T92" i="2"/>
  <c r="G92" i="2"/>
  <c r="L92" i="2"/>
  <c r="K92" i="2"/>
  <c r="J92" i="2"/>
  <c r="I92" i="2"/>
  <c r="H92" i="2"/>
  <c r="J91" i="2"/>
  <c r="I91" i="2"/>
  <c r="H91" i="2"/>
  <c r="G91" i="2"/>
  <c r="F91" i="2"/>
  <c r="X91" i="2" s="1"/>
  <c r="E91" i="2"/>
  <c r="D91" i="2"/>
  <c r="C91" i="2"/>
  <c r="B91" i="2"/>
  <c r="A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0" i="2"/>
  <c r="L90" i="2"/>
  <c r="K90" i="2"/>
  <c r="A90" i="2"/>
  <c r="I90" i="2"/>
  <c r="H90" i="2"/>
  <c r="G90" i="2"/>
  <c r="F90" i="2"/>
  <c r="X90" i="2" s="1"/>
  <c r="E90" i="2"/>
  <c r="D90" i="2"/>
  <c r="C90" i="2"/>
  <c r="W90" i="2"/>
  <c r="B90" i="2"/>
  <c r="U90" i="2"/>
  <c r="T90" i="2"/>
  <c r="S90" i="2"/>
  <c r="R90" i="2"/>
  <c r="V90" i="2"/>
  <c r="Q90" i="2"/>
  <c r="P90" i="2"/>
  <c r="O90" i="2"/>
  <c r="N90" i="2"/>
  <c r="M90" i="2"/>
  <c r="J89" i="2"/>
  <c r="I89" i="2"/>
  <c r="H89" i="2"/>
  <c r="G89" i="2"/>
  <c r="F89" i="2"/>
  <c r="X89" i="2" s="1"/>
  <c r="E89" i="2"/>
  <c r="D89" i="2"/>
  <c r="C89" i="2"/>
  <c r="B89" i="2"/>
  <c r="A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T88" i="2"/>
  <c r="S88" i="2"/>
  <c r="R88" i="2"/>
  <c r="Q88" i="2"/>
  <c r="P88" i="2"/>
  <c r="O88" i="2"/>
  <c r="N88" i="2"/>
  <c r="M88" i="2"/>
  <c r="L88" i="2"/>
  <c r="K88" i="2"/>
  <c r="F88" i="2"/>
  <c r="X88" i="2" s="1"/>
  <c r="B88" i="2"/>
  <c r="C88" i="2"/>
  <c r="D88" i="2"/>
  <c r="E88" i="2"/>
  <c r="G88" i="2"/>
  <c r="H88" i="2"/>
  <c r="I88" i="2"/>
  <c r="A88" i="2"/>
  <c r="J88" i="2"/>
  <c r="W88" i="2"/>
  <c r="V88" i="2"/>
  <c r="U88" i="2"/>
  <c r="K87" i="2"/>
  <c r="V87" i="2"/>
  <c r="L87" i="2"/>
  <c r="M87" i="2"/>
  <c r="N87" i="2"/>
  <c r="O87" i="2"/>
  <c r="P87" i="2"/>
  <c r="Q87" i="2"/>
  <c r="S87" i="2"/>
  <c r="T87" i="2"/>
  <c r="U87" i="2"/>
  <c r="W87" i="2"/>
  <c r="R87" i="2"/>
  <c r="J87" i="2"/>
  <c r="I87" i="2"/>
  <c r="H87" i="2"/>
  <c r="G87" i="2"/>
  <c r="F87" i="2"/>
  <c r="X87" i="2" s="1"/>
  <c r="E87" i="2"/>
  <c r="D87" i="2"/>
  <c r="C87" i="2"/>
  <c r="B87" i="2"/>
  <c r="A87" i="2"/>
  <c r="V86" i="2"/>
  <c r="J86" i="2"/>
  <c r="I86" i="2"/>
  <c r="H86" i="2"/>
  <c r="G86" i="2"/>
  <c r="F86" i="2"/>
  <c r="X86" i="2" s="1"/>
  <c r="E86" i="2"/>
  <c r="D86" i="2"/>
  <c r="C86" i="2"/>
  <c r="B86" i="2"/>
  <c r="A86" i="2"/>
  <c r="W86" i="2"/>
  <c r="U86" i="2"/>
  <c r="T86" i="2"/>
  <c r="S86" i="2"/>
  <c r="R86" i="2"/>
  <c r="Q86" i="2"/>
  <c r="P86" i="2"/>
  <c r="O86" i="2"/>
  <c r="N86" i="2"/>
  <c r="M86" i="2"/>
  <c r="L86" i="2"/>
  <c r="K86" i="2"/>
  <c r="R85" i="2"/>
  <c r="F85" i="2"/>
  <c r="X85" i="2" s="1"/>
  <c r="G85" i="2"/>
  <c r="H85" i="2"/>
  <c r="I85" i="2"/>
  <c r="J85" i="2"/>
  <c r="K85" i="2"/>
  <c r="L85" i="2"/>
  <c r="A85" i="2"/>
  <c r="B85" i="2"/>
  <c r="M85" i="2"/>
  <c r="V85" i="2"/>
  <c r="C85" i="2"/>
  <c r="D85" i="2"/>
  <c r="E85" i="2"/>
  <c r="N85" i="2"/>
  <c r="P85" i="2"/>
  <c r="Q85" i="2"/>
  <c r="S85" i="2"/>
  <c r="O85" i="2"/>
  <c r="T85" i="2"/>
  <c r="U85" i="2"/>
  <c r="W85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X84" i="2" s="1"/>
  <c r="E84" i="2"/>
  <c r="W84" i="2"/>
  <c r="V84" i="2"/>
  <c r="G61" i="2"/>
  <c r="E61" i="2"/>
  <c r="U61" i="2"/>
  <c r="V61" i="2"/>
  <c r="D61" i="2"/>
  <c r="C61" i="2"/>
  <c r="B61" i="2"/>
  <c r="A61" i="2"/>
  <c r="F61" i="2"/>
  <c r="X61" i="2" s="1"/>
  <c r="K61" i="2"/>
  <c r="J61" i="2"/>
  <c r="I61" i="2"/>
  <c r="R61" i="2"/>
  <c r="S61" i="2"/>
  <c r="H61" i="2"/>
  <c r="W61" i="2"/>
  <c r="Q61" i="2"/>
  <c r="T61" i="2"/>
  <c r="P61" i="2"/>
  <c r="O61" i="2"/>
  <c r="N61" i="2"/>
  <c r="M61" i="2"/>
  <c r="L61" i="2"/>
  <c r="J60" i="2"/>
  <c r="K60" i="2"/>
  <c r="M60" i="2"/>
  <c r="L60" i="2"/>
  <c r="W60" i="2"/>
  <c r="U60" i="2"/>
  <c r="T60" i="2"/>
  <c r="S60" i="2"/>
  <c r="R60" i="2"/>
  <c r="Q60" i="2"/>
  <c r="P60" i="2"/>
  <c r="V60" i="2"/>
  <c r="N60" i="2"/>
  <c r="O60" i="2"/>
  <c r="E60" i="2"/>
  <c r="F60" i="2"/>
  <c r="X60" i="2" s="1"/>
  <c r="G60" i="2"/>
  <c r="H60" i="2"/>
  <c r="I60" i="2"/>
  <c r="D60" i="2"/>
  <c r="C60" i="2"/>
  <c r="B60" i="2"/>
  <c r="A60" i="2"/>
  <c r="D59" i="2"/>
  <c r="E59" i="2"/>
  <c r="A59" i="2"/>
  <c r="B59" i="2"/>
  <c r="C59" i="2"/>
  <c r="S59" i="2"/>
  <c r="W59" i="2"/>
  <c r="V59" i="2"/>
  <c r="U59" i="2"/>
  <c r="T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X59" i="2" s="1"/>
  <c r="G58" i="2"/>
  <c r="A58" i="2"/>
  <c r="B58" i="2"/>
  <c r="C58" i="2"/>
  <c r="D58" i="2"/>
  <c r="E58" i="2"/>
  <c r="F58" i="2"/>
  <c r="X58" i="2" s="1"/>
  <c r="H58" i="2"/>
  <c r="I58" i="2"/>
  <c r="U58" i="2"/>
  <c r="J58" i="2"/>
  <c r="K58" i="2"/>
  <c r="L58" i="2"/>
  <c r="M58" i="2"/>
  <c r="V58" i="2"/>
  <c r="N58" i="2"/>
  <c r="O58" i="2"/>
  <c r="P58" i="2"/>
  <c r="Q58" i="2"/>
  <c r="W58" i="2"/>
  <c r="R58" i="2"/>
  <c r="S58" i="2"/>
  <c r="T58" i="2"/>
  <c r="Q57" i="2"/>
  <c r="P57" i="2"/>
  <c r="W57" i="2"/>
  <c r="V57" i="2"/>
  <c r="U57" i="2"/>
  <c r="T57" i="2"/>
  <c r="S57" i="2"/>
  <c r="R57" i="2"/>
  <c r="O57" i="2"/>
  <c r="N57" i="2"/>
  <c r="M57" i="2"/>
  <c r="L57" i="2"/>
  <c r="K57" i="2"/>
  <c r="J57" i="2"/>
  <c r="I57" i="2"/>
  <c r="H57" i="2"/>
  <c r="G57" i="2"/>
  <c r="F57" i="2"/>
  <c r="X57" i="2" s="1"/>
  <c r="E57" i="2"/>
  <c r="D57" i="2"/>
  <c r="C57" i="2"/>
  <c r="B57" i="2"/>
  <c r="A57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X56" i="2" s="1"/>
  <c r="E56" i="2"/>
  <c r="D56" i="2"/>
  <c r="C56" i="2"/>
  <c r="B56" i="2"/>
  <c r="A56" i="2"/>
  <c r="A55" i="2"/>
  <c r="G55" i="2"/>
  <c r="B55" i="2"/>
  <c r="L55" i="2"/>
  <c r="C55" i="2"/>
  <c r="F55" i="2"/>
  <c r="X55" i="2" s="1"/>
  <c r="D55" i="2"/>
  <c r="W55" i="2"/>
  <c r="V55" i="2"/>
  <c r="U55" i="2"/>
  <c r="T55" i="2"/>
  <c r="S55" i="2"/>
  <c r="R55" i="2"/>
  <c r="Q55" i="2"/>
  <c r="P55" i="2"/>
  <c r="O55" i="2"/>
  <c r="N55" i="2"/>
  <c r="M55" i="2"/>
  <c r="K55" i="2"/>
  <c r="J55" i="2"/>
  <c r="I55" i="2"/>
  <c r="H55" i="2"/>
  <c r="E55" i="2"/>
  <c r="B54" i="2"/>
  <c r="G54" i="2"/>
  <c r="L54" i="2"/>
  <c r="P54" i="2"/>
  <c r="Q54" i="2"/>
  <c r="U54" i="2"/>
  <c r="D54" i="2"/>
  <c r="W54" i="2"/>
  <c r="N54" i="2"/>
  <c r="I54" i="2"/>
  <c r="E54" i="2"/>
  <c r="C54" i="2"/>
  <c r="T54" i="2"/>
  <c r="K54" i="2"/>
  <c r="O54" i="2"/>
  <c r="R54" i="2"/>
  <c r="V54" i="2"/>
  <c r="J54" i="2"/>
  <c r="F54" i="2"/>
  <c r="X54" i="2" s="1"/>
  <c r="M54" i="2"/>
  <c r="A54" i="2"/>
  <c r="H54" i="2"/>
  <c r="S54" i="2"/>
  <c r="W53" i="2"/>
  <c r="R53" i="2"/>
  <c r="M53" i="2"/>
  <c r="N53" i="2"/>
  <c r="Q53" i="2"/>
  <c r="U53" i="2"/>
  <c r="O53" i="2"/>
  <c r="S53" i="2"/>
  <c r="P53" i="2"/>
  <c r="V53" i="2"/>
  <c r="T53" i="2"/>
  <c r="L53" i="2"/>
  <c r="K53" i="2"/>
  <c r="I53" i="2"/>
  <c r="H53" i="2"/>
  <c r="G53" i="2"/>
  <c r="F53" i="2"/>
  <c r="X53" i="2" s="1"/>
  <c r="E53" i="2"/>
  <c r="D53" i="2"/>
  <c r="C53" i="2"/>
  <c r="B53" i="2"/>
  <c r="A53" i="2"/>
  <c r="J53" i="2"/>
  <c r="J204" i="2"/>
  <c r="K204" i="2"/>
  <c r="D204" i="2"/>
  <c r="L204" i="2"/>
  <c r="W204" i="2"/>
  <c r="V204" i="2"/>
  <c r="A204" i="2"/>
  <c r="B204" i="2"/>
  <c r="C204" i="2"/>
  <c r="E204" i="2"/>
  <c r="F204" i="2"/>
  <c r="X204" i="2" s="1"/>
  <c r="G204" i="2"/>
  <c r="H204" i="2"/>
  <c r="M204" i="2"/>
  <c r="N204" i="2"/>
  <c r="O204" i="2"/>
  <c r="P204" i="2"/>
  <c r="Q204" i="2"/>
  <c r="R204" i="2"/>
  <c r="I204" i="2"/>
  <c r="S204" i="2"/>
  <c r="T204" i="2"/>
  <c r="U204" i="2"/>
  <c r="W203" i="2"/>
  <c r="V203" i="2"/>
  <c r="U203" i="2"/>
  <c r="T203" i="2"/>
  <c r="S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X203" i="2" s="1"/>
  <c r="E203" i="2"/>
  <c r="D203" i="2"/>
  <c r="C203" i="2"/>
  <c r="B203" i="2"/>
  <c r="A203" i="2"/>
  <c r="R203" i="2"/>
  <c r="W202" i="2"/>
  <c r="V202" i="2"/>
  <c r="U202" i="2"/>
  <c r="T202" i="2"/>
  <c r="S202" i="2"/>
  <c r="R202" i="2"/>
  <c r="Q202" i="2"/>
  <c r="P202" i="2"/>
  <c r="H202" i="2"/>
  <c r="G202" i="2"/>
  <c r="F202" i="2"/>
  <c r="X202" i="2" s="1"/>
  <c r="N202" i="2"/>
  <c r="M202" i="2"/>
  <c r="L202" i="2"/>
  <c r="K202" i="2"/>
  <c r="J202" i="2"/>
  <c r="I202" i="2"/>
  <c r="E202" i="2"/>
  <c r="D202" i="2"/>
  <c r="C202" i="2"/>
  <c r="B202" i="2"/>
  <c r="A202" i="2"/>
  <c r="O202" i="2"/>
  <c r="E201" i="2"/>
  <c r="D201" i="2"/>
  <c r="C201" i="2"/>
  <c r="B201" i="2"/>
  <c r="O201" i="2"/>
  <c r="V201" i="2"/>
  <c r="U201" i="2"/>
  <c r="T201" i="2"/>
  <c r="S201" i="2"/>
  <c r="R201" i="2"/>
  <c r="Q201" i="2"/>
  <c r="P201" i="2"/>
  <c r="W201" i="2"/>
  <c r="N201" i="2"/>
  <c r="M201" i="2"/>
  <c r="L201" i="2"/>
  <c r="K201" i="2"/>
  <c r="J201" i="2"/>
  <c r="I201" i="2"/>
  <c r="A201" i="2"/>
  <c r="H201" i="2"/>
  <c r="G201" i="2"/>
  <c r="F201" i="2"/>
  <c r="X201" i="2" s="1"/>
  <c r="T200" i="2"/>
  <c r="U200" i="2"/>
  <c r="V200" i="2"/>
  <c r="A200" i="2"/>
  <c r="H200" i="2"/>
  <c r="B200" i="2"/>
  <c r="C200" i="2"/>
  <c r="D200" i="2"/>
  <c r="E200" i="2"/>
  <c r="F200" i="2"/>
  <c r="X200" i="2" s="1"/>
  <c r="G200" i="2"/>
  <c r="W200" i="2"/>
  <c r="I200" i="2"/>
  <c r="J200" i="2"/>
  <c r="K200" i="2"/>
  <c r="L200" i="2"/>
  <c r="M200" i="2"/>
  <c r="N200" i="2"/>
  <c r="O200" i="2"/>
  <c r="P200" i="2"/>
  <c r="Q200" i="2"/>
  <c r="R200" i="2"/>
  <c r="S200" i="2"/>
  <c r="W199" i="2"/>
  <c r="V199" i="2"/>
  <c r="U199" i="2"/>
  <c r="T199" i="2"/>
  <c r="M199" i="2"/>
  <c r="D199" i="2"/>
  <c r="A199" i="2"/>
  <c r="B199" i="2"/>
  <c r="C199" i="2"/>
  <c r="E199" i="2"/>
  <c r="F199" i="2"/>
  <c r="X199" i="2" s="1"/>
  <c r="P199" i="2"/>
  <c r="G199" i="2"/>
  <c r="H199" i="2"/>
  <c r="I199" i="2"/>
  <c r="J199" i="2"/>
  <c r="K199" i="2"/>
  <c r="L199" i="2"/>
  <c r="N199" i="2"/>
  <c r="O199" i="2"/>
  <c r="Q199" i="2"/>
  <c r="R199" i="2"/>
  <c r="S199" i="2"/>
  <c r="V198" i="2"/>
  <c r="W198" i="2"/>
  <c r="A198" i="2"/>
  <c r="B198" i="2"/>
  <c r="D198" i="2"/>
  <c r="U198" i="2"/>
  <c r="E198" i="2"/>
  <c r="F198" i="2"/>
  <c r="X198" i="2" s="1"/>
  <c r="G198" i="2"/>
  <c r="H198" i="2"/>
  <c r="J198" i="2"/>
  <c r="K198" i="2"/>
  <c r="L198" i="2"/>
  <c r="M198" i="2"/>
  <c r="N198" i="2"/>
  <c r="O198" i="2"/>
  <c r="Q198" i="2"/>
  <c r="P198" i="2"/>
  <c r="I198" i="2"/>
  <c r="R198" i="2"/>
  <c r="S198" i="2"/>
  <c r="T198" i="2"/>
  <c r="C198" i="2"/>
  <c r="B197" i="2"/>
  <c r="A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X197" i="2" s="1"/>
  <c r="E197" i="2"/>
  <c r="D197" i="2"/>
  <c r="C197" i="2"/>
  <c r="A196" i="2"/>
  <c r="Q196" i="2"/>
  <c r="E196" i="2"/>
  <c r="W196" i="2"/>
  <c r="V196" i="2"/>
  <c r="U196" i="2"/>
  <c r="T196" i="2"/>
  <c r="S196" i="2"/>
  <c r="R196" i="2"/>
  <c r="P196" i="2"/>
  <c r="O196" i="2"/>
  <c r="N196" i="2"/>
  <c r="M196" i="2"/>
  <c r="L196" i="2"/>
  <c r="K196" i="2"/>
  <c r="J196" i="2"/>
  <c r="I196" i="2"/>
  <c r="H196" i="2"/>
  <c r="G196" i="2"/>
  <c r="F196" i="2"/>
  <c r="X196" i="2" s="1"/>
  <c r="D196" i="2"/>
  <c r="C196" i="2"/>
  <c r="B196" i="2"/>
  <c r="W195" i="2"/>
  <c r="B195" i="2"/>
  <c r="C195" i="2"/>
  <c r="D195" i="2"/>
  <c r="U195" i="2"/>
  <c r="E195" i="2"/>
  <c r="G195" i="2"/>
  <c r="H195" i="2"/>
  <c r="I195" i="2"/>
  <c r="J195" i="2"/>
  <c r="V195" i="2"/>
  <c r="K195" i="2"/>
  <c r="L195" i="2"/>
  <c r="M195" i="2"/>
  <c r="N195" i="2"/>
  <c r="O195" i="2"/>
  <c r="P195" i="2"/>
  <c r="Q195" i="2"/>
  <c r="R195" i="2"/>
  <c r="S195" i="2"/>
  <c r="A195" i="2"/>
  <c r="T195" i="2"/>
  <c r="F195" i="2"/>
  <c r="X195" i="2" s="1"/>
  <c r="B194" i="2"/>
  <c r="W194" i="2"/>
  <c r="V194" i="2"/>
  <c r="U194" i="2"/>
  <c r="T194" i="2"/>
  <c r="S194" i="2"/>
  <c r="A194" i="2"/>
  <c r="N194" i="2"/>
  <c r="R194" i="2"/>
  <c r="Q194" i="2"/>
  <c r="P194" i="2"/>
  <c r="O194" i="2"/>
  <c r="M194" i="2"/>
  <c r="L194" i="2"/>
  <c r="K194" i="2"/>
  <c r="J194" i="2"/>
  <c r="I194" i="2"/>
  <c r="H194" i="2"/>
  <c r="G194" i="2"/>
  <c r="F194" i="2"/>
  <c r="X194" i="2" s="1"/>
  <c r="E194" i="2"/>
  <c r="D194" i="2"/>
  <c r="C194" i="2"/>
  <c r="C193" i="2"/>
  <c r="D193" i="2"/>
  <c r="E193" i="2"/>
  <c r="F193" i="2"/>
  <c r="X193" i="2" s="1"/>
  <c r="G193" i="2"/>
  <c r="H193" i="2"/>
  <c r="I193" i="2"/>
  <c r="J193" i="2"/>
  <c r="K193" i="2"/>
  <c r="L193" i="2"/>
  <c r="M193" i="2"/>
  <c r="N193" i="2"/>
  <c r="P193" i="2"/>
  <c r="Q193" i="2"/>
  <c r="R193" i="2"/>
  <c r="S193" i="2"/>
  <c r="T193" i="2"/>
  <c r="U193" i="2"/>
  <c r="V193" i="2"/>
  <c r="W193" i="2"/>
  <c r="A193" i="2"/>
  <c r="B193" i="2"/>
  <c r="O193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X192" i="2" s="1"/>
  <c r="E192" i="2"/>
  <c r="D192" i="2"/>
  <c r="C192" i="2"/>
  <c r="B192" i="2"/>
  <c r="A192" i="2"/>
  <c r="W192" i="2"/>
  <c r="V192" i="2"/>
  <c r="U192" i="2"/>
  <c r="D191" i="2"/>
  <c r="W191" i="2"/>
  <c r="C191" i="2"/>
  <c r="A191" i="2"/>
  <c r="B191" i="2"/>
  <c r="I191" i="2"/>
  <c r="E191" i="2"/>
  <c r="F191" i="2"/>
  <c r="X191" i="2" s="1"/>
  <c r="U191" i="2"/>
  <c r="G191" i="2"/>
  <c r="H191" i="2"/>
  <c r="J191" i="2"/>
  <c r="K191" i="2"/>
  <c r="L191" i="2"/>
  <c r="M191" i="2"/>
  <c r="N191" i="2"/>
  <c r="O191" i="2"/>
  <c r="P191" i="2"/>
  <c r="Q191" i="2"/>
  <c r="R191" i="2"/>
  <c r="S191" i="2"/>
  <c r="T191" i="2"/>
  <c r="V191" i="2"/>
  <c r="P190" i="2"/>
  <c r="O190" i="2"/>
  <c r="N190" i="2"/>
  <c r="M190" i="2"/>
  <c r="A190" i="2"/>
  <c r="L190" i="2"/>
  <c r="I190" i="2"/>
  <c r="H190" i="2"/>
  <c r="G190" i="2"/>
  <c r="J190" i="2"/>
  <c r="F190" i="2"/>
  <c r="X190" i="2" s="1"/>
  <c r="E190" i="2"/>
  <c r="D190" i="2"/>
  <c r="C190" i="2"/>
  <c r="B190" i="2"/>
  <c r="W190" i="2"/>
  <c r="Q190" i="2"/>
  <c r="R190" i="2"/>
  <c r="K190" i="2"/>
  <c r="S190" i="2"/>
  <c r="T190" i="2"/>
  <c r="V190" i="2"/>
  <c r="U190" i="2"/>
  <c r="N189" i="2"/>
  <c r="P189" i="2"/>
  <c r="Q189" i="2"/>
  <c r="R189" i="2"/>
  <c r="S189" i="2"/>
  <c r="T189" i="2"/>
  <c r="U189" i="2"/>
  <c r="V189" i="2"/>
  <c r="W189" i="2"/>
  <c r="O189" i="2"/>
  <c r="H189" i="2"/>
  <c r="I189" i="2"/>
  <c r="J189" i="2"/>
  <c r="K189" i="2"/>
  <c r="L189" i="2"/>
  <c r="G189" i="2"/>
  <c r="F189" i="2"/>
  <c r="X189" i="2" s="1"/>
  <c r="E189" i="2"/>
  <c r="D189" i="2"/>
  <c r="C189" i="2"/>
  <c r="B189" i="2"/>
  <c r="A189" i="2"/>
  <c r="M189" i="2"/>
  <c r="M188" i="2"/>
  <c r="N188" i="2"/>
  <c r="O188" i="2"/>
  <c r="P188" i="2"/>
  <c r="Q188" i="2"/>
  <c r="R188" i="2"/>
  <c r="S188" i="2"/>
  <c r="H188" i="2"/>
  <c r="A188" i="2"/>
  <c r="B188" i="2"/>
  <c r="T188" i="2"/>
  <c r="C188" i="2"/>
  <c r="D188" i="2"/>
  <c r="E188" i="2"/>
  <c r="F188" i="2"/>
  <c r="X188" i="2" s="1"/>
  <c r="G188" i="2"/>
  <c r="I188" i="2"/>
  <c r="J188" i="2"/>
  <c r="K188" i="2"/>
  <c r="W188" i="2"/>
  <c r="V188" i="2"/>
  <c r="U188" i="2"/>
  <c r="L188" i="2"/>
  <c r="K187" i="2"/>
  <c r="J187" i="2"/>
  <c r="I187" i="2"/>
  <c r="H187" i="2"/>
  <c r="G187" i="2"/>
  <c r="F187" i="2"/>
  <c r="X187" i="2" s="1"/>
  <c r="E187" i="2"/>
  <c r="D187" i="2"/>
  <c r="C187" i="2"/>
  <c r="B187" i="2"/>
  <c r="A187" i="2"/>
  <c r="P187" i="2"/>
  <c r="W187" i="2"/>
  <c r="V187" i="2"/>
  <c r="U187" i="2"/>
  <c r="T187" i="2"/>
  <c r="S187" i="2"/>
  <c r="R187" i="2"/>
  <c r="Q187" i="2"/>
  <c r="O187" i="2"/>
  <c r="N187" i="2"/>
  <c r="M187" i="2"/>
  <c r="L187" i="2"/>
  <c r="W186" i="2"/>
  <c r="V186" i="2"/>
  <c r="U186" i="2"/>
  <c r="T186" i="2"/>
  <c r="S186" i="2"/>
  <c r="R186" i="2"/>
  <c r="Q186" i="2"/>
  <c r="P186" i="2"/>
  <c r="O186" i="2"/>
  <c r="N186" i="2"/>
  <c r="F186" i="2"/>
  <c r="X186" i="2" s="1"/>
  <c r="M186" i="2"/>
  <c r="E186" i="2"/>
  <c r="L186" i="2"/>
  <c r="K186" i="2"/>
  <c r="J186" i="2"/>
  <c r="I186" i="2"/>
  <c r="H186" i="2"/>
  <c r="G186" i="2"/>
  <c r="C186" i="2"/>
  <c r="B186" i="2"/>
  <c r="A186" i="2"/>
  <c r="D186" i="2"/>
  <c r="A185" i="2"/>
  <c r="H185" i="2"/>
  <c r="S185" i="2"/>
  <c r="W185" i="2"/>
  <c r="V185" i="2"/>
  <c r="U185" i="2"/>
  <c r="T185" i="2"/>
  <c r="R185" i="2"/>
  <c r="Q185" i="2"/>
  <c r="P185" i="2"/>
  <c r="O185" i="2"/>
  <c r="N185" i="2"/>
  <c r="B185" i="2"/>
  <c r="C185" i="2"/>
  <c r="D185" i="2"/>
  <c r="E185" i="2"/>
  <c r="F185" i="2"/>
  <c r="X185" i="2" s="1"/>
  <c r="G185" i="2"/>
  <c r="I185" i="2"/>
  <c r="J185" i="2"/>
  <c r="K185" i="2"/>
  <c r="L185" i="2"/>
  <c r="M185" i="2"/>
  <c r="W184" i="2"/>
  <c r="V184" i="2"/>
  <c r="U184" i="2"/>
  <c r="T184" i="2"/>
  <c r="S184" i="2"/>
  <c r="R184" i="2"/>
  <c r="Q184" i="2"/>
  <c r="P184" i="2"/>
  <c r="O184" i="2"/>
  <c r="N184" i="2"/>
  <c r="M184" i="2"/>
  <c r="C184" i="2"/>
  <c r="K184" i="2"/>
  <c r="J184" i="2"/>
  <c r="I184" i="2"/>
  <c r="H184" i="2"/>
  <c r="G184" i="2"/>
  <c r="F184" i="2"/>
  <c r="X184" i="2" s="1"/>
  <c r="E184" i="2"/>
  <c r="D184" i="2"/>
  <c r="L184" i="2"/>
  <c r="A184" i="2"/>
  <c r="B184" i="2"/>
  <c r="C183" i="2"/>
  <c r="F183" i="2"/>
  <c r="X183" i="2" s="1"/>
  <c r="G183" i="2"/>
  <c r="H183" i="2"/>
  <c r="I183" i="2"/>
  <c r="J183" i="2"/>
  <c r="K183" i="2"/>
  <c r="L183" i="2"/>
  <c r="M183" i="2"/>
  <c r="N183" i="2"/>
  <c r="E183" i="2"/>
  <c r="D183" i="2"/>
  <c r="B183" i="2"/>
  <c r="W183" i="2"/>
  <c r="V183" i="2"/>
  <c r="U183" i="2"/>
  <c r="O183" i="2"/>
  <c r="S183" i="2"/>
  <c r="R183" i="2"/>
  <c r="Q183" i="2"/>
  <c r="P183" i="2"/>
  <c r="A183" i="2"/>
  <c r="T183" i="2"/>
  <c r="J182" i="2"/>
  <c r="I182" i="2"/>
  <c r="H182" i="2"/>
  <c r="G182" i="2"/>
  <c r="F182" i="2"/>
  <c r="X182" i="2" s="1"/>
  <c r="E182" i="2"/>
  <c r="D182" i="2"/>
  <c r="C182" i="2"/>
  <c r="B182" i="2"/>
  <c r="A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U181" i="2"/>
  <c r="J181" i="2"/>
  <c r="I181" i="2"/>
  <c r="H181" i="2"/>
  <c r="G181" i="2"/>
  <c r="F181" i="2"/>
  <c r="X181" i="2" s="1"/>
  <c r="E181" i="2"/>
  <c r="D181" i="2"/>
  <c r="W181" i="2"/>
  <c r="V181" i="2"/>
  <c r="A181" i="2"/>
  <c r="T181" i="2"/>
  <c r="S181" i="2"/>
  <c r="R181" i="2"/>
  <c r="Q181" i="2"/>
  <c r="P181" i="2"/>
  <c r="O181" i="2"/>
  <c r="N181" i="2"/>
  <c r="M181" i="2"/>
  <c r="L181" i="2"/>
  <c r="K181" i="2"/>
  <c r="C181" i="2"/>
  <c r="B181" i="2"/>
  <c r="L180" i="2"/>
  <c r="A180" i="2"/>
  <c r="B180" i="2"/>
  <c r="C180" i="2"/>
  <c r="D180" i="2"/>
  <c r="E180" i="2"/>
  <c r="F180" i="2"/>
  <c r="X180" i="2" s="1"/>
  <c r="G180" i="2"/>
  <c r="H180" i="2"/>
  <c r="I180" i="2"/>
  <c r="T180" i="2"/>
  <c r="J180" i="2"/>
  <c r="K180" i="2"/>
  <c r="M180" i="2"/>
  <c r="N180" i="2"/>
  <c r="O180" i="2"/>
  <c r="P180" i="2"/>
  <c r="Q180" i="2"/>
  <c r="R180" i="2"/>
  <c r="S180" i="2"/>
  <c r="U180" i="2"/>
  <c r="V180" i="2"/>
  <c r="W180" i="2"/>
  <c r="O179" i="2"/>
  <c r="B179" i="2"/>
  <c r="W179" i="2"/>
  <c r="C179" i="2"/>
  <c r="D179" i="2"/>
  <c r="E179" i="2"/>
  <c r="G179" i="2"/>
  <c r="F179" i="2"/>
  <c r="X179" i="2" s="1"/>
  <c r="H179" i="2"/>
  <c r="I179" i="2"/>
  <c r="U179" i="2"/>
  <c r="V179" i="2"/>
  <c r="J179" i="2"/>
  <c r="K179" i="2"/>
  <c r="L179" i="2"/>
  <c r="M179" i="2"/>
  <c r="N179" i="2"/>
  <c r="P179" i="2"/>
  <c r="A179" i="2"/>
  <c r="Q179" i="2"/>
  <c r="R179" i="2"/>
  <c r="S179" i="2"/>
  <c r="T179" i="2"/>
  <c r="I178" i="2"/>
  <c r="J178" i="2"/>
  <c r="A178" i="2"/>
  <c r="B178" i="2"/>
  <c r="C178" i="2"/>
  <c r="E178" i="2"/>
  <c r="F178" i="2"/>
  <c r="X178" i="2" s="1"/>
  <c r="G178" i="2"/>
  <c r="K178" i="2"/>
  <c r="L178" i="2"/>
  <c r="M178" i="2"/>
  <c r="N178" i="2"/>
  <c r="O178" i="2"/>
  <c r="P178" i="2"/>
  <c r="Q178" i="2"/>
  <c r="S178" i="2"/>
  <c r="T178" i="2"/>
  <c r="U178" i="2"/>
  <c r="V178" i="2"/>
  <c r="W178" i="2"/>
  <c r="R178" i="2"/>
  <c r="H178" i="2"/>
  <c r="D178" i="2"/>
  <c r="V177" i="2"/>
  <c r="U177" i="2"/>
  <c r="T177" i="2"/>
  <c r="S177" i="2"/>
  <c r="R177" i="2"/>
  <c r="Q177" i="2"/>
  <c r="P177" i="2"/>
  <c r="O177" i="2"/>
  <c r="N177" i="2"/>
  <c r="M177" i="2"/>
  <c r="K177" i="2"/>
  <c r="J177" i="2"/>
  <c r="I177" i="2"/>
  <c r="H177" i="2"/>
  <c r="G177" i="2"/>
  <c r="F177" i="2"/>
  <c r="X177" i="2" s="1"/>
  <c r="E177" i="2"/>
  <c r="D177" i="2"/>
  <c r="C177" i="2"/>
  <c r="B177" i="2"/>
  <c r="A177" i="2"/>
  <c r="L177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C176" i="2"/>
  <c r="B176" i="2"/>
  <c r="A176" i="2"/>
  <c r="D176" i="2"/>
  <c r="E176" i="2"/>
  <c r="F176" i="2"/>
  <c r="X176" i="2" s="1"/>
  <c r="G176" i="2"/>
  <c r="H176" i="2"/>
  <c r="I176" i="2"/>
  <c r="P175" i="2"/>
  <c r="O175" i="2"/>
  <c r="N175" i="2"/>
  <c r="M175" i="2"/>
  <c r="L175" i="2"/>
  <c r="K175" i="2"/>
  <c r="J175" i="2"/>
  <c r="I175" i="2"/>
  <c r="H175" i="2"/>
  <c r="G175" i="2"/>
  <c r="F175" i="2"/>
  <c r="X175" i="2" s="1"/>
  <c r="E175" i="2"/>
  <c r="D175" i="2"/>
  <c r="C175" i="2"/>
  <c r="B175" i="2"/>
  <c r="A175" i="2"/>
  <c r="U175" i="2"/>
  <c r="W175" i="2"/>
  <c r="V175" i="2"/>
  <c r="T175" i="2"/>
  <c r="S175" i="2"/>
  <c r="R175" i="2"/>
  <c r="Q175" i="2"/>
  <c r="P174" i="2"/>
  <c r="O174" i="2"/>
  <c r="N174" i="2"/>
  <c r="M174" i="2"/>
  <c r="L174" i="2"/>
  <c r="K174" i="2"/>
  <c r="A174" i="2"/>
  <c r="J174" i="2"/>
  <c r="H174" i="2"/>
  <c r="G174" i="2"/>
  <c r="F174" i="2"/>
  <c r="X174" i="2" s="1"/>
  <c r="E174" i="2"/>
  <c r="B174" i="2"/>
  <c r="C174" i="2"/>
  <c r="D174" i="2"/>
  <c r="I174" i="2"/>
  <c r="W174" i="2"/>
  <c r="V174" i="2"/>
  <c r="U174" i="2"/>
  <c r="T174" i="2"/>
  <c r="S174" i="2"/>
  <c r="R174" i="2"/>
  <c r="Q174" i="2"/>
  <c r="O173" i="2"/>
  <c r="P173" i="2"/>
  <c r="Q173" i="2"/>
  <c r="R173" i="2"/>
  <c r="S173" i="2"/>
  <c r="T173" i="2"/>
  <c r="U173" i="2"/>
  <c r="V173" i="2"/>
  <c r="W173" i="2"/>
  <c r="E173" i="2"/>
  <c r="D173" i="2"/>
  <c r="C173" i="2"/>
  <c r="B173" i="2"/>
  <c r="A173" i="2"/>
  <c r="F173" i="2"/>
  <c r="X173" i="2" s="1"/>
  <c r="G173" i="2"/>
  <c r="H173" i="2"/>
  <c r="I173" i="2"/>
  <c r="J173" i="2"/>
  <c r="K173" i="2"/>
  <c r="L173" i="2"/>
  <c r="M173" i="2"/>
  <c r="N173" i="2"/>
  <c r="D172" i="2"/>
  <c r="N172" i="2"/>
  <c r="G172" i="2"/>
  <c r="H172" i="2"/>
  <c r="I172" i="2"/>
  <c r="J172" i="2"/>
  <c r="O172" i="2"/>
  <c r="K172" i="2"/>
  <c r="L172" i="2"/>
  <c r="A172" i="2"/>
  <c r="B172" i="2"/>
  <c r="C172" i="2"/>
  <c r="M172" i="2"/>
  <c r="E172" i="2"/>
  <c r="F172" i="2"/>
  <c r="X172" i="2" s="1"/>
  <c r="P172" i="2"/>
  <c r="Q172" i="2"/>
  <c r="R172" i="2"/>
  <c r="S172" i="2"/>
  <c r="T172" i="2"/>
  <c r="W172" i="2"/>
  <c r="U172" i="2"/>
  <c r="V172" i="2"/>
  <c r="P171" i="2"/>
  <c r="Q171" i="2"/>
  <c r="R171" i="2"/>
  <c r="S171" i="2"/>
  <c r="T171" i="2"/>
  <c r="V171" i="2"/>
  <c r="W171" i="2"/>
  <c r="U171" i="2"/>
  <c r="B171" i="2"/>
  <c r="C171" i="2"/>
  <c r="D171" i="2"/>
  <c r="E171" i="2"/>
  <c r="F171" i="2"/>
  <c r="X171" i="2" s="1"/>
  <c r="G171" i="2"/>
  <c r="H171" i="2"/>
  <c r="J171" i="2"/>
  <c r="I171" i="2"/>
  <c r="K171" i="2"/>
  <c r="L171" i="2"/>
  <c r="M171" i="2"/>
  <c r="N171" i="2"/>
  <c r="A171" i="2"/>
  <c r="O171" i="2"/>
  <c r="K170" i="2"/>
  <c r="J170" i="2"/>
  <c r="I170" i="2"/>
  <c r="H170" i="2"/>
  <c r="G170" i="2"/>
  <c r="F170" i="2"/>
  <c r="X170" i="2" s="1"/>
  <c r="E170" i="2"/>
  <c r="D170" i="2"/>
  <c r="C170" i="2"/>
  <c r="B170" i="2"/>
  <c r="A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G169" i="2"/>
  <c r="F169" i="2"/>
  <c r="X169" i="2" s="1"/>
  <c r="E169" i="2"/>
  <c r="D169" i="2"/>
  <c r="C169" i="2"/>
  <c r="B169" i="2"/>
  <c r="A169" i="2"/>
  <c r="Q169" i="2"/>
  <c r="P169" i="2"/>
  <c r="W169" i="2"/>
  <c r="O169" i="2"/>
  <c r="N169" i="2"/>
  <c r="T169" i="2"/>
  <c r="M169" i="2"/>
  <c r="L169" i="2"/>
  <c r="J169" i="2"/>
  <c r="I169" i="2"/>
  <c r="H169" i="2"/>
  <c r="V169" i="2"/>
  <c r="U169" i="2"/>
  <c r="K169" i="2"/>
  <c r="S169" i="2"/>
  <c r="R169" i="2"/>
  <c r="W168" i="2"/>
  <c r="V168" i="2"/>
  <c r="T168" i="2"/>
  <c r="L168" i="2"/>
  <c r="R168" i="2"/>
  <c r="A168" i="2"/>
  <c r="S168" i="2"/>
  <c r="B168" i="2"/>
  <c r="C168" i="2"/>
  <c r="U168" i="2"/>
  <c r="D168" i="2"/>
  <c r="E168" i="2"/>
  <c r="F168" i="2"/>
  <c r="X168" i="2" s="1"/>
  <c r="G168" i="2"/>
  <c r="H168" i="2"/>
  <c r="I168" i="2"/>
  <c r="J168" i="2"/>
  <c r="K168" i="2"/>
  <c r="M168" i="2"/>
  <c r="N168" i="2"/>
  <c r="O168" i="2"/>
  <c r="P168" i="2"/>
  <c r="Q168" i="2"/>
  <c r="U167" i="2"/>
  <c r="V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X167" i="2" s="1"/>
  <c r="E167" i="2"/>
  <c r="D167" i="2"/>
  <c r="C167" i="2"/>
  <c r="B167" i="2"/>
  <c r="A167" i="2"/>
  <c r="T167" i="2"/>
  <c r="W167" i="2"/>
  <c r="K166" i="2"/>
  <c r="J166" i="2"/>
  <c r="I166" i="2"/>
  <c r="H166" i="2"/>
  <c r="G166" i="2"/>
  <c r="F166" i="2"/>
  <c r="X166" i="2" s="1"/>
  <c r="E166" i="2"/>
  <c r="D166" i="2"/>
  <c r="W166" i="2"/>
  <c r="V166" i="2"/>
  <c r="T166" i="2"/>
  <c r="S166" i="2"/>
  <c r="R166" i="2"/>
  <c r="Q166" i="2"/>
  <c r="P166" i="2"/>
  <c r="O166" i="2"/>
  <c r="N166" i="2"/>
  <c r="M166" i="2"/>
  <c r="L166" i="2"/>
  <c r="C166" i="2"/>
  <c r="B166" i="2"/>
  <c r="A166" i="2"/>
  <c r="U166" i="2"/>
  <c r="M165" i="2"/>
  <c r="N165" i="2"/>
  <c r="O165" i="2"/>
  <c r="Q165" i="2"/>
  <c r="R165" i="2"/>
  <c r="T165" i="2"/>
  <c r="U165" i="2"/>
  <c r="V165" i="2"/>
  <c r="W165" i="2"/>
  <c r="S165" i="2"/>
  <c r="A165" i="2"/>
  <c r="B165" i="2"/>
  <c r="C165" i="2"/>
  <c r="D165" i="2"/>
  <c r="E165" i="2"/>
  <c r="F165" i="2"/>
  <c r="X165" i="2" s="1"/>
  <c r="G165" i="2"/>
  <c r="H165" i="2"/>
  <c r="P165" i="2"/>
  <c r="I165" i="2"/>
  <c r="J165" i="2"/>
  <c r="K165" i="2"/>
  <c r="L165" i="2"/>
  <c r="E164" i="2"/>
  <c r="D164" i="2"/>
  <c r="C164" i="2"/>
  <c r="B164" i="2"/>
  <c r="A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X164" i="2" s="1"/>
  <c r="V163" i="2"/>
  <c r="U163" i="2"/>
  <c r="T163" i="2"/>
  <c r="S163" i="2"/>
  <c r="R163" i="2"/>
  <c r="W163" i="2"/>
  <c r="J146" i="2"/>
  <c r="I146" i="2"/>
  <c r="G146" i="2"/>
  <c r="F146" i="2"/>
  <c r="X146" i="2" s="1"/>
  <c r="E146" i="2"/>
  <c r="D146" i="2"/>
  <c r="H146" i="2"/>
  <c r="C146" i="2"/>
  <c r="B146" i="2"/>
  <c r="A146" i="2"/>
  <c r="N146" i="2"/>
  <c r="M146" i="2"/>
  <c r="L146" i="2"/>
  <c r="K146" i="2"/>
  <c r="P146" i="2"/>
  <c r="O146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A145" i="2"/>
  <c r="B145" i="2"/>
  <c r="C145" i="2"/>
  <c r="D145" i="2"/>
  <c r="E145" i="2"/>
  <c r="F145" i="2"/>
  <c r="X145" i="2" s="1"/>
  <c r="G145" i="2"/>
  <c r="H145" i="2"/>
  <c r="I145" i="2"/>
  <c r="A144" i="2"/>
  <c r="K144" i="2"/>
  <c r="J144" i="2"/>
  <c r="I144" i="2"/>
  <c r="G144" i="2"/>
  <c r="F144" i="2"/>
  <c r="X144" i="2" s="1"/>
  <c r="E144" i="2"/>
  <c r="D144" i="2"/>
  <c r="C144" i="2"/>
  <c r="P144" i="2"/>
  <c r="B144" i="2"/>
  <c r="H144" i="2"/>
  <c r="W144" i="2"/>
  <c r="V144" i="2"/>
  <c r="U144" i="2"/>
  <c r="T144" i="2"/>
  <c r="Q144" i="2"/>
  <c r="N144" i="2"/>
  <c r="O144" i="2"/>
  <c r="R144" i="2"/>
  <c r="S144" i="2"/>
  <c r="M144" i="2"/>
  <c r="L144" i="2"/>
  <c r="W143" i="2"/>
  <c r="V143" i="2"/>
  <c r="U143" i="2"/>
  <c r="T143" i="2"/>
  <c r="S143" i="2"/>
  <c r="R143" i="2"/>
  <c r="Q143" i="2"/>
  <c r="P143" i="2"/>
  <c r="N143" i="2"/>
  <c r="M143" i="2"/>
  <c r="L143" i="2"/>
  <c r="K143" i="2"/>
  <c r="B143" i="2"/>
  <c r="G143" i="2"/>
  <c r="D143" i="2"/>
  <c r="E143" i="2"/>
  <c r="F143" i="2"/>
  <c r="X143" i="2" s="1"/>
  <c r="H143" i="2"/>
  <c r="C143" i="2"/>
  <c r="J143" i="2"/>
  <c r="I143" i="2"/>
  <c r="O143" i="2"/>
  <c r="A143" i="2"/>
  <c r="M142" i="2"/>
  <c r="O142" i="2"/>
  <c r="P142" i="2"/>
  <c r="Q142" i="2"/>
  <c r="R142" i="2"/>
  <c r="S142" i="2"/>
  <c r="U142" i="2"/>
  <c r="V142" i="2"/>
  <c r="W142" i="2"/>
  <c r="K142" i="2"/>
  <c r="J142" i="2"/>
  <c r="I142" i="2"/>
  <c r="T142" i="2"/>
  <c r="G142" i="2"/>
  <c r="F142" i="2"/>
  <c r="X142" i="2" s="1"/>
  <c r="N142" i="2"/>
  <c r="E142" i="2"/>
  <c r="D142" i="2"/>
  <c r="H142" i="2"/>
  <c r="B142" i="2"/>
  <c r="A142" i="2"/>
  <c r="L142" i="2"/>
  <c r="C142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X141" i="2" s="1"/>
  <c r="E141" i="2"/>
  <c r="D141" i="2"/>
  <c r="C141" i="2"/>
  <c r="B141" i="2"/>
  <c r="A141" i="2"/>
  <c r="W141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X140" i="2" s="1"/>
  <c r="E140" i="2"/>
  <c r="D140" i="2"/>
  <c r="C140" i="2"/>
  <c r="B140" i="2"/>
  <c r="A140" i="2"/>
  <c r="U139" i="2"/>
  <c r="T139" i="2"/>
  <c r="S139" i="2"/>
  <c r="R139" i="2"/>
  <c r="Q139" i="2"/>
  <c r="P139" i="2"/>
  <c r="J139" i="2"/>
  <c r="I139" i="2"/>
  <c r="H139" i="2"/>
  <c r="G139" i="2"/>
  <c r="W139" i="2"/>
  <c r="E139" i="2"/>
  <c r="D139" i="2"/>
  <c r="C139" i="2"/>
  <c r="B139" i="2"/>
  <c r="A139" i="2"/>
  <c r="F139" i="2"/>
  <c r="X139" i="2" s="1"/>
  <c r="V139" i="2"/>
  <c r="O139" i="2"/>
  <c r="N139" i="2"/>
  <c r="M139" i="2"/>
  <c r="L139" i="2"/>
  <c r="K139" i="2"/>
  <c r="M138" i="2"/>
  <c r="P138" i="2"/>
  <c r="W138" i="2"/>
  <c r="V138" i="2"/>
  <c r="U138" i="2"/>
  <c r="T138" i="2"/>
  <c r="S138" i="2"/>
  <c r="R138" i="2"/>
  <c r="Q138" i="2"/>
  <c r="D138" i="2"/>
  <c r="O138" i="2"/>
  <c r="N138" i="2"/>
  <c r="I138" i="2"/>
  <c r="K138" i="2"/>
  <c r="L138" i="2"/>
  <c r="J138" i="2"/>
  <c r="G138" i="2"/>
  <c r="A138" i="2"/>
  <c r="B138" i="2"/>
  <c r="C138" i="2"/>
  <c r="E138" i="2"/>
  <c r="F138" i="2"/>
  <c r="X138" i="2" s="1"/>
  <c r="H138" i="2"/>
  <c r="M137" i="2"/>
  <c r="K137" i="2"/>
  <c r="J137" i="2"/>
  <c r="I137" i="2"/>
  <c r="H137" i="2"/>
  <c r="G137" i="2"/>
  <c r="F137" i="2"/>
  <c r="X137" i="2" s="1"/>
  <c r="E137" i="2"/>
  <c r="T137" i="2"/>
  <c r="B137" i="2"/>
  <c r="A137" i="2"/>
  <c r="U137" i="2"/>
  <c r="C137" i="2"/>
  <c r="V137" i="2"/>
  <c r="D137" i="2"/>
  <c r="W137" i="2"/>
  <c r="L137" i="2"/>
  <c r="R137" i="2"/>
  <c r="Q137" i="2"/>
  <c r="P137" i="2"/>
  <c r="O137" i="2"/>
  <c r="S137" i="2"/>
  <c r="N137" i="2"/>
  <c r="G136" i="2"/>
  <c r="H136" i="2"/>
  <c r="J136" i="2"/>
  <c r="K136" i="2"/>
  <c r="L136" i="2"/>
  <c r="A136" i="2"/>
  <c r="M136" i="2"/>
  <c r="N136" i="2"/>
  <c r="O136" i="2"/>
  <c r="S136" i="2"/>
  <c r="P136" i="2"/>
  <c r="R136" i="2"/>
  <c r="V136" i="2"/>
  <c r="T136" i="2"/>
  <c r="W136" i="2"/>
  <c r="Q136" i="2"/>
  <c r="D136" i="2"/>
  <c r="B136" i="2"/>
  <c r="C136" i="2"/>
  <c r="U136" i="2"/>
  <c r="E136" i="2"/>
  <c r="F136" i="2"/>
  <c r="X136" i="2" s="1"/>
  <c r="I136" i="2"/>
  <c r="H135" i="2"/>
  <c r="G135" i="2"/>
  <c r="F135" i="2"/>
  <c r="X135" i="2" s="1"/>
  <c r="E135" i="2"/>
  <c r="D135" i="2"/>
  <c r="C135" i="2"/>
  <c r="B135" i="2"/>
  <c r="A135" i="2"/>
  <c r="S135" i="2"/>
  <c r="T135" i="2"/>
  <c r="U135" i="2"/>
  <c r="V135" i="2"/>
  <c r="W135" i="2"/>
  <c r="R135" i="2"/>
  <c r="Q135" i="2"/>
  <c r="P135" i="2"/>
  <c r="O135" i="2"/>
  <c r="N135" i="2"/>
  <c r="M135" i="2"/>
  <c r="L135" i="2"/>
  <c r="K135" i="2"/>
  <c r="J135" i="2"/>
  <c r="I135" i="2"/>
  <c r="C134" i="2"/>
  <c r="T134" i="2"/>
  <c r="U134" i="2"/>
  <c r="W134" i="2"/>
  <c r="V134" i="2"/>
  <c r="P134" i="2"/>
  <c r="A134" i="2"/>
  <c r="B134" i="2"/>
  <c r="L134" i="2"/>
  <c r="D134" i="2"/>
  <c r="E134" i="2"/>
  <c r="F134" i="2"/>
  <c r="X134" i="2" s="1"/>
  <c r="G134" i="2"/>
  <c r="H134" i="2"/>
  <c r="I134" i="2"/>
  <c r="J134" i="2"/>
  <c r="K134" i="2"/>
  <c r="Q134" i="2"/>
  <c r="M134" i="2"/>
  <c r="N134" i="2"/>
  <c r="O134" i="2"/>
  <c r="R134" i="2"/>
  <c r="S134" i="2"/>
  <c r="R133" i="2"/>
  <c r="S133" i="2"/>
  <c r="T133" i="2"/>
  <c r="U133" i="2"/>
  <c r="V133" i="2"/>
  <c r="W133" i="2"/>
  <c r="Q133" i="2"/>
  <c r="L133" i="2"/>
  <c r="M133" i="2"/>
  <c r="N133" i="2"/>
  <c r="O133" i="2"/>
  <c r="K133" i="2"/>
  <c r="P133" i="2"/>
  <c r="G133" i="2"/>
  <c r="A133" i="2"/>
  <c r="B133" i="2"/>
  <c r="C133" i="2"/>
  <c r="D133" i="2"/>
  <c r="E133" i="2"/>
  <c r="F133" i="2"/>
  <c r="X133" i="2" s="1"/>
  <c r="H133" i="2"/>
  <c r="I133" i="2"/>
  <c r="J133" i="2"/>
  <c r="N132" i="2"/>
  <c r="O132" i="2"/>
  <c r="P132" i="2"/>
  <c r="Q132" i="2"/>
  <c r="L132" i="2"/>
  <c r="R132" i="2"/>
  <c r="S132" i="2"/>
  <c r="U132" i="2"/>
  <c r="V132" i="2"/>
  <c r="W132" i="2"/>
  <c r="T132" i="2"/>
  <c r="M132" i="2"/>
  <c r="F115" i="2"/>
  <c r="X115" i="2" s="1"/>
  <c r="E115" i="2"/>
  <c r="D115" i="2"/>
  <c r="C115" i="2"/>
  <c r="B115" i="2"/>
  <c r="A115" i="2"/>
  <c r="J115" i="2"/>
  <c r="I115" i="2"/>
  <c r="H115" i="2"/>
  <c r="G115" i="2"/>
  <c r="J114" i="2"/>
  <c r="T114" i="2"/>
  <c r="S114" i="2"/>
  <c r="R114" i="2"/>
  <c r="Q114" i="2"/>
  <c r="P114" i="2"/>
  <c r="O114" i="2"/>
  <c r="N114" i="2"/>
  <c r="M114" i="2"/>
  <c r="L114" i="2"/>
  <c r="V114" i="2"/>
  <c r="W114" i="2"/>
  <c r="U114" i="2"/>
  <c r="K114" i="2"/>
  <c r="A114" i="2"/>
  <c r="I114" i="2"/>
  <c r="H114" i="2"/>
  <c r="G114" i="2"/>
  <c r="F114" i="2"/>
  <c r="X114" i="2" s="1"/>
  <c r="E114" i="2"/>
  <c r="D114" i="2"/>
  <c r="C114" i="2"/>
  <c r="B114" i="2"/>
  <c r="I113" i="2"/>
  <c r="T113" i="2"/>
  <c r="S113" i="2"/>
  <c r="R113" i="2"/>
  <c r="Q113" i="2"/>
  <c r="P113" i="2"/>
  <c r="O113" i="2"/>
  <c r="N113" i="2"/>
  <c r="M113" i="2"/>
  <c r="L113" i="2"/>
  <c r="K113" i="2"/>
  <c r="J113" i="2"/>
  <c r="H113" i="2"/>
  <c r="G113" i="2"/>
  <c r="F113" i="2"/>
  <c r="X113" i="2" s="1"/>
  <c r="E113" i="2"/>
  <c r="D113" i="2"/>
  <c r="C113" i="2"/>
  <c r="B113" i="2"/>
  <c r="A113" i="2"/>
  <c r="U113" i="2"/>
  <c r="W113" i="2"/>
  <c r="V113" i="2"/>
  <c r="D112" i="2"/>
  <c r="S112" i="2"/>
  <c r="W112" i="2"/>
  <c r="A112" i="2"/>
  <c r="B112" i="2"/>
  <c r="C112" i="2"/>
  <c r="K112" i="2"/>
  <c r="E112" i="2"/>
  <c r="F112" i="2"/>
  <c r="X112" i="2" s="1"/>
  <c r="G112" i="2"/>
  <c r="I112" i="2"/>
  <c r="J112" i="2"/>
  <c r="V112" i="2"/>
  <c r="L112" i="2"/>
  <c r="M112" i="2"/>
  <c r="T112" i="2"/>
  <c r="N112" i="2"/>
  <c r="O112" i="2"/>
  <c r="P112" i="2"/>
  <c r="Q112" i="2"/>
  <c r="U112" i="2"/>
  <c r="H112" i="2"/>
  <c r="R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X111" i="2" s="1"/>
  <c r="E111" i="2"/>
  <c r="D111" i="2"/>
  <c r="C111" i="2"/>
  <c r="B111" i="2"/>
  <c r="A111" i="2"/>
  <c r="V111" i="2"/>
  <c r="W111" i="2"/>
  <c r="U111" i="2"/>
  <c r="T111" i="2"/>
  <c r="S111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X110" i="2" s="1"/>
  <c r="E110" i="2"/>
  <c r="D110" i="2"/>
  <c r="C110" i="2"/>
  <c r="B110" i="2"/>
  <c r="A110" i="2"/>
  <c r="W110" i="2"/>
  <c r="V110" i="2"/>
  <c r="U110" i="2"/>
  <c r="T110" i="2"/>
  <c r="A109" i="2"/>
  <c r="B109" i="2"/>
  <c r="C109" i="2"/>
  <c r="N109" i="2"/>
  <c r="D109" i="2"/>
  <c r="E109" i="2"/>
  <c r="G109" i="2"/>
  <c r="H109" i="2"/>
  <c r="I109" i="2"/>
  <c r="J109" i="2"/>
  <c r="K109" i="2"/>
  <c r="L109" i="2"/>
  <c r="M109" i="2"/>
  <c r="O109" i="2"/>
  <c r="P109" i="2"/>
  <c r="Q109" i="2"/>
  <c r="R109" i="2"/>
  <c r="S109" i="2"/>
  <c r="T109" i="2"/>
  <c r="U109" i="2"/>
  <c r="V109" i="2"/>
  <c r="W109" i="2"/>
  <c r="F109" i="2"/>
  <c r="X109" i="2" s="1"/>
  <c r="Q108" i="2"/>
  <c r="P108" i="2"/>
  <c r="O108" i="2"/>
  <c r="N108" i="2"/>
  <c r="M108" i="2"/>
  <c r="L108" i="2"/>
  <c r="K108" i="2"/>
  <c r="J108" i="2"/>
  <c r="I108" i="2"/>
  <c r="H108" i="2"/>
  <c r="G108" i="2"/>
  <c r="F108" i="2"/>
  <c r="X108" i="2" s="1"/>
  <c r="E108" i="2"/>
  <c r="D108" i="2"/>
  <c r="C108" i="2"/>
  <c r="B108" i="2"/>
  <c r="A108" i="2"/>
  <c r="W108" i="2"/>
  <c r="V108" i="2"/>
  <c r="U108" i="2"/>
  <c r="T108" i="2"/>
  <c r="S108" i="2"/>
  <c r="R108" i="2"/>
  <c r="W107" i="2"/>
  <c r="P107" i="2"/>
  <c r="O107" i="2"/>
  <c r="N107" i="2"/>
  <c r="M107" i="2"/>
  <c r="G107" i="2"/>
  <c r="J107" i="2"/>
  <c r="B107" i="2"/>
  <c r="C107" i="2"/>
  <c r="D107" i="2"/>
  <c r="E107" i="2"/>
  <c r="F107" i="2"/>
  <c r="X107" i="2" s="1"/>
  <c r="H107" i="2"/>
  <c r="I107" i="2"/>
  <c r="L107" i="2"/>
  <c r="K107" i="2"/>
  <c r="V107" i="2"/>
  <c r="A107" i="2"/>
  <c r="U107" i="2"/>
  <c r="T107" i="2"/>
  <c r="S107" i="2"/>
  <c r="R107" i="2"/>
  <c r="Q107" i="2"/>
  <c r="H106" i="2"/>
  <c r="J106" i="2"/>
  <c r="L106" i="2"/>
  <c r="I106" i="2"/>
  <c r="M106" i="2"/>
  <c r="N106" i="2"/>
  <c r="O106" i="2"/>
  <c r="P106" i="2"/>
  <c r="Q106" i="2"/>
  <c r="S106" i="2"/>
  <c r="T106" i="2"/>
  <c r="U106" i="2"/>
  <c r="V106" i="2"/>
  <c r="W106" i="2"/>
  <c r="R106" i="2"/>
  <c r="K106" i="2"/>
  <c r="G106" i="2"/>
  <c r="F106" i="2"/>
  <c r="X106" i="2" s="1"/>
  <c r="E106" i="2"/>
  <c r="D106" i="2"/>
  <c r="C106" i="2"/>
  <c r="B106" i="2"/>
  <c r="A106" i="2"/>
  <c r="C105" i="2"/>
  <c r="H105" i="2"/>
  <c r="I105" i="2"/>
  <c r="J105" i="2"/>
  <c r="K105" i="2"/>
  <c r="A105" i="2"/>
  <c r="B105" i="2"/>
  <c r="T105" i="2"/>
  <c r="W105" i="2"/>
  <c r="V105" i="2"/>
  <c r="U105" i="2"/>
  <c r="S105" i="2"/>
  <c r="R105" i="2"/>
  <c r="Q105" i="2"/>
  <c r="P105" i="2"/>
  <c r="O105" i="2"/>
  <c r="N105" i="2"/>
  <c r="M105" i="2"/>
  <c r="L105" i="2"/>
  <c r="D105" i="2"/>
  <c r="E105" i="2"/>
  <c r="F105" i="2"/>
  <c r="X105" i="2" s="1"/>
  <c r="G105" i="2"/>
  <c r="V104" i="2"/>
  <c r="U104" i="2"/>
  <c r="T104" i="2"/>
  <c r="S104" i="2"/>
  <c r="R104" i="2"/>
  <c r="Q104" i="2"/>
  <c r="P104" i="2"/>
  <c r="O104" i="2"/>
  <c r="N104" i="2"/>
  <c r="M104" i="2"/>
  <c r="C104" i="2"/>
  <c r="L104" i="2"/>
  <c r="K104" i="2"/>
  <c r="J104" i="2"/>
  <c r="I104" i="2"/>
  <c r="H104" i="2"/>
  <c r="G104" i="2"/>
  <c r="F104" i="2"/>
  <c r="X104" i="2" s="1"/>
  <c r="E104" i="2"/>
  <c r="D104" i="2"/>
  <c r="B104" i="2"/>
  <c r="W104" i="2"/>
  <c r="A104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X103" i="2" s="1"/>
  <c r="E103" i="2"/>
  <c r="D103" i="2"/>
  <c r="C103" i="2"/>
  <c r="B103" i="2"/>
  <c r="A103" i="2"/>
  <c r="W103" i="2"/>
  <c r="V103" i="2"/>
  <c r="P102" i="2"/>
  <c r="O102" i="2"/>
  <c r="N102" i="2"/>
  <c r="M102" i="2"/>
  <c r="L102" i="2"/>
  <c r="K102" i="2"/>
  <c r="J102" i="2"/>
  <c r="I102" i="2"/>
  <c r="H102" i="2"/>
  <c r="G102" i="2"/>
  <c r="F102" i="2"/>
  <c r="X102" i="2" s="1"/>
  <c r="E102" i="2"/>
  <c r="D102" i="2"/>
  <c r="C102" i="2"/>
  <c r="B102" i="2"/>
  <c r="A102" i="2"/>
  <c r="S102" i="2"/>
  <c r="Q102" i="2"/>
  <c r="R102" i="2"/>
  <c r="T102" i="2"/>
  <c r="U102" i="2"/>
  <c r="V102" i="2"/>
  <c r="W102" i="2"/>
  <c r="N101" i="2"/>
  <c r="M101" i="2"/>
  <c r="L101" i="2"/>
  <c r="K101" i="2"/>
  <c r="J101" i="2"/>
  <c r="I101" i="2"/>
  <c r="H101" i="2"/>
  <c r="O101" i="2"/>
  <c r="F101" i="2"/>
  <c r="X101" i="2" s="1"/>
  <c r="W101" i="2"/>
  <c r="V101" i="2"/>
  <c r="G101" i="2"/>
  <c r="U101" i="2"/>
  <c r="T101" i="2"/>
  <c r="S101" i="2"/>
  <c r="R101" i="2"/>
  <c r="Q101" i="2"/>
  <c r="P101" i="2"/>
  <c r="D84" i="2"/>
  <c r="C84" i="2"/>
  <c r="B84" i="2"/>
  <c r="A84" i="2"/>
  <c r="D83" i="2"/>
  <c r="P83" i="2"/>
  <c r="B83" i="2"/>
  <c r="A83" i="2"/>
  <c r="O83" i="2"/>
  <c r="W83" i="2"/>
  <c r="V83" i="2"/>
  <c r="U83" i="2"/>
  <c r="T83" i="2"/>
  <c r="S83" i="2"/>
  <c r="R83" i="2"/>
  <c r="Q83" i="2"/>
  <c r="C83" i="2"/>
  <c r="N83" i="2"/>
  <c r="M83" i="2"/>
  <c r="K83" i="2"/>
  <c r="J83" i="2"/>
  <c r="I83" i="2"/>
  <c r="L83" i="2"/>
  <c r="H83" i="2"/>
  <c r="G83" i="2"/>
  <c r="F83" i="2"/>
  <c r="X83" i="2" s="1"/>
  <c r="E83" i="2"/>
  <c r="B82" i="2"/>
  <c r="A82" i="2"/>
  <c r="C82" i="2"/>
  <c r="D82" i="2"/>
  <c r="E82" i="2"/>
  <c r="F82" i="2"/>
  <c r="X82" i="2" s="1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P81" i="2"/>
  <c r="O81" i="2"/>
  <c r="N81" i="2"/>
  <c r="M81" i="2"/>
  <c r="L81" i="2"/>
  <c r="K81" i="2"/>
  <c r="J81" i="2"/>
  <c r="I81" i="2"/>
  <c r="C81" i="2"/>
  <c r="G81" i="2"/>
  <c r="F81" i="2"/>
  <c r="X81" i="2" s="1"/>
  <c r="E81" i="2"/>
  <c r="D81" i="2"/>
  <c r="B81" i="2"/>
  <c r="A81" i="2"/>
  <c r="H81" i="2"/>
  <c r="T81" i="2"/>
  <c r="W81" i="2"/>
  <c r="V81" i="2"/>
  <c r="U81" i="2"/>
  <c r="S81" i="2"/>
  <c r="R81" i="2"/>
  <c r="Q81" i="2"/>
  <c r="D80" i="2"/>
  <c r="E80" i="2"/>
  <c r="F80" i="2"/>
  <c r="X80" i="2" s="1"/>
  <c r="O80" i="2"/>
  <c r="G80" i="2"/>
  <c r="H80" i="2"/>
  <c r="J80" i="2"/>
  <c r="K80" i="2"/>
  <c r="L80" i="2"/>
  <c r="I80" i="2"/>
  <c r="M80" i="2"/>
  <c r="C80" i="2"/>
  <c r="A80" i="2"/>
  <c r="B80" i="2"/>
  <c r="P80" i="2"/>
  <c r="Q80" i="2"/>
  <c r="R80" i="2"/>
  <c r="N80" i="2"/>
  <c r="S80" i="2"/>
  <c r="U80" i="2"/>
  <c r="V80" i="2"/>
  <c r="W80" i="2"/>
  <c r="T80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X79" i="2" s="1"/>
  <c r="E79" i="2"/>
  <c r="D79" i="2"/>
  <c r="C79" i="2"/>
  <c r="B79" i="2"/>
  <c r="A79" i="2"/>
  <c r="B78" i="2"/>
  <c r="D78" i="2"/>
  <c r="E78" i="2"/>
  <c r="F78" i="2"/>
  <c r="X78" i="2" s="1"/>
  <c r="G78" i="2"/>
  <c r="M78" i="2"/>
  <c r="T78" i="2"/>
  <c r="H78" i="2"/>
  <c r="I78" i="2"/>
  <c r="J78" i="2"/>
  <c r="K78" i="2"/>
  <c r="A78" i="2"/>
  <c r="L78" i="2"/>
  <c r="C78" i="2"/>
  <c r="N78" i="2"/>
  <c r="O78" i="2"/>
  <c r="W78" i="2"/>
  <c r="V78" i="2"/>
  <c r="U78" i="2"/>
  <c r="S78" i="2"/>
  <c r="R78" i="2"/>
  <c r="Q78" i="2"/>
  <c r="P78" i="2"/>
  <c r="A77" i="2"/>
  <c r="B77" i="2"/>
  <c r="C77" i="2"/>
  <c r="Q77" i="2"/>
  <c r="R77" i="2"/>
  <c r="D77" i="2"/>
  <c r="T77" i="2"/>
  <c r="U77" i="2"/>
  <c r="V77" i="2"/>
  <c r="W77" i="2"/>
  <c r="S77" i="2"/>
  <c r="L77" i="2"/>
  <c r="G77" i="2"/>
  <c r="P77" i="2"/>
  <c r="O77" i="2"/>
  <c r="N77" i="2"/>
  <c r="M77" i="2"/>
  <c r="F77" i="2"/>
  <c r="X77" i="2" s="1"/>
  <c r="K77" i="2"/>
  <c r="J77" i="2"/>
  <c r="I77" i="2"/>
  <c r="H77" i="2"/>
  <c r="E77" i="2"/>
  <c r="D76" i="2"/>
  <c r="S76" i="2"/>
  <c r="B76" i="2"/>
  <c r="C76" i="2"/>
  <c r="L76" i="2"/>
  <c r="E76" i="2"/>
  <c r="F76" i="2"/>
  <c r="X76" i="2" s="1"/>
  <c r="A76" i="2"/>
  <c r="G76" i="2"/>
  <c r="H76" i="2"/>
  <c r="I76" i="2"/>
  <c r="J76" i="2"/>
  <c r="K76" i="2"/>
  <c r="M76" i="2"/>
  <c r="N76" i="2"/>
  <c r="O76" i="2"/>
  <c r="P76" i="2"/>
  <c r="Q76" i="2"/>
  <c r="R76" i="2"/>
  <c r="T76" i="2"/>
  <c r="U76" i="2"/>
  <c r="V76" i="2"/>
  <c r="W76" i="2"/>
  <c r="B75" i="2"/>
  <c r="M75" i="2"/>
  <c r="L75" i="2"/>
  <c r="F75" i="2"/>
  <c r="X75" i="2" s="1"/>
  <c r="K75" i="2"/>
  <c r="J75" i="2"/>
  <c r="W75" i="2"/>
  <c r="I75" i="2"/>
  <c r="H75" i="2"/>
  <c r="G75" i="2"/>
  <c r="P75" i="2"/>
  <c r="V75" i="2"/>
  <c r="U75" i="2"/>
  <c r="T75" i="2"/>
  <c r="S75" i="2"/>
  <c r="A75" i="2"/>
  <c r="R75" i="2"/>
  <c r="C75" i="2"/>
  <c r="D75" i="2"/>
  <c r="E75" i="2"/>
  <c r="Q75" i="2"/>
  <c r="O75" i="2"/>
  <c r="N75" i="2"/>
  <c r="V74" i="2"/>
  <c r="U74" i="2"/>
  <c r="T74" i="2"/>
  <c r="P74" i="2"/>
  <c r="Q74" i="2"/>
  <c r="R74" i="2"/>
  <c r="S74" i="2"/>
  <c r="L74" i="2"/>
  <c r="E74" i="2"/>
  <c r="B74" i="2"/>
  <c r="A74" i="2"/>
  <c r="W74" i="2"/>
  <c r="C74" i="2"/>
  <c r="D74" i="2"/>
  <c r="F74" i="2"/>
  <c r="X74" i="2" s="1"/>
  <c r="G74" i="2"/>
  <c r="H74" i="2"/>
  <c r="I74" i="2"/>
  <c r="J74" i="2"/>
  <c r="K74" i="2"/>
  <c r="M74" i="2"/>
  <c r="N74" i="2"/>
  <c r="O74" i="2"/>
  <c r="D73" i="2"/>
  <c r="E73" i="2"/>
  <c r="F73" i="2"/>
  <c r="X73" i="2" s="1"/>
  <c r="G73" i="2"/>
  <c r="H73" i="2"/>
  <c r="V73" i="2"/>
  <c r="U73" i="2"/>
  <c r="T73" i="2"/>
  <c r="S73" i="2"/>
  <c r="R73" i="2"/>
  <c r="P73" i="2"/>
  <c r="O73" i="2"/>
  <c r="N73" i="2"/>
  <c r="M73" i="2"/>
  <c r="Q73" i="2"/>
  <c r="I73" i="2"/>
  <c r="L73" i="2"/>
  <c r="A73" i="2"/>
  <c r="K73" i="2"/>
  <c r="J73" i="2"/>
  <c r="B73" i="2"/>
  <c r="C73" i="2"/>
  <c r="W73" i="2"/>
  <c r="W72" i="2"/>
  <c r="V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X72" i="2" s="1"/>
  <c r="E72" i="2"/>
  <c r="D72" i="2"/>
  <c r="C72" i="2"/>
  <c r="B72" i="2"/>
  <c r="A72" i="2"/>
  <c r="U72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X71" i="2" s="1"/>
  <c r="E71" i="2"/>
  <c r="D71" i="2"/>
  <c r="C71" i="2"/>
  <c r="B71" i="2"/>
  <c r="A71" i="2"/>
  <c r="W70" i="2"/>
  <c r="V70" i="2"/>
  <c r="B70" i="2"/>
  <c r="A70" i="2"/>
  <c r="M70" i="2"/>
  <c r="N70" i="2"/>
  <c r="O70" i="2"/>
  <c r="P70" i="2"/>
  <c r="Q70" i="2"/>
  <c r="R70" i="2"/>
  <c r="S70" i="2"/>
  <c r="T70" i="2"/>
  <c r="F70" i="2"/>
  <c r="X70" i="2" s="1"/>
  <c r="U70" i="2"/>
  <c r="K70" i="2"/>
  <c r="C70" i="2"/>
  <c r="D70" i="2"/>
  <c r="E70" i="2"/>
  <c r="G70" i="2"/>
  <c r="H70" i="2"/>
  <c r="I70" i="2"/>
  <c r="J70" i="2"/>
  <c r="L70" i="2"/>
  <c r="Q69" i="2"/>
  <c r="W69" i="2"/>
  <c r="V69" i="2"/>
  <c r="U69" i="2"/>
  <c r="T69" i="2"/>
  <c r="A69" i="2"/>
  <c r="P69" i="2"/>
  <c r="O69" i="2"/>
  <c r="N69" i="2"/>
  <c r="M69" i="2"/>
  <c r="L69" i="2"/>
  <c r="K69" i="2"/>
  <c r="J69" i="2"/>
  <c r="S69" i="2"/>
  <c r="I69" i="2"/>
  <c r="H69" i="2"/>
  <c r="G69" i="2"/>
  <c r="F69" i="2"/>
  <c r="X69" i="2" s="1"/>
  <c r="E69" i="2"/>
  <c r="D69" i="2"/>
  <c r="C69" i="2"/>
  <c r="R69" i="2"/>
  <c r="B69" i="2"/>
  <c r="E68" i="2"/>
  <c r="D68" i="2"/>
  <c r="C68" i="2"/>
  <c r="B68" i="2"/>
  <c r="A68" i="2"/>
  <c r="W68" i="2"/>
  <c r="V68" i="2"/>
  <c r="U68" i="2"/>
  <c r="N68" i="2"/>
  <c r="T68" i="2"/>
  <c r="S68" i="2"/>
  <c r="R68" i="2"/>
  <c r="Q68" i="2"/>
  <c r="P68" i="2"/>
  <c r="O68" i="2"/>
  <c r="M68" i="2"/>
  <c r="L68" i="2"/>
  <c r="K68" i="2"/>
  <c r="J68" i="2"/>
  <c r="I68" i="2"/>
  <c r="H68" i="2"/>
  <c r="G68" i="2"/>
  <c r="F68" i="2"/>
  <c r="X68" i="2" s="1"/>
  <c r="D67" i="2"/>
  <c r="E67" i="2"/>
  <c r="F67" i="2"/>
  <c r="X67" i="2" s="1"/>
  <c r="G67" i="2"/>
  <c r="A67" i="2"/>
  <c r="W67" i="2"/>
  <c r="V67" i="2"/>
  <c r="J67" i="2"/>
  <c r="U67" i="2"/>
  <c r="T67" i="2"/>
  <c r="S67" i="2"/>
  <c r="R67" i="2"/>
  <c r="Q67" i="2"/>
  <c r="P67" i="2"/>
  <c r="O67" i="2"/>
  <c r="N67" i="2"/>
  <c r="B67" i="2"/>
  <c r="L67" i="2"/>
  <c r="K67" i="2"/>
  <c r="I67" i="2"/>
  <c r="H67" i="2"/>
  <c r="C67" i="2"/>
  <c r="M67" i="2"/>
  <c r="J66" i="2"/>
  <c r="I66" i="2"/>
  <c r="H66" i="2"/>
  <c r="G66" i="2"/>
  <c r="F66" i="2"/>
  <c r="X66" i="2" s="1"/>
  <c r="E66" i="2"/>
  <c r="D66" i="2"/>
  <c r="C66" i="2"/>
  <c r="B66" i="2"/>
  <c r="A66" i="2"/>
  <c r="L66" i="2"/>
  <c r="Q66" i="2"/>
  <c r="R66" i="2"/>
  <c r="S66" i="2"/>
  <c r="T66" i="2"/>
  <c r="U66" i="2"/>
  <c r="V66" i="2"/>
  <c r="W66" i="2"/>
  <c r="O66" i="2"/>
  <c r="P66" i="2"/>
  <c r="N66" i="2"/>
  <c r="M66" i="2"/>
  <c r="K66" i="2"/>
  <c r="G65" i="2"/>
  <c r="H65" i="2"/>
  <c r="I65" i="2"/>
  <c r="J65" i="2"/>
  <c r="K65" i="2"/>
  <c r="L65" i="2"/>
  <c r="M65" i="2"/>
  <c r="A65" i="2"/>
  <c r="B65" i="2"/>
  <c r="N65" i="2"/>
  <c r="O65" i="2"/>
  <c r="C65" i="2"/>
  <c r="D65" i="2"/>
  <c r="E65" i="2"/>
  <c r="F65" i="2"/>
  <c r="X65" i="2" s="1"/>
  <c r="P65" i="2"/>
  <c r="Q65" i="2"/>
  <c r="R65" i="2"/>
  <c r="S65" i="2"/>
  <c r="T65" i="2"/>
  <c r="U65" i="2"/>
  <c r="V65" i="2"/>
  <c r="W65" i="2"/>
  <c r="M64" i="2"/>
  <c r="N64" i="2"/>
  <c r="O64" i="2"/>
  <c r="P64" i="2"/>
  <c r="Q64" i="2"/>
  <c r="R64" i="2"/>
  <c r="S64" i="2"/>
  <c r="T64" i="2"/>
  <c r="U64" i="2"/>
  <c r="V64" i="2"/>
  <c r="W64" i="2"/>
  <c r="K64" i="2"/>
  <c r="A64" i="2"/>
  <c r="B64" i="2"/>
  <c r="C64" i="2"/>
  <c r="E64" i="2"/>
  <c r="F64" i="2"/>
  <c r="X64" i="2" s="1"/>
  <c r="G64" i="2"/>
  <c r="H64" i="2"/>
  <c r="I64" i="2"/>
  <c r="J64" i="2"/>
  <c r="L64" i="2"/>
  <c r="D64" i="2"/>
  <c r="D63" i="2"/>
  <c r="E63" i="2"/>
  <c r="F63" i="2"/>
  <c r="X63" i="2" s="1"/>
  <c r="G63" i="2"/>
  <c r="H63" i="2"/>
  <c r="I63" i="2"/>
  <c r="J63" i="2"/>
  <c r="K63" i="2"/>
  <c r="B63" i="2"/>
  <c r="A63" i="2"/>
  <c r="L63" i="2"/>
  <c r="M63" i="2"/>
  <c r="N63" i="2"/>
  <c r="O63" i="2"/>
  <c r="C63" i="2"/>
  <c r="P63" i="2"/>
  <c r="Q63" i="2"/>
  <c r="R63" i="2"/>
  <c r="S63" i="2"/>
  <c r="T63" i="2"/>
  <c r="U63" i="2"/>
  <c r="V63" i="2"/>
  <c r="W63" i="2"/>
  <c r="N62" i="2"/>
  <c r="M62" i="2"/>
  <c r="L62" i="2"/>
  <c r="K62" i="2"/>
  <c r="J62" i="2"/>
  <c r="I62" i="2"/>
  <c r="H62" i="2"/>
  <c r="G62" i="2"/>
  <c r="F62" i="2"/>
  <c r="X62" i="2" s="1"/>
  <c r="E62" i="2"/>
  <c r="D62" i="2"/>
  <c r="C62" i="2"/>
  <c r="B62" i="2"/>
  <c r="A62" i="2"/>
  <c r="Q62" i="2"/>
  <c r="W62" i="2"/>
  <c r="V62" i="2"/>
  <c r="U62" i="2"/>
  <c r="T62" i="2"/>
  <c r="S62" i="2"/>
  <c r="R62" i="2"/>
  <c r="P62" i="2"/>
  <c r="O62" i="2"/>
  <c r="T52" i="2"/>
  <c r="U52" i="2"/>
  <c r="V52" i="2"/>
  <c r="L52" i="2"/>
  <c r="A52" i="2"/>
  <c r="B52" i="2"/>
  <c r="C52" i="2"/>
  <c r="D52" i="2"/>
  <c r="E52" i="2"/>
  <c r="F52" i="2"/>
  <c r="X52" i="2" s="1"/>
  <c r="G52" i="2"/>
  <c r="H52" i="2"/>
  <c r="I52" i="2"/>
  <c r="J52" i="2"/>
  <c r="S52" i="2"/>
  <c r="K52" i="2"/>
  <c r="M52" i="2"/>
  <c r="N52" i="2"/>
  <c r="O52" i="2"/>
  <c r="P52" i="2"/>
  <c r="Q52" i="2"/>
  <c r="R52" i="2"/>
  <c r="O51" i="2"/>
  <c r="P51" i="2"/>
  <c r="Q51" i="2"/>
  <c r="R51" i="2"/>
  <c r="S51" i="2"/>
  <c r="T51" i="2"/>
  <c r="U51" i="2"/>
  <c r="V51" i="2"/>
  <c r="K51" i="2"/>
  <c r="J51" i="2"/>
  <c r="W51" i="2"/>
  <c r="I51" i="2"/>
  <c r="H51" i="2"/>
  <c r="G51" i="2"/>
  <c r="F51" i="2"/>
  <c r="X51" i="2" s="1"/>
  <c r="E51" i="2"/>
  <c r="D51" i="2"/>
  <c r="C51" i="2"/>
  <c r="B51" i="2"/>
  <c r="A51" i="2"/>
  <c r="N51" i="2"/>
  <c r="M51" i="2"/>
  <c r="L51" i="2"/>
  <c r="H50" i="2"/>
  <c r="I50" i="2"/>
  <c r="J50" i="2"/>
  <c r="F50" i="2"/>
  <c r="X50" i="2" s="1"/>
  <c r="Q50" i="2"/>
  <c r="G50" i="2"/>
  <c r="A50" i="2"/>
  <c r="B50" i="2"/>
  <c r="C50" i="2"/>
  <c r="D50" i="2"/>
  <c r="E50" i="2"/>
  <c r="W50" i="2"/>
  <c r="V50" i="2"/>
  <c r="U50" i="2"/>
  <c r="T50" i="2"/>
  <c r="S50" i="2"/>
  <c r="R50" i="2"/>
  <c r="P50" i="2"/>
  <c r="O50" i="2"/>
  <c r="N50" i="2"/>
  <c r="M50" i="2"/>
  <c r="L50" i="2"/>
  <c r="K50" i="2"/>
  <c r="S49" i="2"/>
  <c r="T49" i="2"/>
  <c r="U49" i="2"/>
  <c r="V49" i="2"/>
  <c r="W49" i="2"/>
  <c r="R49" i="2"/>
  <c r="J49" i="2"/>
  <c r="L49" i="2"/>
  <c r="O49" i="2"/>
  <c r="M49" i="2"/>
  <c r="K49" i="2"/>
  <c r="A49" i="2"/>
  <c r="B49" i="2"/>
  <c r="C49" i="2"/>
  <c r="D49" i="2"/>
  <c r="E49" i="2"/>
  <c r="F49" i="2"/>
  <c r="X49" i="2" s="1"/>
  <c r="N49" i="2"/>
  <c r="H49" i="2"/>
  <c r="I49" i="2"/>
  <c r="P49" i="2"/>
  <c r="Q49" i="2"/>
  <c r="G49" i="2"/>
  <c r="F48" i="2"/>
  <c r="X48" i="2" s="1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E48" i="2"/>
  <c r="A48" i="2"/>
  <c r="B48" i="2"/>
  <c r="C48" i="2"/>
  <c r="D48" i="2"/>
  <c r="D47" i="2"/>
  <c r="W47" i="2"/>
  <c r="V47" i="2"/>
  <c r="U47" i="2"/>
  <c r="T47" i="2"/>
  <c r="S47" i="2"/>
  <c r="R47" i="2"/>
  <c r="Q47" i="2"/>
  <c r="I47" i="2"/>
  <c r="P47" i="2"/>
  <c r="O47" i="2"/>
  <c r="N47" i="2"/>
  <c r="M47" i="2"/>
  <c r="L47" i="2"/>
  <c r="K47" i="2"/>
  <c r="J47" i="2"/>
  <c r="G47" i="2"/>
  <c r="H47" i="2"/>
  <c r="F47" i="2"/>
  <c r="X47" i="2" s="1"/>
  <c r="E47" i="2"/>
  <c r="C47" i="2"/>
  <c r="B47" i="2"/>
  <c r="A47" i="2"/>
  <c r="R46" i="2"/>
  <c r="Q46" i="2"/>
  <c r="P46" i="2"/>
  <c r="O46" i="2"/>
  <c r="M46" i="2"/>
  <c r="L46" i="2"/>
  <c r="K46" i="2"/>
  <c r="J46" i="2"/>
  <c r="I46" i="2"/>
  <c r="H46" i="2"/>
  <c r="G46" i="2"/>
  <c r="N46" i="2"/>
  <c r="W46" i="2"/>
  <c r="V46" i="2"/>
  <c r="U46" i="2"/>
  <c r="T46" i="2"/>
  <c r="S46" i="2"/>
  <c r="F46" i="2"/>
  <c r="X46" i="2" s="1"/>
  <c r="E46" i="2"/>
  <c r="D46" i="2"/>
  <c r="C46" i="2"/>
  <c r="B46" i="2"/>
  <c r="A46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X45" i="2" s="1"/>
  <c r="E45" i="2"/>
  <c r="D45" i="2"/>
  <c r="C45" i="2"/>
  <c r="B45" i="2"/>
  <c r="A45" i="2"/>
  <c r="S44" i="2"/>
  <c r="W44" i="2"/>
  <c r="V44" i="2"/>
  <c r="U44" i="2"/>
  <c r="T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X44" i="2" s="1"/>
  <c r="E44" i="2"/>
  <c r="D44" i="2"/>
  <c r="C44" i="2"/>
  <c r="B44" i="2"/>
  <c r="A44" i="2"/>
  <c r="O43" i="2"/>
  <c r="P43" i="2"/>
  <c r="Q43" i="2"/>
  <c r="R43" i="2"/>
  <c r="S43" i="2"/>
  <c r="T43" i="2"/>
  <c r="U43" i="2"/>
  <c r="V43" i="2"/>
  <c r="W43" i="2"/>
  <c r="N43" i="2"/>
  <c r="A43" i="2"/>
  <c r="B43" i="2"/>
  <c r="C43" i="2"/>
  <c r="D43" i="2"/>
  <c r="E43" i="2"/>
  <c r="F43" i="2"/>
  <c r="X43" i="2" s="1"/>
  <c r="G43" i="2"/>
  <c r="H43" i="2"/>
  <c r="I43" i="2"/>
  <c r="J43" i="2"/>
  <c r="K43" i="2"/>
  <c r="L43" i="2"/>
  <c r="M43" i="2"/>
  <c r="L42" i="2"/>
  <c r="K42" i="2"/>
  <c r="J42" i="2"/>
  <c r="I42" i="2"/>
  <c r="G42" i="2"/>
  <c r="F42" i="2"/>
  <c r="X42" i="2" s="1"/>
  <c r="E42" i="2"/>
  <c r="D42" i="2"/>
  <c r="C42" i="2"/>
  <c r="B42" i="2"/>
  <c r="A42" i="2"/>
  <c r="W42" i="2"/>
  <c r="V42" i="2"/>
  <c r="U42" i="2"/>
  <c r="T42" i="2"/>
  <c r="H42" i="2"/>
  <c r="S42" i="2"/>
  <c r="R42" i="2"/>
  <c r="Q42" i="2"/>
  <c r="P42" i="2"/>
  <c r="O42" i="2"/>
  <c r="N42" i="2"/>
  <c r="M42" i="2"/>
  <c r="L41" i="2"/>
  <c r="K41" i="2"/>
  <c r="J41" i="2"/>
  <c r="I41" i="2"/>
  <c r="H41" i="2"/>
  <c r="G41" i="2"/>
  <c r="E41" i="2"/>
  <c r="D41" i="2"/>
  <c r="C41" i="2"/>
  <c r="B41" i="2"/>
  <c r="A41" i="2"/>
  <c r="O41" i="2"/>
  <c r="W41" i="2"/>
  <c r="V41" i="2"/>
  <c r="U41" i="2"/>
  <c r="F41" i="2"/>
  <c r="X41" i="2" s="1"/>
  <c r="T41" i="2"/>
  <c r="S41" i="2"/>
  <c r="Q41" i="2"/>
  <c r="P41" i="2"/>
  <c r="N41" i="2"/>
  <c r="M41" i="2"/>
  <c r="R41" i="2"/>
  <c r="W40" i="2"/>
  <c r="V40" i="2"/>
  <c r="U40" i="2"/>
  <c r="T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D40" i="2"/>
  <c r="C40" i="2"/>
  <c r="B40" i="2"/>
  <c r="A40" i="2"/>
  <c r="F40" i="2"/>
  <c r="X40" i="2" s="1"/>
  <c r="S40" i="2"/>
  <c r="H39" i="2"/>
  <c r="G39" i="2"/>
  <c r="F39" i="2"/>
  <c r="X39" i="2" s="1"/>
  <c r="E39" i="2"/>
  <c r="D39" i="2"/>
  <c r="J39" i="2"/>
  <c r="B39" i="2"/>
  <c r="A39" i="2"/>
  <c r="W39" i="2"/>
  <c r="L39" i="2"/>
  <c r="I39" i="2"/>
  <c r="M39" i="2"/>
  <c r="N39" i="2"/>
  <c r="C39" i="2"/>
  <c r="P39" i="2"/>
  <c r="Q39" i="2"/>
  <c r="R39" i="2"/>
  <c r="S39" i="2"/>
  <c r="T39" i="2"/>
  <c r="U39" i="2"/>
  <c r="V39" i="2"/>
  <c r="K39" i="2"/>
  <c r="O39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X38" i="2" s="1"/>
  <c r="E38" i="2"/>
  <c r="D38" i="2"/>
  <c r="C38" i="2"/>
  <c r="B38" i="2"/>
  <c r="A38" i="2"/>
  <c r="W38" i="2"/>
  <c r="V38" i="2"/>
  <c r="U37" i="2"/>
  <c r="J37" i="2"/>
  <c r="K37" i="2"/>
  <c r="L37" i="2"/>
  <c r="F37" i="2"/>
  <c r="X37" i="2" s="1"/>
  <c r="A37" i="2"/>
  <c r="T37" i="2"/>
  <c r="E37" i="2"/>
  <c r="D37" i="2"/>
  <c r="M37" i="2"/>
  <c r="N37" i="2"/>
  <c r="O37" i="2"/>
  <c r="C37" i="2"/>
  <c r="B37" i="2"/>
  <c r="I37" i="2"/>
  <c r="P37" i="2"/>
  <c r="Q37" i="2"/>
  <c r="R37" i="2"/>
  <c r="S37" i="2"/>
  <c r="W37" i="2"/>
  <c r="V37" i="2"/>
  <c r="H37" i="2"/>
  <c r="G37" i="2"/>
  <c r="S36" i="2"/>
  <c r="G36" i="2"/>
  <c r="H36" i="2"/>
  <c r="I36" i="2"/>
  <c r="K36" i="2"/>
  <c r="T36" i="2"/>
  <c r="L36" i="2"/>
  <c r="M36" i="2"/>
  <c r="N36" i="2"/>
  <c r="O36" i="2"/>
  <c r="P36" i="2"/>
  <c r="Q36" i="2"/>
  <c r="R36" i="2"/>
  <c r="U36" i="2"/>
  <c r="V36" i="2"/>
  <c r="J36" i="2"/>
  <c r="W36" i="2"/>
  <c r="F36" i="2"/>
  <c r="X36" i="2" s="1"/>
  <c r="A36" i="2"/>
  <c r="B36" i="2"/>
  <c r="C36" i="2"/>
  <c r="D36" i="2"/>
  <c r="E36" i="2"/>
  <c r="B35" i="2"/>
  <c r="C35" i="2"/>
  <c r="D35" i="2"/>
  <c r="E35" i="2"/>
  <c r="O35" i="2"/>
  <c r="A35" i="2"/>
  <c r="N35" i="2"/>
  <c r="M35" i="2"/>
  <c r="F35" i="2"/>
  <c r="X35" i="2" s="1"/>
  <c r="G35" i="2"/>
  <c r="H35" i="2"/>
  <c r="I35" i="2"/>
  <c r="J35" i="2"/>
  <c r="K35" i="2"/>
  <c r="L35" i="2"/>
  <c r="Q35" i="2"/>
  <c r="W35" i="2"/>
  <c r="V35" i="2"/>
  <c r="U35" i="2"/>
  <c r="T35" i="2"/>
  <c r="S35" i="2"/>
  <c r="R35" i="2"/>
  <c r="P35" i="2"/>
  <c r="T34" i="2"/>
  <c r="W34" i="2"/>
  <c r="V34" i="2"/>
  <c r="U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X34" i="2" s="1"/>
  <c r="E34" i="2"/>
  <c r="D34" i="2"/>
  <c r="C34" i="2"/>
  <c r="B34" i="2"/>
  <c r="A34" i="2"/>
  <c r="P33" i="2"/>
  <c r="O33" i="2"/>
  <c r="N33" i="2"/>
  <c r="M33" i="2"/>
  <c r="L33" i="2"/>
  <c r="K33" i="2"/>
  <c r="J33" i="2"/>
  <c r="I33" i="2"/>
  <c r="H33" i="2"/>
  <c r="F33" i="2"/>
  <c r="A33" i="2"/>
  <c r="S33" i="2"/>
  <c r="Q33" i="2"/>
  <c r="W33" i="2"/>
  <c r="V33" i="2"/>
  <c r="U33" i="2"/>
  <c r="T33" i="2"/>
  <c r="Z34" i="1"/>
  <c r="R34" i="1"/>
  <c r="R33" i="2" s="1"/>
  <c r="W32" i="2"/>
  <c r="T32" i="2"/>
  <c r="U32" i="2"/>
  <c r="A32" i="2"/>
  <c r="V32" i="2"/>
  <c r="H32" i="2"/>
  <c r="I32" i="2"/>
  <c r="K32" i="2"/>
  <c r="L32" i="2"/>
  <c r="M32" i="2"/>
  <c r="N32" i="2"/>
  <c r="F32" i="2"/>
  <c r="O32" i="2"/>
  <c r="P32" i="2"/>
  <c r="Q32" i="2"/>
  <c r="S32" i="2"/>
  <c r="Q31" i="2"/>
  <c r="T31" i="2"/>
  <c r="V31" i="2"/>
  <c r="W31" i="2"/>
  <c r="U31" i="2"/>
  <c r="N31" i="2"/>
  <c r="O31" i="2"/>
  <c r="P31" i="2"/>
  <c r="A31" i="2"/>
  <c r="F31" i="2"/>
  <c r="H31" i="2"/>
  <c r="I31" i="2"/>
  <c r="S31" i="2"/>
  <c r="K31" i="2"/>
  <c r="L31" i="2"/>
  <c r="M31" i="2"/>
  <c r="S30" i="2"/>
  <c r="R30" i="2"/>
  <c r="Q30" i="2"/>
  <c r="P30" i="2"/>
  <c r="O30" i="2"/>
  <c r="N30" i="2"/>
  <c r="M30" i="2"/>
  <c r="L30" i="2"/>
  <c r="K30" i="2"/>
  <c r="J30" i="2"/>
  <c r="H30" i="2"/>
  <c r="F30" i="2"/>
  <c r="A30" i="2"/>
  <c r="W30" i="2"/>
  <c r="V30" i="2"/>
  <c r="U30" i="2"/>
  <c r="T30" i="2"/>
  <c r="Z31" i="1"/>
  <c r="I31" i="1"/>
  <c r="A29" i="2"/>
  <c r="N29" i="2"/>
  <c r="L29" i="2"/>
  <c r="V29" i="2"/>
  <c r="W29" i="2"/>
  <c r="U29" i="2"/>
  <c r="T29" i="2"/>
  <c r="S29" i="2"/>
  <c r="Q29" i="2"/>
  <c r="P29" i="2"/>
  <c r="O29" i="2"/>
  <c r="M29" i="2"/>
  <c r="K29" i="2"/>
  <c r="J29" i="2"/>
  <c r="I29" i="2"/>
  <c r="H29" i="2"/>
  <c r="F29" i="2"/>
  <c r="Z30" i="1"/>
  <c r="R30" i="1"/>
  <c r="R29" i="2" s="1"/>
  <c r="AC30" i="1"/>
  <c r="AB30" i="1"/>
  <c r="AA30" i="1"/>
  <c r="X30" i="1"/>
  <c r="AD30" i="1"/>
  <c r="D28" i="2"/>
  <c r="C28" i="2"/>
  <c r="B28" i="2"/>
  <c r="A28" i="2"/>
  <c r="Q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I28" i="2"/>
  <c r="H28" i="2"/>
  <c r="G28" i="2"/>
  <c r="F28" i="2"/>
  <c r="X28" i="2" s="1"/>
  <c r="E28" i="2"/>
  <c r="S27" i="2"/>
  <c r="T27" i="2"/>
  <c r="U27" i="2"/>
  <c r="V27" i="2"/>
  <c r="W27" i="2"/>
  <c r="G27" i="2"/>
  <c r="F27" i="2"/>
  <c r="X27" i="2" s="1"/>
  <c r="E27" i="2"/>
  <c r="D27" i="2"/>
  <c r="C27" i="2"/>
  <c r="B27" i="2"/>
  <c r="A27" i="2"/>
  <c r="Q27" i="2"/>
  <c r="I27" i="2"/>
  <c r="H27" i="2"/>
  <c r="J27" i="2"/>
  <c r="K27" i="2"/>
  <c r="L27" i="2"/>
  <c r="M27" i="2"/>
  <c r="N27" i="2"/>
  <c r="O27" i="2"/>
  <c r="P27" i="2"/>
  <c r="R27" i="2"/>
  <c r="A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6" i="2"/>
  <c r="Z27" i="1"/>
  <c r="A25" i="2"/>
  <c r="K25" i="2"/>
  <c r="N25" i="2"/>
  <c r="I25" i="2"/>
  <c r="H25" i="2"/>
  <c r="F25" i="2"/>
  <c r="W25" i="2"/>
  <c r="V25" i="2"/>
  <c r="U25" i="2"/>
  <c r="T25" i="2"/>
  <c r="S25" i="2"/>
  <c r="Q25" i="2"/>
  <c r="P25" i="2"/>
  <c r="O25" i="2"/>
  <c r="M25" i="2"/>
  <c r="L25" i="2"/>
  <c r="H24" i="2"/>
  <c r="F24" i="2"/>
  <c r="A24" i="2"/>
  <c r="W24" i="2"/>
  <c r="V24" i="2"/>
  <c r="U24" i="2"/>
  <c r="T24" i="2"/>
  <c r="S24" i="2"/>
  <c r="Q24" i="2"/>
  <c r="P24" i="2"/>
  <c r="O24" i="2"/>
  <c r="N24" i="2"/>
  <c r="M24" i="2"/>
  <c r="L24" i="2"/>
  <c r="K24" i="2"/>
  <c r="I24" i="2"/>
  <c r="W23" i="2"/>
  <c r="V23" i="2"/>
  <c r="U23" i="2"/>
  <c r="T23" i="2"/>
  <c r="S23" i="2"/>
  <c r="Q23" i="2"/>
  <c r="P23" i="2"/>
  <c r="O23" i="2"/>
  <c r="N23" i="2"/>
  <c r="M23" i="2"/>
  <c r="L23" i="2"/>
  <c r="J23" i="2"/>
  <c r="H23" i="2"/>
  <c r="F23" i="2"/>
  <c r="A23" i="2"/>
  <c r="K23" i="2"/>
  <c r="Z24" i="1"/>
  <c r="R24" i="1"/>
  <c r="R23" i="2" s="1"/>
  <c r="I24" i="1"/>
  <c r="V22" i="2"/>
  <c r="U22" i="2"/>
  <c r="T22" i="2"/>
  <c r="S22" i="2"/>
  <c r="Q22" i="2"/>
  <c r="W22" i="2"/>
  <c r="F22" i="2"/>
  <c r="A22" i="2"/>
  <c r="P22" i="2"/>
  <c r="O22" i="2"/>
  <c r="N22" i="2"/>
  <c r="M22" i="2"/>
  <c r="L22" i="2"/>
  <c r="K22" i="2"/>
  <c r="I22" i="2"/>
  <c r="H22" i="2"/>
  <c r="S21" i="2"/>
  <c r="H21" i="2"/>
  <c r="Q21" i="2"/>
  <c r="T21" i="2"/>
  <c r="F21" i="2"/>
  <c r="A21" i="2"/>
  <c r="U21" i="2"/>
  <c r="I21" i="2"/>
  <c r="K21" i="2"/>
  <c r="L21" i="2"/>
  <c r="M21" i="2"/>
  <c r="N21" i="2"/>
  <c r="O21" i="2"/>
  <c r="P21" i="2"/>
  <c r="V21" i="2"/>
  <c r="W21" i="2"/>
  <c r="K20" i="2"/>
  <c r="W20" i="2"/>
  <c r="V20" i="2"/>
  <c r="U20" i="2"/>
  <c r="T20" i="2"/>
  <c r="S20" i="2"/>
  <c r="R20" i="2"/>
  <c r="P20" i="2"/>
  <c r="O20" i="2"/>
  <c r="N20" i="2"/>
  <c r="M20" i="2"/>
  <c r="Q20" i="2"/>
  <c r="L20" i="2"/>
  <c r="J20" i="2"/>
  <c r="H20" i="2"/>
  <c r="F20" i="2"/>
  <c r="A20" i="2"/>
  <c r="Z21" i="1"/>
  <c r="I21" i="1"/>
  <c r="I19" i="2"/>
  <c r="H19" i="2"/>
  <c r="F19" i="2"/>
  <c r="A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Z20" i="1"/>
  <c r="R18" i="2"/>
  <c r="S18" i="2"/>
  <c r="T18" i="2"/>
  <c r="V18" i="2"/>
  <c r="W18" i="2"/>
  <c r="K18" i="2"/>
  <c r="A18" i="2"/>
  <c r="U18" i="2"/>
  <c r="Q18" i="2"/>
  <c r="P18" i="2"/>
  <c r="O18" i="2"/>
  <c r="N18" i="2"/>
  <c r="M18" i="2"/>
  <c r="L18" i="2"/>
  <c r="J18" i="2"/>
  <c r="I18" i="2"/>
  <c r="H18" i="2"/>
  <c r="F18" i="2"/>
  <c r="Z19" i="1"/>
  <c r="AB19" i="1"/>
  <c r="X19" i="1"/>
  <c r="AA19" i="1"/>
  <c r="AC19" i="1"/>
  <c r="AD19" i="1"/>
  <c r="E17" i="2"/>
  <c r="D17" i="2"/>
  <c r="C17" i="2"/>
  <c r="B17" i="2"/>
  <c r="A17" i="2"/>
  <c r="N17" i="2"/>
  <c r="W17" i="2"/>
  <c r="V17" i="2"/>
  <c r="U17" i="2"/>
  <c r="T17" i="2"/>
  <c r="S17" i="2"/>
  <c r="R17" i="2"/>
  <c r="H17" i="2"/>
  <c r="Q17" i="2"/>
  <c r="P17" i="2"/>
  <c r="O17" i="2"/>
  <c r="M17" i="2"/>
  <c r="L17" i="2"/>
  <c r="K17" i="2"/>
  <c r="J17" i="2"/>
  <c r="I17" i="2"/>
  <c r="G17" i="2"/>
  <c r="F17" i="2"/>
  <c r="X17" i="2" s="1"/>
  <c r="P16" i="2"/>
  <c r="Q16" i="2"/>
  <c r="R16" i="2"/>
  <c r="S16" i="2"/>
  <c r="T16" i="2"/>
  <c r="U16" i="2"/>
  <c r="V16" i="2"/>
  <c r="W16" i="2"/>
  <c r="E16" i="2"/>
  <c r="D16" i="2"/>
  <c r="C16" i="2"/>
  <c r="B16" i="2"/>
  <c r="A16" i="2"/>
  <c r="G16" i="2"/>
  <c r="H16" i="2"/>
  <c r="I16" i="2"/>
  <c r="F16" i="2"/>
  <c r="X16" i="2" s="1"/>
  <c r="J16" i="2"/>
  <c r="K16" i="2"/>
  <c r="L16" i="2"/>
  <c r="M16" i="2"/>
  <c r="N16" i="2"/>
  <c r="O16" i="2"/>
  <c r="W15" i="2"/>
  <c r="V15" i="2"/>
  <c r="U15" i="2"/>
  <c r="T15" i="2"/>
  <c r="S15" i="2"/>
  <c r="R15" i="2"/>
  <c r="Q15" i="2"/>
  <c r="A15" i="2"/>
  <c r="F15" i="2"/>
  <c r="H15" i="2"/>
  <c r="I15" i="2"/>
  <c r="J15" i="2"/>
  <c r="K15" i="2"/>
  <c r="L15" i="2"/>
  <c r="M15" i="2"/>
  <c r="N15" i="2"/>
  <c r="O15" i="2"/>
  <c r="P15" i="2"/>
  <c r="Z16" i="1"/>
  <c r="S14" i="2"/>
  <c r="I14" i="2"/>
  <c r="A14" i="2"/>
  <c r="H14" i="2"/>
  <c r="M14" i="2"/>
  <c r="P14" i="2"/>
  <c r="V14" i="2"/>
  <c r="W14" i="2"/>
  <c r="U14" i="2"/>
  <c r="T14" i="2"/>
  <c r="Q14" i="2"/>
  <c r="O14" i="2"/>
  <c r="N14" i="2"/>
  <c r="L14" i="2"/>
  <c r="K14" i="2"/>
  <c r="F14" i="2"/>
  <c r="T13" i="2"/>
  <c r="Q13" i="2"/>
  <c r="L13" i="2"/>
  <c r="K13" i="2"/>
  <c r="I13" i="2"/>
  <c r="H13" i="2"/>
  <c r="F13" i="2"/>
  <c r="O13" i="2"/>
  <c r="N13" i="2"/>
  <c r="W13" i="2"/>
  <c r="P13" i="2"/>
  <c r="M13" i="2"/>
  <c r="S13" i="2"/>
  <c r="A13" i="2"/>
  <c r="V13" i="2"/>
  <c r="U13" i="2"/>
  <c r="A12" i="2"/>
  <c r="W12" i="2"/>
  <c r="U12" i="2"/>
  <c r="R12" i="2"/>
  <c r="P12" i="2"/>
  <c r="J12" i="2"/>
  <c r="F12" i="2"/>
  <c r="V12" i="2"/>
  <c r="T12" i="2"/>
  <c r="S12" i="2"/>
  <c r="M12" i="2"/>
  <c r="Q12" i="2"/>
  <c r="O12" i="2"/>
  <c r="N12" i="2"/>
  <c r="L12" i="2"/>
  <c r="K12" i="2"/>
  <c r="H12" i="2"/>
  <c r="Z13" i="1"/>
  <c r="I13" i="1"/>
  <c r="N11" i="2"/>
  <c r="K11" i="2"/>
  <c r="H11" i="2"/>
  <c r="F11" i="2"/>
  <c r="A11" i="2"/>
  <c r="T11" i="2"/>
  <c r="V11" i="2"/>
  <c r="L11" i="2"/>
  <c r="M11" i="2"/>
  <c r="O11" i="2"/>
  <c r="P11" i="2"/>
  <c r="I11" i="2"/>
  <c r="Q11" i="2"/>
  <c r="S11" i="2"/>
  <c r="U11" i="2"/>
  <c r="W11" i="2"/>
  <c r="W10" i="2"/>
  <c r="V10" i="2"/>
  <c r="U10" i="2"/>
  <c r="T10" i="2"/>
  <c r="S10" i="2"/>
  <c r="Q10" i="2"/>
  <c r="P10" i="2"/>
  <c r="N10" i="2"/>
  <c r="M10" i="2"/>
  <c r="L10" i="2"/>
  <c r="F10" i="2"/>
  <c r="A10" i="2"/>
  <c r="K10" i="2"/>
  <c r="O10" i="2"/>
  <c r="H10" i="2"/>
  <c r="I10" i="2"/>
  <c r="H9" i="2"/>
  <c r="F9" i="2"/>
  <c r="A9" i="2"/>
  <c r="Q9" i="2"/>
  <c r="R9" i="2"/>
  <c r="S9" i="2"/>
  <c r="T9" i="2"/>
  <c r="U9" i="2"/>
  <c r="V9" i="2"/>
  <c r="W9" i="2"/>
  <c r="P9" i="2"/>
  <c r="O9" i="2"/>
  <c r="N9" i="2"/>
  <c r="M9" i="2"/>
  <c r="L9" i="2"/>
  <c r="K9" i="2"/>
  <c r="J9" i="2"/>
  <c r="Z10" i="1"/>
  <c r="I10" i="1"/>
  <c r="J8" i="2"/>
  <c r="H8" i="2"/>
  <c r="L8" i="2"/>
  <c r="A8" i="2"/>
  <c r="T8" i="2"/>
  <c r="F8" i="2"/>
  <c r="I8" i="2"/>
  <c r="K8" i="2"/>
  <c r="M8" i="2"/>
  <c r="O8" i="2"/>
  <c r="Q8" i="2"/>
  <c r="S8" i="2"/>
  <c r="V8" i="2"/>
  <c r="W8" i="2"/>
  <c r="U8" i="2"/>
  <c r="R8" i="2"/>
  <c r="P8" i="2"/>
  <c r="N8" i="2"/>
  <c r="Z9" i="1"/>
  <c r="W7" i="2"/>
  <c r="V7" i="2"/>
  <c r="S7" i="2"/>
  <c r="R7" i="2"/>
  <c r="P7" i="2"/>
  <c r="N7" i="2"/>
  <c r="L7" i="2"/>
  <c r="K7" i="2"/>
  <c r="I7" i="2"/>
  <c r="H7" i="2"/>
  <c r="F7" i="2"/>
  <c r="Q7" i="2"/>
  <c r="A7" i="2"/>
  <c r="U7" i="2"/>
  <c r="T7" i="2"/>
  <c r="O7" i="2"/>
  <c r="M7" i="2"/>
  <c r="J7" i="2"/>
  <c r="Z8" i="1"/>
  <c r="A6" i="2"/>
  <c r="V6" i="2"/>
  <c r="T6" i="2"/>
  <c r="R6" i="2"/>
  <c r="Q6" i="2"/>
  <c r="O6" i="2"/>
  <c r="N6" i="2"/>
  <c r="L6" i="2"/>
  <c r="J6" i="2"/>
  <c r="I6" i="2"/>
  <c r="F6" i="2"/>
  <c r="W6" i="2"/>
  <c r="U6" i="2"/>
  <c r="S6" i="2"/>
  <c r="P6" i="2"/>
  <c r="M6" i="2"/>
  <c r="K6" i="2"/>
  <c r="H6" i="2"/>
  <c r="Z7" i="1"/>
  <c r="X7" i="1"/>
  <c r="AB7" i="1"/>
  <c r="AC7" i="1"/>
  <c r="AD7" i="1"/>
  <c r="AA7" i="1"/>
  <c r="V5" i="2"/>
  <c r="R5" i="2"/>
  <c r="W5" i="2"/>
  <c r="U5" i="2"/>
  <c r="T5" i="2"/>
  <c r="O5" i="2"/>
  <c r="K5" i="2"/>
  <c r="H5" i="2"/>
  <c r="F5" i="2"/>
  <c r="X5" i="2" s="1"/>
  <c r="C5" i="2"/>
  <c r="B5" i="2"/>
  <c r="A5" i="2"/>
  <c r="Q5" i="2"/>
  <c r="P5" i="2"/>
  <c r="M5" i="2"/>
  <c r="N5" i="2"/>
  <c r="L5" i="2"/>
  <c r="J5" i="2"/>
  <c r="I5" i="2"/>
  <c r="G5" i="2"/>
  <c r="E5" i="2"/>
  <c r="D5" i="2"/>
  <c r="S5" i="2"/>
  <c r="J14" i="1" l="1"/>
  <c r="I12" i="2"/>
  <c r="R14" i="1"/>
  <c r="R13" i="2" s="1"/>
  <c r="X6" i="2"/>
  <c r="I30" i="2"/>
  <c r="J32" i="1"/>
  <c r="D29" i="2"/>
  <c r="AC31" i="1"/>
  <c r="AB31" i="1"/>
  <c r="C29" i="2"/>
  <c r="AA31" i="1"/>
  <c r="B29" i="2"/>
  <c r="Y30" i="1"/>
  <c r="G30" i="1" s="1"/>
  <c r="G29" i="2" s="1"/>
  <c r="X31" i="1"/>
  <c r="AD31" i="1"/>
  <c r="E29" i="2"/>
  <c r="I23" i="2"/>
  <c r="J25" i="1"/>
  <c r="I20" i="2"/>
  <c r="J22" i="1"/>
  <c r="C18" i="2"/>
  <c r="AB20" i="1"/>
  <c r="X20" i="1"/>
  <c r="Y19" i="1"/>
  <c r="G19" i="1" s="1"/>
  <c r="G18" i="2" s="1"/>
  <c r="AA20" i="1"/>
  <c r="B18" i="2"/>
  <c r="AC20" i="1"/>
  <c r="D18" i="2"/>
  <c r="E18" i="2"/>
  <c r="AD20" i="1"/>
  <c r="J11" i="1"/>
  <c r="I9" i="2"/>
  <c r="X8" i="1"/>
  <c r="Y7" i="1"/>
  <c r="G7" i="1" s="1"/>
  <c r="G6" i="2" s="1"/>
  <c r="AB8" i="1"/>
  <c r="C6" i="2"/>
  <c r="AC8" i="1"/>
  <c r="D6" i="2"/>
  <c r="AD8" i="1"/>
  <c r="E6" i="2"/>
  <c r="B6" i="2"/>
  <c r="AA8" i="1"/>
  <c r="Y14" i="1" l="1"/>
  <c r="J15" i="1"/>
  <c r="J13" i="2"/>
  <c r="Z32" i="1"/>
  <c r="R32" i="1"/>
  <c r="R31" i="2" s="1"/>
  <c r="Y32" i="1"/>
  <c r="J31" i="2"/>
  <c r="J33" i="1"/>
  <c r="D30" i="2"/>
  <c r="AC32" i="1"/>
  <c r="C30" i="2"/>
  <c r="AB32" i="1"/>
  <c r="B30" i="2"/>
  <c r="AA32" i="1"/>
  <c r="Y31" i="1"/>
  <c r="X32" i="1"/>
  <c r="AD32" i="1"/>
  <c r="E30" i="2"/>
  <c r="Y25" i="1"/>
  <c r="R25" i="1"/>
  <c r="R24" i="2" s="1"/>
  <c r="J26" i="1"/>
  <c r="J24" i="2"/>
  <c r="Y22" i="1"/>
  <c r="R22" i="1"/>
  <c r="R21" i="2" s="1"/>
  <c r="Z22" i="1"/>
  <c r="J21" i="2"/>
  <c r="J23" i="1"/>
  <c r="Z25" i="1" s="1"/>
  <c r="C19" i="2"/>
  <c r="AB21" i="1"/>
  <c r="Y20" i="1"/>
  <c r="G20" i="1" s="1"/>
  <c r="G19" i="2" s="1"/>
  <c r="X21" i="1"/>
  <c r="AA21" i="1"/>
  <c r="B19" i="2"/>
  <c r="AC21" i="1"/>
  <c r="D19" i="2"/>
  <c r="AD21" i="1"/>
  <c r="E19" i="2"/>
  <c r="R15" i="1"/>
  <c r="R14" i="2" s="1"/>
  <c r="Y15" i="1"/>
  <c r="J14" i="2"/>
  <c r="R11" i="1"/>
  <c r="R10" i="2" s="1"/>
  <c r="Z11" i="1"/>
  <c r="Y11" i="1"/>
  <c r="J10" i="2"/>
  <c r="J12" i="1"/>
  <c r="Z15" i="1" s="1"/>
  <c r="Y8" i="1"/>
  <c r="G8" i="1" s="1"/>
  <c r="G7" i="2" s="1"/>
  <c r="X9" i="1"/>
  <c r="C7" i="2"/>
  <c r="AB9" i="1"/>
  <c r="D7" i="2"/>
  <c r="AC9" i="1"/>
  <c r="E7" i="2"/>
  <c r="AD9" i="1"/>
  <c r="B7" i="2"/>
  <c r="AA9" i="1"/>
  <c r="X7" i="2"/>
  <c r="X8" i="2"/>
  <c r="X33" i="1" l="1"/>
  <c r="X34" i="1" s="1"/>
  <c r="Y34" i="1" s="1"/>
  <c r="G34" i="1" s="1"/>
  <c r="G33" i="2" s="1"/>
  <c r="G31" i="1"/>
  <c r="G30" i="2" s="1"/>
  <c r="G32" i="1"/>
  <c r="G31" i="2" s="1"/>
  <c r="Z33" i="1"/>
  <c r="G33" i="1" s="1"/>
  <c r="G32" i="2" s="1"/>
  <c r="Y33" i="1"/>
  <c r="R33" i="1"/>
  <c r="R32" i="2" s="1"/>
  <c r="J32" i="2"/>
  <c r="D31" i="2"/>
  <c r="AC33" i="1"/>
  <c r="C31" i="2"/>
  <c r="AB33" i="1"/>
  <c r="B31" i="2"/>
  <c r="AA33" i="1"/>
  <c r="E31" i="2"/>
  <c r="AD33" i="1"/>
  <c r="Z26" i="1"/>
  <c r="R26" i="1"/>
  <c r="R25" i="2" s="1"/>
  <c r="Y26" i="1"/>
  <c r="J25" i="2"/>
  <c r="G23" i="1"/>
  <c r="G22" i="2" s="1"/>
  <c r="Z23" i="1"/>
  <c r="Y23" i="1"/>
  <c r="R23" i="1"/>
  <c r="R22" i="2" s="1"/>
  <c r="J22" i="2"/>
  <c r="C20" i="2"/>
  <c r="AB22" i="1"/>
  <c r="X22" i="1"/>
  <c r="X23" i="1" s="1"/>
  <c r="X24" i="1" s="1"/>
  <c r="Y21" i="1"/>
  <c r="B20" i="2"/>
  <c r="AA22" i="1"/>
  <c r="AC22" i="1"/>
  <c r="D20" i="2"/>
  <c r="AD22" i="1"/>
  <c r="E20" i="2"/>
  <c r="Z14" i="1"/>
  <c r="Y12" i="1"/>
  <c r="R12" i="1"/>
  <c r="R11" i="2" s="1"/>
  <c r="Z12" i="1"/>
  <c r="J11" i="2"/>
  <c r="Y9" i="1"/>
  <c r="G9" i="1" s="1"/>
  <c r="G8" i="2" s="1"/>
  <c r="X10" i="1"/>
  <c r="C8" i="2"/>
  <c r="AB10" i="1"/>
  <c r="D8" i="2"/>
  <c r="AC10" i="1"/>
  <c r="E8" i="2"/>
  <c r="AD10" i="1"/>
  <c r="B8" i="2"/>
  <c r="AA10" i="1"/>
  <c r="X9" i="2"/>
  <c r="D32" i="2" l="1"/>
  <c r="AC34" i="1"/>
  <c r="D33" i="2" s="1"/>
  <c r="C32" i="2"/>
  <c r="AB34" i="1"/>
  <c r="C33" i="2" s="1"/>
  <c r="B32" i="2"/>
  <c r="AA34" i="1"/>
  <c r="B33" i="2" s="1"/>
  <c r="E32" i="2"/>
  <c r="AD34" i="1"/>
  <c r="E33" i="2" s="1"/>
  <c r="AB23" i="1"/>
  <c r="C21" i="2"/>
  <c r="X25" i="1"/>
  <c r="X26" i="1" s="1"/>
  <c r="X27" i="1" s="1"/>
  <c r="Y27" i="1" s="1"/>
  <c r="G27" i="1" s="1"/>
  <c r="G26" i="2" s="1"/>
  <c r="Y24" i="1"/>
  <c r="G22" i="1"/>
  <c r="G21" i="2" s="1"/>
  <c r="G21" i="1"/>
  <c r="G20" i="2" s="1"/>
  <c r="B21" i="2"/>
  <c r="AA23" i="1"/>
  <c r="D21" i="2"/>
  <c r="AC23" i="1"/>
  <c r="E21" i="2"/>
  <c r="AD23" i="1"/>
  <c r="Y10" i="1"/>
  <c r="X11" i="1"/>
  <c r="X12" i="1" s="1"/>
  <c r="X13" i="1" s="1"/>
  <c r="C9" i="2"/>
  <c r="AB11" i="1"/>
  <c r="D9" i="2"/>
  <c r="AC11" i="1"/>
  <c r="E9" i="2"/>
  <c r="AD11" i="1"/>
  <c r="B9" i="2"/>
  <c r="AA11" i="1"/>
  <c r="X10" i="2"/>
  <c r="AB24" i="1" l="1"/>
  <c r="C22" i="2"/>
  <c r="G26" i="1"/>
  <c r="G25" i="2" s="1"/>
  <c r="G25" i="1"/>
  <c r="G24" i="2" s="1"/>
  <c r="G24" i="1"/>
  <c r="G23" i="2" s="1"/>
  <c r="AA24" i="1"/>
  <c r="B22" i="2"/>
  <c r="D22" i="2"/>
  <c r="AC24" i="1"/>
  <c r="AD24" i="1"/>
  <c r="E22" i="2"/>
  <c r="G12" i="1"/>
  <c r="G11" i="2" s="1"/>
  <c r="G11" i="1"/>
  <c r="G10" i="2" s="1"/>
  <c r="G10" i="1"/>
  <c r="G9" i="2" s="1"/>
  <c r="X14" i="1"/>
  <c r="X15" i="1" s="1"/>
  <c r="X16" i="1" s="1"/>
  <c r="Y16" i="1" s="1"/>
  <c r="G16" i="1" s="1"/>
  <c r="G15" i="2" s="1"/>
  <c r="Y13" i="1"/>
  <c r="C10" i="2"/>
  <c r="AB12" i="1"/>
  <c r="D10" i="2"/>
  <c r="AC12" i="1"/>
  <c r="E10" i="2"/>
  <c r="AD12" i="1"/>
  <c r="B10" i="2"/>
  <c r="AA12" i="1"/>
  <c r="X11" i="2"/>
  <c r="AB25" i="1" l="1"/>
  <c r="C23" i="2"/>
  <c r="B23" i="2"/>
  <c r="AA25" i="1"/>
  <c r="AC25" i="1"/>
  <c r="D23" i="2"/>
  <c r="E23" i="2"/>
  <c r="AD25" i="1"/>
  <c r="G15" i="1"/>
  <c r="G14" i="2" s="1"/>
  <c r="G14" i="1"/>
  <c r="G13" i="2" s="1"/>
  <c r="G13" i="1"/>
  <c r="G12" i="2" s="1"/>
  <c r="C11" i="2"/>
  <c r="AB13" i="1"/>
  <c r="D11" i="2"/>
  <c r="AC13" i="1"/>
  <c r="E11" i="2"/>
  <c r="AD13" i="1"/>
  <c r="B11" i="2"/>
  <c r="AA13" i="1"/>
  <c r="X12" i="2"/>
  <c r="X13" i="2" l="1"/>
  <c r="AB26" i="1"/>
  <c r="C24" i="2"/>
  <c r="B24" i="2"/>
  <c r="AA26" i="1"/>
  <c r="AC26" i="1"/>
  <c r="D24" i="2"/>
  <c r="AD26" i="1"/>
  <c r="E24" i="2"/>
  <c r="AB14" i="1"/>
  <c r="C12" i="2"/>
  <c r="D12" i="2"/>
  <c r="AC14" i="1"/>
  <c r="AD14" i="1"/>
  <c r="E12" i="2"/>
  <c r="B12" i="2"/>
  <c r="AA14" i="1"/>
  <c r="X14" i="2" l="1"/>
  <c r="AB27" i="1"/>
  <c r="C26" i="2" s="1"/>
  <c r="C25" i="2"/>
  <c r="AA27" i="1"/>
  <c r="B26" i="2" s="1"/>
  <c r="B25" i="2"/>
  <c r="D25" i="2"/>
  <c r="AC27" i="1"/>
  <c r="D26" i="2" s="1"/>
  <c r="AD27" i="1"/>
  <c r="E26" i="2" s="1"/>
  <c r="E25" i="2"/>
  <c r="AB15" i="1"/>
  <c r="C13" i="2"/>
  <c r="D13" i="2"/>
  <c r="AC15" i="1"/>
  <c r="E13" i="2"/>
  <c r="AD15" i="1"/>
  <c r="B13" i="2"/>
  <c r="AA15" i="1"/>
  <c r="X15" i="2" l="1"/>
  <c r="C14" i="2"/>
  <c r="AB16" i="1"/>
  <c r="C15" i="2" s="1"/>
  <c r="D14" i="2"/>
  <c r="AC16" i="1"/>
  <c r="D15" i="2" s="1"/>
  <c r="E14" i="2"/>
  <c r="AD16" i="1"/>
  <c r="E15" i="2" s="1"/>
  <c r="B14" i="2"/>
  <c r="AA16" i="1"/>
  <c r="B15" i="2" s="1"/>
  <c r="X18" i="2" l="1"/>
  <c r="X19" i="2" l="1"/>
  <c r="X20" i="2" l="1"/>
  <c r="X21" i="2" l="1"/>
  <c r="X22" i="2" l="1"/>
  <c r="X23" i="2" l="1"/>
  <c r="X24" i="2" l="1"/>
  <c r="X25" i="2" l="1"/>
  <c r="X26" i="2" l="1"/>
  <c r="X29" i="2" l="1"/>
  <c r="X30" i="2" l="1"/>
  <c r="X31" i="2" l="1"/>
  <c r="X32" i="2" l="1"/>
  <c r="A141" i="5" l="1"/>
  <c r="R196" i="5"/>
  <c r="J135" i="5"/>
  <c r="P53" i="5"/>
  <c r="V135" i="5"/>
  <c r="L135" i="5"/>
  <c r="F135" i="5"/>
  <c r="X33" i="2"/>
  <c r="D76" i="5"/>
  <c r="D87" i="5"/>
  <c r="J200" i="5"/>
  <c r="G149" i="5"/>
  <c r="M135" i="5"/>
  <c r="C157" i="5" l="1"/>
  <c r="R74" i="5"/>
  <c r="E48" i="5"/>
  <c r="P76" i="5"/>
  <c r="R135" i="5"/>
  <c r="Q134" i="5"/>
  <c r="L48" i="5"/>
  <c r="K153" i="5"/>
  <c r="G196" i="5"/>
  <c r="F159" i="5"/>
  <c r="J160" i="5"/>
  <c r="S153" i="5"/>
  <c r="K42" i="5"/>
  <c r="A154" i="5"/>
  <c r="U199" i="5"/>
  <c r="J134" i="5"/>
  <c r="R13" i="5"/>
  <c r="S135" i="5"/>
  <c r="B136" i="5"/>
  <c r="T79" i="5"/>
  <c r="H136" i="5"/>
  <c r="P9" i="5"/>
  <c r="I154" i="5"/>
  <c r="Q154" i="5"/>
  <c r="M77" i="5"/>
  <c r="L98" i="5"/>
  <c r="R98" i="5"/>
  <c r="U134" i="5"/>
  <c r="Q46" i="5"/>
  <c r="B155" i="5"/>
  <c r="F149" i="5"/>
  <c r="L149" i="5"/>
  <c r="A99" i="5"/>
  <c r="T194" i="5"/>
  <c r="V155" i="5"/>
  <c r="F156" i="5"/>
  <c r="L155" i="5"/>
  <c r="M177" i="5"/>
  <c r="O198" i="5"/>
  <c r="H135" i="5"/>
  <c r="W156" i="5"/>
  <c r="G99" i="5"/>
  <c r="M156" i="5"/>
  <c r="S149" i="5"/>
  <c r="N135" i="5"/>
  <c r="F194" i="5"/>
  <c r="G195" i="5"/>
  <c r="S157" i="5"/>
  <c r="A54" i="5"/>
  <c r="E193" i="5"/>
  <c r="T135" i="5"/>
  <c r="J109" i="5"/>
  <c r="M96" i="5"/>
  <c r="D135" i="5"/>
  <c r="E150" i="5"/>
  <c r="D120" i="5"/>
  <c r="G23" i="5"/>
  <c r="E192" i="5"/>
  <c r="K49" i="5"/>
  <c r="F150" i="5"/>
  <c r="W117" i="5"/>
  <c r="F121" i="5"/>
  <c r="O125" i="5"/>
  <c r="O140" i="5"/>
  <c r="C38" i="5"/>
  <c r="S31" i="5"/>
  <c r="B119" i="5"/>
  <c r="E76" i="5"/>
  <c r="Q93" i="5"/>
  <c r="A77" i="5"/>
  <c r="G185" i="5"/>
  <c r="N168" i="5"/>
  <c r="R81" i="5"/>
  <c r="D51" i="5"/>
  <c r="O9" i="5"/>
  <c r="N86" i="5"/>
  <c r="J128" i="5"/>
  <c r="V122" i="5"/>
  <c r="K35" i="5"/>
  <c r="R114" i="5"/>
  <c r="F132" i="5"/>
  <c r="F92" i="5"/>
  <c r="V114" i="5"/>
  <c r="L106" i="5"/>
  <c r="L95" i="5"/>
  <c r="T68" i="5"/>
  <c r="F153" i="5"/>
  <c r="C197" i="5"/>
  <c r="K151" i="5"/>
  <c r="M75" i="5"/>
  <c r="Q60" i="5"/>
  <c r="G188" i="5"/>
  <c r="Q32" i="5"/>
  <c r="L77" i="5"/>
  <c r="V124" i="5"/>
  <c r="I75" i="5"/>
  <c r="V57" i="5"/>
  <c r="I202" i="5"/>
  <c r="I180" i="5"/>
  <c r="M146" i="5"/>
  <c r="I158" i="5"/>
  <c r="P38" i="5"/>
  <c r="G32" i="5"/>
  <c r="H21" i="5"/>
  <c r="D10" i="5"/>
  <c r="D34" i="5"/>
  <c r="C109" i="5"/>
  <c r="R181" i="5"/>
  <c r="H36" i="5"/>
  <c r="D100" i="5"/>
  <c r="I125" i="5"/>
  <c r="A38" i="5"/>
  <c r="R90" i="5"/>
  <c r="F186" i="5"/>
  <c r="H56" i="5"/>
  <c r="G48" i="5"/>
  <c r="D46" i="5"/>
  <c r="M182" i="5"/>
  <c r="Q200" i="5"/>
  <c r="T90" i="5"/>
  <c r="V70" i="5"/>
  <c r="A12" i="5"/>
  <c r="G87" i="5"/>
  <c r="R126" i="5"/>
  <c r="E203" i="5"/>
  <c r="D82" i="5"/>
  <c r="N33" i="5"/>
  <c r="R184" i="5"/>
  <c r="M84" i="5"/>
  <c r="Q119" i="5"/>
  <c r="V60" i="5"/>
  <c r="R186" i="5"/>
  <c r="J49" i="5"/>
  <c r="L119" i="5"/>
  <c r="D90" i="5"/>
  <c r="N203" i="5"/>
  <c r="R86" i="5"/>
  <c r="G184" i="5"/>
  <c r="B169" i="5"/>
  <c r="U176" i="5"/>
  <c r="C93" i="5"/>
  <c r="C129" i="5"/>
  <c r="Q91" i="5"/>
  <c r="B133" i="5"/>
  <c r="H82" i="5"/>
  <c r="K134" i="5"/>
  <c r="V156" i="5"/>
  <c r="O135" i="5"/>
  <c r="B134" i="5"/>
  <c r="F151" i="5"/>
  <c r="E86" i="5"/>
  <c r="K47" i="5"/>
  <c r="I151" i="5"/>
  <c r="W63" i="5"/>
  <c r="Q175" i="5"/>
  <c r="R73" i="5"/>
  <c r="H96" i="5"/>
  <c r="V95" i="5"/>
  <c r="R108" i="5"/>
  <c r="R9" i="5"/>
  <c r="M73" i="5"/>
  <c r="C73" i="5"/>
  <c r="D97" i="5"/>
  <c r="G64" i="5"/>
  <c r="B23" i="5"/>
  <c r="M192" i="5"/>
  <c r="D64" i="5"/>
  <c r="S73" i="5"/>
  <c r="I23" i="5"/>
  <c r="O66" i="5"/>
  <c r="C14" i="5"/>
  <c r="B159" i="5"/>
  <c r="V96" i="5"/>
  <c r="T12" i="5"/>
  <c r="G107" i="5"/>
  <c r="M201" i="5"/>
  <c r="L73" i="5"/>
  <c r="E23" i="5"/>
  <c r="P110" i="5"/>
  <c r="E180" i="5"/>
  <c r="U193" i="5"/>
  <c r="S192" i="5"/>
  <c r="H17" i="5"/>
  <c r="T87" i="5"/>
  <c r="R199" i="5"/>
  <c r="W200" i="5"/>
  <c r="A180" i="5"/>
  <c r="E141" i="5"/>
  <c r="S22" i="5"/>
  <c r="U150" i="5"/>
  <c r="E126" i="5"/>
  <c r="P74" i="5"/>
  <c r="O201" i="5"/>
  <c r="L109" i="5"/>
  <c r="F120" i="5"/>
  <c r="U96" i="5"/>
  <c r="L150" i="5"/>
  <c r="E160" i="5"/>
  <c r="K110" i="5"/>
  <c r="H51" i="5"/>
  <c r="Q22" i="5"/>
  <c r="B97" i="5"/>
  <c r="M55" i="5"/>
  <c r="O16" i="5"/>
  <c r="T51" i="5"/>
  <c r="J156" i="5"/>
  <c r="T176" i="5"/>
  <c r="I191" i="5"/>
  <c r="F192" i="5"/>
  <c r="I120" i="5"/>
  <c r="U45" i="5"/>
  <c r="I155" i="5"/>
  <c r="J202" i="5"/>
  <c r="V107" i="5"/>
  <c r="F79" i="5"/>
  <c r="P202" i="5"/>
  <c r="G89" i="5"/>
  <c r="V23" i="5"/>
  <c r="U84" i="5"/>
  <c r="I179" i="5"/>
  <c r="P155" i="5"/>
  <c r="M120" i="5"/>
  <c r="D202" i="5"/>
  <c r="N120" i="5"/>
  <c r="I50" i="5"/>
  <c r="P134" i="5"/>
  <c r="C196" i="5"/>
  <c r="C175" i="5"/>
  <c r="D42" i="5"/>
  <c r="F87" i="5"/>
  <c r="C136" i="5"/>
  <c r="K180" i="5"/>
  <c r="C192" i="5"/>
  <c r="K13" i="5"/>
  <c r="Q195" i="5"/>
  <c r="M134" i="5"/>
  <c r="Q180" i="5"/>
  <c r="J64" i="5"/>
  <c r="I9" i="5"/>
  <c r="C59" i="5"/>
  <c r="J198" i="5"/>
  <c r="A79" i="5"/>
  <c r="T73" i="5"/>
  <c r="K193" i="5"/>
  <c r="F85" i="5"/>
  <c r="T22" i="5"/>
  <c r="G201" i="5"/>
  <c r="D111" i="5"/>
  <c r="J155" i="5"/>
  <c r="V88" i="5"/>
  <c r="N177" i="5"/>
  <c r="O13" i="5"/>
  <c r="J80" i="5"/>
  <c r="P150" i="5"/>
  <c r="E202" i="5"/>
  <c r="U200" i="5"/>
  <c r="Q197" i="5"/>
  <c r="S190" i="5"/>
  <c r="L202" i="5"/>
  <c r="U180" i="5"/>
  <c r="W23" i="5"/>
  <c r="U153" i="5"/>
  <c r="S197" i="5"/>
  <c r="J146" i="5"/>
  <c r="A47" i="5"/>
  <c r="L193" i="5"/>
  <c r="W84" i="5"/>
  <c r="M195" i="5"/>
  <c r="F50" i="5"/>
  <c r="B201" i="5"/>
  <c r="U177" i="5"/>
  <c r="W22" i="5"/>
  <c r="D73" i="5"/>
  <c r="T190" i="5"/>
  <c r="H43" i="5"/>
  <c r="R160" i="5"/>
  <c r="Q10" i="5"/>
  <c r="S63" i="5"/>
  <c r="O95" i="5"/>
  <c r="C46" i="5"/>
  <c r="A109" i="5"/>
  <c r="I201" i="5"/>
  <c r="U19" i="5"/>
  <c r="T178" i="5"/>
  <c r="V119" i="5"/>
  <c r="H153" i="5"/>
  <c r="I78" i="5"/>
  <c r="C180" i="5"/>
  <c r="Q172" i="5"/>
  <c r="O191" i="5"/>
  <c r="N152" i="5"/>
  <c r="Q16" i="5"/>
  <c r="T13" i="5"/>
  <c r="U57" i="5"/>
  <c r="L120" i="5"/>
  <c r="N176" i="5"/>
  <c r="F49" i="5"/>
  <c r="A136" i="5"/>
  <c r="H88" i="5"/>
  <c r="O64" i="5"/>
  <c r="N110" i="5"/>
  <c r="M158" i="5"/>
  <c r="Q135" i="5"/>
  <c r="P87" i="5"/>
  <c r="P159" i="5"/>
  <c r="B196" i="5"/>
  <c r="J85" i="5"/>
  <c r="H201" i="5"/>
  <c r="Q201" i="5"/>
  <c r="T96" i="5"/>
  <c r="J180" i="5"/>
  <c r="S75" i="5"/>
  <c r="H142" i="5"/>
  <c r="I107" i="5"/>
  <c r="O179" i="5"/>
  <c r="N89" i="5"/>
  <c r="F58" i="5"/>
  <c r="U179" i="5"/>
  <c r="R63" i="5"/>
  <c r="I160" i="5"/>
  <c r="M56" i="5"/>
  <c r="D16" i="5"/>
  <c r="D179" i="5"/>
  <c r="L196" i="5"/>
  <c r="P140" i="5"/>
  <c r="U109" i="5"/>
  <c r="K64" i="5"/>
  <c r="N85" i="5"/>
  <c r="S53" i="5"/>
  <c r="M149" i="5"/>
  <c r="R82" i="5"/>
  <c r="T200" i="5"/>
  <c r="B53" i="5"/>
  <c r="S64" i="5"/>
  <c r="W95" i="5"/>
  <c r="W190" i="5"/>
  <c r="R110" i="5"/>
  <c r="W96" i="5"/>
  <c r="V179" i="5"/>
  <c r="C64" i="5"/>
  <c r="K91" i="5"/>
  <c r="P63" i="5"/>
  <c r="T147" i="5"/>
  <c r="A90" i="5"/>
  <c r="R180" i="5"/>
  <c r="I53" i="5"/>
  <c r="Q96" i="5"/>
  <c r="G97" i="5"/>
  <c r="F146" i="5"/>
  <c r="G14" i="5"/>
  <c r="P120" i="5"/>
  <c r="L23" i="5"/>
  <c r="L96" i="5"/>
  <c r="F134" i="5"/>
  <c r="O63" i="5"/>
  <c r="P14" i="5"/>
  <c r="N142" i="5"/>
  <c r="F174" i="5"/>
  <c r="R201" i="5"/>
  <c r="Q20" i="5"/>
  <c r="C75" i="5"/>
  <c r="C198" i="5"/>
  <c r="F18" i="5"/>
  <c r="R89" i="5"/>
  <c r="B45" i="5"/>
  <c r="N96" i="5"/>
  <c r="Q95" i="5"/>
  <c r="B156" i="5"/>
  <c r="V110" i="5"/>
  <c r="V200" i="5"/>
  <c r="S201" i="5"/>
  <c r="J120" i="5"/>
  <c r="N23" i="5"/>
  <c r="U76" i="5"/>
  <c r="J175" i="5"/>
  <c r="G15" i="5"/>
  <c r="W72" i="5"/>
  <c r="N180" i="5"/>
  <c r="O86" i="5"/>
  <c r="M160" i="5"/>
  <c r="R44" i="5"/>
  <c r="B44" i="5"/>
  <c r="U147" i="5"/>
  <c r="G73" i="5"/>
  <c r="R20" i="5"/>
  <c r="F111" i="5"/>
  <c r="L83" i="5"/>
  <c r="F201" i="5"/>
  <c r="S133" i="5"/>
  <c r="C13" i="5"/>
  <c r="R79" i="5"/>
  <c r="F96" i="5"/>
  <c r="A202" i="5"/>
  <c r="O156" i="5"/>
  <c r="J191" i="5"/>
  <c r="D134" i="5"/>
  <c r="G111" i="5"/>
  <c r="B180" i="5"/>
  <c r="T179" i="5"/>
  <c r="D201" i="5"/>
  <c r="C43" i="5"/>
  <c r="G134" i="5"/>
  <c r="G202" i="5"/>
  <c r="T180" i="5"/>
  <c r="U165" i="5"/>
  <c r="F97" i="5"/>
  <c r="U18" i="5"/>
  <c r="N80" i="5"/>
  <c r="K96" i="5"/>
  <c r="G135" i="5"/>
  <c r="T64" i="5"/>
  <c r="W191" i="5"/>
  <c r="S14" i="5"/>
  <c r="M23" i="5"/>
  <c r="G136" i="5"/>
  <c r="M202" i="5"/>
  <c r="P23" i="5"/>
  <c r="A181" i="5"/>
  <c r="E111" i="5"/>
  <c r="Q179" i="5"/>
  <c r="K120" i="5"/>
  <c r="T63" i="5"/>
  <c r="T201" i="5"/>
  <c r="H120" i="5"/>
  <c r="V72" i="5"/>
  <c r="J96" i="5"/>
  <c r="W133" i="5"/>
  <c r="E154" i="5"/>
  <c r="O151" i="5"/>
  <c r="U85" i="5"/>
  <c r="U79" i="5"/>
  <c r="F166" i="5"/>
  <c r="A142" i="5"/>
  <c r="B64" i="5"/>
  <c r="E49" i="5"/>
  <c r="S23" i="5"/>
  <c r="B78" i="5"/>
  <c r="O146" i="5"/>
  <c r="C110" i="5"/>
  <c r="K166" i="5"/>
  <c r="V196" i="5"/>
  <c r="L64" i="5"/>
  <c r="P180" i="5"/>
  <c r="H154" i="5"/>
  <c r="I96" i="5"/>
  <c r="C120" i="5"/>
  <c r="E96" i="5"/>
  <c r="P148" i="5"/>
  <c r="D166" i="5"/>
  <c r="K136" i="5"/>
  <c r="A73" i="5"/>
  <c r="D180" i="5"/>
  <c r="M64" i="5"/>
  <c r="D56" i="5"/>
  <c r="O48" i="5"/>
  <c r="F147" i="5"/>
  <c r="E73" i="5"/>
  <c r="O17" i="5"/>
  <c r="U13" i="5"/>
  <c r="T55" i="5"/>
  <c r="G181" i="5"/>
  <c r="V18" i="5"/>
  <c r="V165" i="5"/>
  <c r="C202" i="5"/>
  <c r="F45" i="5"/>
  <c r="I46" i="5"/>
  <c r="F12" i="5"/>
  <c r="C149" i="5"/>
  <c r="H202" i="5"/>
  <c r="I148" i="5"/>
  <c r="S180" i="5"/>
  <c r="H64" i="5"/>
  <c r="E136" i="5"/>
  <c r="V50" i="5"/>
  <c r="E89" i="5"/>
  <c r="L153" i="5"/>
  <c r="G192" i="5"/>
  <c r="H47" i="5"/>
  <c r="O178" i="5"/>
  <c r="N22" i="5"/>
  <c r="E166" i="5"/>
  <c r="B151" i="5"/>
  <c r="N201" i="5"/>
  <c r="A192" i="5"/>
  <c r="T151" i="5"/>
  <c r="K192" i="5"/>
  <c r="E91" i="5"/>
  <c r="R149" i="5"/>
  <c r="L147" i="5"/>
  <c r="E120" i="5"/>
  <c r="O47" i="5"/>
  <c r="A191" i="5"/>
  <c r="U48" i="5"/>
  <c r="C146" i="5"/>
  <c r="N196" i="5"/>
  <c r="O152" i="5"/>
  <c r="B166" i="5"/>
  <c r="S154" i="5"/>
  <c r="Q64" i="5"/>
  <c r="I177" i="5"/>
  <c r="S142" i="5"/>
  <c r="L89" i="5"/>
  <c r="F42" i="5"/>
  <c r="A83" i="5"/>
  <c r="K172" i="5"/>
  <c r="R22" i="5"/>
  <c r="E140" i="5"/>
  <c r="D154" i="5"/>
  <c r="A120" i="5"/>
  <c r="W201" i="5"/>
  <c r="I199" i="5"/>
  <c r="W147" i="5"/>
  <c r="Q90" i="5"/>
  <c r="M174" i="5"/>
  <c r="K201" i="5"/>
  <c r="H134" i="5"/>
  <c r="H199" i="5"/>
  <c r="D45" i="5"/>
  <c r="L11" i="5"/>
  <c r="A150" i="5"/>
  <c r="Q159" i="5"/>
  <c r="T110" i="5"/>
  <c r="E195" i="5"/>
  <c r="H11" i="5"/>
  <c r="E176" i="5"/>
  <c r="V178" i="5"/>
  <c r="B194" i="5"/>
  <c r="A84" i="5"/>
  <c r="W89" i="5"/>
  <c r="H58" i="5"/>
  <c r="V45" i="5"/>
  <c r="V173" i="5"/>
  <c r="A153" i="5"/>
  <c r="R194" i="5"/>
  <c r="O42" i="5"/>
  <c r="T193" i="5"/>
  <c r="F16" i="5"/>
  <c r="C200" i="5"/>
  <c r="L175" i="5"/>
  <c r="V192" i="5"/>
  <c r="C154" i="5"/>
  <c r="U197" i="5"/>
  <c r="S51" i="5"/>
  <c r="S110" i="5"/>
  <c r="N47" i="5"/>
  <c r="T198" i="5"/>
  <c r="K178" i="5"/>
  <c r="A111" i="5"/>
  <c r="Q50" i="5"/>
  <c r="A177" i="5"/>
  <c r="P45" i="5"/>
  <c r="B82" i="5"/>
  <c r="I173" i="5"/>
  <c r="O160" i="5"/>
  <c r="L55" i="5"/>
  <c r="M86" i="5"/>
  <c r="G78" i="5"/>
  <c r="C195" i="5"/>
  <c r="H151" i="5"/>
  <c r="L158" i="5"/>
  <c r="B77" i="5"/>
  <c r="V47" i="5"/>
  <c r="A134" i="5"/>
  <c r="W53" i="5"/>
  <c r="B57" i="5"/>
  <c r="R76" i="5"/>
  <c r="W82" i="5"/>
  <c r="E88" i="5"/>
  <c r="J92" i="5"/>
  <c r="V93" i="5"/>
  <c r="Q9" i="5"/>
  <c r="J44" i="5"/>
  <c r="J176" i="5"/>
  <c r="I69" i="5"/>
  <c r="H107" i="5"/>
  <c r="H102" i="5"/>
  <c r="F100" i="5"/>
  <c r="T35" i="5"/>
  <c r="N121" i="5"/>
  <c r="H91" i="5"/>
  <c r="M181" i="5"/>
  <c r="Q203" i="5"/>
  <c r="E93" i="5"/>
  <c r="N95" i="5"/>
  <c r="R103" i="5"/>
  <c r="J127" i="5"/>
  <c r="R125" i="5"/>
  <c r="H65" i="5"/>
  <c r="Q132" i="5"/>
  <c r="E36" i="5"/>
  <c r="P125" i="5"/>
  <c r="P70" i="5"/>
  <c r="E183" i="5"/>
  <c r="J61" i="5"/>
  <c r="I67" i="5"/>
  <c r="J67" i="5"/>
  <c r="K67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A113" i="5"/>
  <c r="B113" i="5"/>
  <c r="C113" i="5"/>
  <c r="D113" i="5"/>
  <c r="E113" i="5"/>
  <c r="F113" i="5"/>
  <c r="G113" i="5"/>
  <c r="H113" i="5"/>
  <c r="H97" i="5"/>
  <c r="I97" i="5"/>
  <c r="J97" i="5"/>
  <c r="L97" i="5"/>
  <c r="M97" i="5"/>
  <c r="O97" i="5"/>
  <c r="Q97" i="5"/>
  <c r="S97" i="5"/>
  <c r="U97" i="5"/>
  <c r="W97" i="5"/>
  <c r="B98" i="5"/>
  <c r="D98" i="5"/>
  <c r="F98" i="5"/>
  <c r="J99" i="5"/>
  <c r="K99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R24" i="5"/>
  <c r="V24" i="5"/>
  <c r="C25" i="5"/>
  <c r="G25" i="5"/>
  <c r="K25" i="5"/>
  <c r="O25" i="5"/>
  <c r="S25" i="5"/>
  <c r="W25" i="5"/>
  <c r="D26" i="5"/>
  <c r="H26" i="5"/>
  <c r="L26" i="5"/>
  <c r="P26" i="5"/>
  <c r="U125" i="5"/>
  <c r="H121" i="5"/>
  <c r="S203" i="5"/>
  <c r="U86" i="5"/>
  <c r="Q49" i="5"/>
  <c r="S168" i="5"/>
  <c r="S184" i="5"/>
  <c r="U78" i="5"/>
  <c r="G68" i="5"/>
  <c r="K105" i="5"/>
  <c r="C49" i="5"/>
  <c r="S99" i="5"/>
  <c r="J161" i="5"/>
  <c r="S106" i="5"/>
  <c r="C174" i="5"/>
  <c r="R128" i="5"/>
  <c r="P35" i="5"/>
  <c r="O94" i="5"/>
  <c r="P203" i="5"/>
  <c r="U46" i="5"/>
  <c r="O10" i="5"/>
  <c r="O119" i="5"/>
  <c r="K107" i="5"/>
  <c r="U186" i="5"/>
  <c r="R109" i="5"/>
  <c r="E188" i="5"/>
  <c r="G174" i="5"/>
  <c r="P90" i="5"/>
  <c r="V141" i="5"/>
  <c r="V100" i="5"/>
  <c r="I101" i="5"/>
  <c r="S113" i="5"/>
  <c r="B124" i="5"/>
  <c r="F109" i="5"/>
  <c r="W71" i="5"/>
  <c r="A161" i="5"/>
  <c r="D74" i="5"/>
  <c r="J74" i="5"/>
  <c r="U10" i="5"/>
  <c r="R36" i="5"/>
  <c r="E123" i="5"/>
  <c r="F106" i="5"/>
  <c r="B203" i="5"/>
  <c r="A104" i="5"/>
  <c r="J52" i="5"/>
  <c r="W87" i="5"/>
  <c r="I70" i="5"/>
  <c r="S119" i="5"/>
  <c r="K97" i="5"/>
  <c r="O108" i="5"/>
  <c r="P181" i="5"/>
  <c r="H66" i="5"/>
  <c r="C98" i="5"/>
  <c r="P93" i="5"/>
  <c r="V34" i="5"/>
  <c r="K12" i="5"/>
  <c r="B39" i="5"/>
  <c r="O174" i="5"/>
  <c r="D142" i="5"/>
  <c r="K140" i="5"/>
  <c r="B51" i="5"/>
  <c r="I178" i="5"/>
  <c r="F143" i="5"/>
  <c r="O166" i="5"/>
  <c r="I167" i="5"/>
  <c r="O182" i="5"/>
  <c r="K20" i="5"/>
  <c r="W41" i="5"/>
  <c r="E186" i="5"/>
  <c r="A59" i="5"/>
  <c r="U67" i="5"/>
  <c r="I54" i="5"/>
  <c r="C186" i="5"/>
  <c r="I104" i="5"/>
  <c r="T126" i="5"/>
  <c r="H165" i="5"/>
  <c r="K129" i="5"/>
  <c r="R129" i="5"/>
  <c r="B130" i="5"/>
  <c r="I130" i="5"/>
  <c r="P130" i="5"/>
  <c r="W130" i="5"/>
  <c r="H131" i="5"/>
  <c r="T131" i="5"/>
  <c r="O132" i="5"/>
  <c r="K133" i="5"/>
  <c r="O76" i="5"/>
  <c r="E145" i="5"/>
  <c r="G162" i="5"/>
  <c r="M111" i="5"/>
  <c r="G103" i="5"/>
  <c r="G84" i="5"/>
  <c r="F184" i="5"/>
  <c r="J47" i="5"/>
  <c r="O78" i="5"/>
  <c r="T127" i="5"/>
  <c r="U80" i="5"/>
  <c r="K72" i="5"/>
  <c r="C37" i="5"/>
  <c r="P52" i="5"/>
  <c r="W19" i="5"/>
  <c r="K53" i="5"/>
  <c r="B110" i="5"/>
  <c r="S103" i="5"/>
  <c r="U106" i="5"/>
  <c r="G125" i="5"/>
  <c r="M126" i="5"/>
  <c r="F128" i="5"/>
  <c r="R92" i="5"/>
  <c r="B103" i="5"/>
  <c r="T125" i="5"/>
  <c r="O92" i="5"/>
  <c r="L105" i="5"/>
  <c r="H126" i="5"/>
  <c r="C42" i="5"/>
  <c r="L133" i="5"/>
  <c r="E112" i="5"/>
  <c r="P65" i="5"/>
  <c r="S26" i="5"/>
  <c r="T26" i="5"/>
  <c r="U26" i="5"/>
  <c r="V26" i="5"/>
  <c r="W26" i="5"/>
  <c r="A27" i="5"/>
  <c r="L6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A28" i="5"/>
  <c r="B28" i="5"/>
  <c r="C28" i="5"/>
  <c r="D28" i="5"/>
  <c r="E28" i="5"/>
  <c r="F28" i="5"/>
  <c r="L99" i="5"/>
  <c r="M99" i="5"/>
  <c r="N99" i="5"/>
  <c r="O99" i="5"/>
  <c r="P99" i="5"/>
  <c r="T99" i="5"/>
  <c r="Q121" i="5"/>
  <c r="M122" i="5"/>
  <c r="J123" i="5"/>
  <c r="H94" i="5"/>
  <c r="O101" i="5"/>
  <c r="O103" i="5"/>
  <c r="Q105" i="5"/>
  <c r="K114" i="5"/>
  <c r="I126" i="5"/>
  <c r="I128" i="5"/>
  <c r="W54" i="5"/>
  <c r="E100" i="5"/>
  <c r="H13" i="5"/>
  <c r="S34" i="5"/>
  <c r="W79" i="5"/>
  <c r="A50" i="5"/>
  <c r="D145" i="5"/>
  <c r="L145" i="5"/>
  <c r="E161" i="5"/>
  <c r="N161" i="5"/>
  <c r="R172" i="5"/>
  <c r="W48" i="5"/>
  <c r="K173" i="5"/>
  <c r="S67" i="5"/>
  <c r="C70" i="5"/>
  <c r="A88" i="5"/>
  <c r="H177" i="5"/>
  <c r="H71" i="5"/>
  <c r="M71" i="5"/>
  <c r="R71" i="5"/>
  <c r="U71" i="5"/>
  <c r="B72" i="5"/>
  <c r="F72" i="5"/>
  <c r="J72" i="5"/>
  <c r="M72" i="5"/>
  <c r="Q72" i="5"/>
  <c r="R97" i="5"/>
  <c r="G116" i="5"/>
  <c r="N116" i="5"/>
  <c r="V116" i="5"/>
  <c r="I117" i="5"/>
  <c r="P119" i="5"/>
  <c r="R52" i="5"/>
  <c r="T186" i="5"/>
  <c r="F38" i="5"/>
  <c r="J87" i="5"/>
  <c r="P67" i="5"/>
  <c r="M53" i="5"/>
  <c r="G36" i="5"/>
  <c r="F46" i="5"/>
  <c r="G122" i="5"/>
  <c r="S114" i="5"/>
  <c r="W81" i="5"/>
  <c r="H89" i="5"/>
  <c r="R117" i="5"/>
  <c r="F54" i="5"/>
  <c r="B183" i="5"/>
  <c r="H33" i="5"/>
  <c r="M184" i="5"/>
  <c r="N59" i="5"/>
  <c r="N62" i="5"/>
  <c r="P68" i="5"/>
  <c r="N100" i="5"/>
  <c r="C101" i="5"/>
  <c r="I113" i="5"/>
  <c r="B114" i="5"/>
  <c r="P16" i="5"/>
  <c r="H72" i="5"/>
  <c r="F175" i="5"/>
  <c r="C74" i="5"/>
  <c r="K74" i="5"/>
  <c r="E11" i="5"/>
  <c r="T44" i="5"/>
  <c r="P132" i="5"/>
  <c r="E181" i="5"/>
  <c r="H204" i="5"/>
  <c r="P50" i="5"/>
  <c r="G86" i="5"/>
  <c r="U9" i="5"/>
  <c r="Q117" i="5"/>
  <c r="M168" i="5"/>
  <c r="P116" i="5"/>
  <c r="N77" i="5"/>
  <c r="Q183" i="5"/>
  <c r="J95" i="5"/>
  <c r="H59" i="5"/>
  <c r="H63" i="5"/>
  <c r="C204" i="5"/>
  <c r="H181" i="5"/>
  <c r="W57" i="5"/>
  <c r="U75" i="5"/>
  <c r="L178" i="5"/>
  <c r="A14" i="5"/>
  <c r="Q82" i="5"/>
  <c r="V128" i="5"/>
  <c r="K143" i="5"/>
  <c r="S166" i="5"/>
  <c r="M167" i="5"/>
  <c r="W203" i="5"/>
  <c r="O80" i="5"/>
  <c r="N70" i="5"/>
  <c r="F187" i="5"/>
  <c r="B17" i="5"/>
  <c r="B89" i="5"/>
  <c r="M88" i="5"/>
  <c r="I33" i="5"/>
  <c r="W106" i="5"/>
  <c r="M164" i="5"/>
  <c r="S28" i="5"/>
  <c r="N129" i="5"/>
  <c r="U129" i="5"/>
  <c r="E130" i="5"/>
  <c r="M130" i="5"/>
  <c r="S130" i="5"/>
  <c r="D131" i="5"/>
  <c r="L131" i="5"/>
  <c r="G132" i="5"/>
  <c r="E133" i="5"/>
  <c r="S136" i="5"/>
  <c r="R53" i="5"/>
  <c r="T161" i="5"/>
  <c r="M128" i="5"/>
  <c r="N123" i="5"/>
  <c r="W11" i="5"/>
  <c r="B60" i="5"/>
  <c r="R105" i="5"/>
  <c r="F178" i="5"/>
  <c r="O44" i="5"/>
  <c r="L69" i="5"/>
  <c r="N97" i="5"/>
  <c r="M79" i="5"/>
  <c r="C88" i="5"/>
  <c r="Q140" i="5"/>
  <c r="L53" i="5"/>
  <c r="S77" i="5"/>
  <c r="B61" i="5"/>
  <c r="C62" i="5"/>
  <c r="L172" i="5"/>
  <c r="N179" i="5"/>
  <c r="Q45" i="5"/>
  <c r="W51" i="5"/>
  <c r="Q83" i="5"/>
  <c r="D174" i="5"/>
  <c r="D63" i="5"/>
  <c r="D68" i="5"/>
  <c r="B69" i="5"/>
  <c r="A70" i="5"/>
  <c r="K75" i="5"/>
  <c r="C86" i="5"/>
  <c r="Q108" i="5"/>
  <c r="W173" i="5"/>
  <c r="H100" i="5"/>
  <c r="I100" i="5"/>
  <c r="K100" i="5"/>
  <c r="M100" i="5"/>
  <c r="O100" i="5"/>
  <c r="Q100" i="5"/>
  <c r="S100" i="5"/>
  <c r="U100" i="5"/>
  <c r="W100" i="5"/>
  <c r="H101" i="5"/>
  <c r="J101" i="5"/>
  <c r="L101" i="5"/>
  <c r="N101" i="5"/>
  <c r="J113" i="5"/>
  <c r="L113" i="5"/>
  <c r="N113" i="5"/>
  <c r="O113" i="5"/>
  <c r="R113" i="5"/>
  <c r="T113" i="5"/>
  <c r="V113" i="5"/>
  <c r="A114" i="5"/>
  <c r="C114" i="5"/>
  <c r="D114" i="5"/>
  <c r="T123" i="5"/>
  <c r="V123" i="5"/>
  <c r="A124" i="5"/>
  <c r="C124" i="5"/>
  <c r="E124" i="5"/>
  <c r="G124" i="5"/>
  <c r="I124" i="5"/>
  <c r="H76" i="5"/>
  <c r="F78" i="5"/>
  <c r="I20" i="5"/>
  <c r="F69" i="5"/>
  <c r="A145" i="5"/>
  <c r="B161" i="5"/>
  <c r="Q161" i="5"/>
  <c r="W55" i="5"/>
  <c r="V68" i="5"/>
  <c r="N140" i="5"/>
  <c r="K71" i="5"/>
  <c r="S71" i="5"/>
  <c r="D72" i="5"/>
  <c r="L72" i="5"/>
  <c r="P97" i="5"/>
  <c r="M116" i="5"/>
  <c r="F117" i="5"/>
  <c r="L168" i="5"/>
  <c r="P183" i="5"/>
  <c r="F60" i="5"/>
  <c r="C55" i="5"/>
  <c r="B175" i="5"/>
  <c r="U161" i="5"/>
  <c r="C140" i="5"/>
  <c r="F33" i="5"/>
  <c r="A94" i="5"/>
  <c r="Q65" i="5"/>
  <c r="T31" i="5"/>
  <c r="I62" i="5"/>
  <c r="C145" i="5"/>
  <c r="H104" i="5"/>
  <c r="U31" i="5"/>
  <c r="D86" i="5"/>
  <c r="V101" i="5"/>
  <c r="V111" i="5"/>
  <c r="H114" i="5"/>
  <c r="N111" i="5"/>
  <c r="V97" i="5"/>
  <c r="E51" i="5"/>
  <c r="Q56" i="5"/>
  <c r="E81" i="5"/>
  <c r="Q92" i="5"/>
  <c r="S76" i="5"/>
  <c r="N108" i="5"/>
  <c r="T86" i="5"/>
  <c r="W99" i="5"/>
  <c r="I49" i="5"/>
  <c r="C181" i="5"/>
  <c r="D102" i="5"/>
  <c r="C106" i="5"/>
  <c r="L46" i="5"/>
  <c r="D123" i="5"/>
  <c r="M83" i="5"/>
  <c r="K31" i="5"/>
  <c r="I35" i="5"/>
  <c r="W35" i="5"/>
  <c r="M36" i="5"/>
  <c r="M15" i="5"/>
  <c r="J46" i="5"/>
  <c r="P121" i="5"/>
  <c r="R122" i="5"/>
  <c r="W131" i="5"/>
  <c r="E92" i="5"/>
  <c r="E103" i="5"/>
  <c r="M78" i="5"/>
  <c r="A89" i="5"/>
  <c r="P175" i="5"/>
  <c r="M13" i="5"/>
  <c r="F43" i="5"/>
  <c r="O46" i="5"/>
  <c r="L70" i="5"/>
  <c r="D71" i="5"/>
  <c r="A118" i="5"/>
  <c r="E119" i="5"/>
  <c r="P124" i="5"/>
  <c r="N128" i="5"/>
  <c r="C169" i="5"/>
  <c r="W169" i="5"/>
  <c r="N58" i="5"/>
  <c r="T82" i="5"/>
  <c r="C89" i="5"/>
  <c r="R32" i="5"/>
  <c r="E37" i="5"/>
  <c r="W14" i="5"/>
  <c r="O67" i="5"/>
  <c r="J100" i="5"/>
  <c r="B101" i="5"/>
  <c r="M101" i="5"/>
  <c r="W113" i="5"/>
  <c r="H124" i="5"/>
  <c r="O176" i="5"/>
  <c r="E116" i="5"/>
  <c r="W52" i="5"/>
  <c r="G74" i="5"/>
  <c r="P10" i="5"/>
  <c r="D36" i="5"/>
  <c r="C122" i="5"/>
  <c r="C102" i="5"/>
  <c r="S182" i="5"/>
  <c r="J94" i="5"/>
  <c r="U44" i="5"/>
  <c r="N74" i="5"/>
  <c r="P43" i="5"/>
  <c r="T118" i="5"/>
  <c r="N72" i="5"/>
  <c r="U118" i="5"/>
  <c r="M161" i="5"/>
  <c r="H133" i="5"/>
  <c r="K121" i="5"/>
  <c r="D92" i="5"/>
  <c r="R106" i="5"/>
  <c r="T104" i="5"/>
  <c r="I83" i="5"/>
  <c r="F107" i="5"/>
  <c r="S61" i="5"/>
  <c r="N76" i="5"/>
  <c r="P69" i="5"/>
  <c r="H141" i="5"/>
  <c r="G129" i="5"/>
  <c r="M166" i="5"/>
  <c r="E167" i="5"/>
  <c r="A168" i="5"/>
  <c r="N105" i="5"/>
  <c r="M172" i="5"/>
  <c r="W183" i="5"/>
  <c r="D89" i="5"/>
  <c r="B108" i="5"/>
  <c r="Q124" i="5"/>
  <c r="B185" i="5"/>
  <c r="Q103" i="5"/>
  <c r="D126" i="5"/>
  <c r="N164" i="5"/>
  <c r="J129" i="5"/>
  <c r="Q129" i="5"/>
  <c r="A130" i="5"/>
  <c r="H130" i="5"/>
  <c r="O130" i="5"/>
  <c r="A131" i="5"/>
  <c r="I131" i="5"/>
  <c r="V131" i="5"/>
  <c r="T132" i="5"/>
  <c r="N136" i="5"/>
  <c r="L78" i="5"/>
  <c r="I145" i="5"/>
  <c r="I162" i="5"/>
  <c r="A112" i="5"/>
  <c r="G16" i="5"/>
  <c r="U117" i="5"/>
  <c r="V20" i="5"/>
  <c r="K111" i="5"/>
  <c r="C63" i="5"/>
  <c r="O75" i="5"/>
  <c r="J173" i="5"/>
  <c r="K116" i="5"/>
  <c r="B54" i="5"/>
  <c r="S84" i="5"/>
  <c r="K145" i="5"/>
  <c r="R161" i="5"/>
  <c r="A203" i="5"/>
  <c r="O89" i="5"/>
  <c r="H50" i="5"/>
  <c r="V185" i="5"/>
  <c r="M62" i="5"/>
  <c r="I87" i="5"/>
  <c r="K125" i="5"/>
  <c r="P42" i="5"/>
  <c r="O121" i="5"/>
  <c r="J142" i="5"/>
  <c r="K103" i="5"/>
  <c r="C165" i="5"/>
  <c r="P13" i="5"/>
  <c r="M131" i="5"/>
  <c r="T46" i="5"/>
  <c r="A98" i="5"/>
  <c r="T72" i="5"/>
  <c r="U51" i="5"/>
  <c r="D55" i="5"/>
  <c r="O58" i="5"/>
  <c r="D78" i="5"/>
  <c r="K85" i="5"/>
  <c r="U91" i="5"/>
  <c r="H93" i="5"/>
  <c r="U94" i="5"/>
  <c r="G183" i="5"/>
  <c r="V15" i="5"/>
  <c r="R62" i="5"/>
  <c r="V69" i="5"/>
  <c r="F140" i="5"/>
  <c r="S104" i="5"/>
  <c r="O34" i="5"/>
  <c r="N36" i="5"/>
  <c r="E122" i="5"/>
  <c r="K93" i="5"/>
  <c r="S60" i="5"/>
  <c r="G91" i="5"/>
  <c r="G75" i="5"/>
  <c r="R61" i="5"/>
  <c r="C48" i="5"/>
  <c r="M59" i="5"/>
  <c r="U144" i="5"/>
  <c r="F145" i="5"/>
  <c r="N145" i="5"/>
  <c r="H161" i="5"/>
  <c r="O161" i="5"/>
  <c r="W161" i="5"/>
  <c r="Q162" i="5"/>
  <c r="S162" i="5"/>
  <c r="U162" i="5"/>
  <c r="W162" i="5"/>
  <c r="B163" i="5"/>
  <c r="D163" i="5"/>
  <c r="F163" i="5"/>
  <c r="H163" i="5"/>
  <c r="J163" i="5"/>
  <c r="G182" i="5"/>
  <c r="M204" i="5"/>
  <c r="D93" i="5"/>
  <c r="R93" i="5"/>
  <c r="U114" i="5"/>
  <c r="S94" i="5"/>
  <c r="P46" i="5"/>
  <c r="R65" i="5"/>
  <c r="P92" i="5"/>
  <c r="A123" i="5"/>
  <c r="P17" i="5"/>
  <c r="J125" i="5"/>
  <c r="M187" i="5"/>
  <c r="J111" i="5"/>
  <c r="U64" i="5"/>
  <c r="T65" i="5"/>
  <c r="R99" i="5"/>
  <c r="S122" i="5"/>
  <c r="R87" i="5"/>
  <c r="V103" i="5"/>
  <c r="H125" i="5"/>
  <c r="P12" i="5"/>
  <c r="Q35" i="5"/>
  <c r="P36" i="5"/>
  <c r="A122" i="5"/>
  <c r="S132" i="5"/>
  <c r="D79" i="5"/>
  <c r="V79" i="5"/>
  <c r="E80" i="5"/>
  <c r="K80" i="5"/>
  <c r="V80" i="5"/>
  <c r="G81" i="5"/>
  <c r="P81" i="5"/>
  <c r="P82" i="5"/>
  <c r="C83" i="5"/>
  <c r="J83" i="5"/>
  <c r="S83" i="5"/>
  <c r="F84" i="5"/>
  <c r="K84" i="5"/>
  <c r="T84" i="5"/>
  <c r="A140" i="5"/>
  <c r="G140" i="5"/>
  <c r="L140" i="5"/>
  <c r="S140" i="5"/>
  <c r="C141" i="5"/>
  <c r="L141" i="5"/>
  <c r="B142" i="5"/>
  <c r="I142" i="5"/>
  <c r="O142" i="5"/>
  <c r="R142" i="5"/>
  <c r="A143" i="5"/>
  <c r="G143" i="5"/>
  <c r="H143" i="5"/>
  <c r="J143" i="5"/>
  <c r="L143" i="5"/>
  <c r="N143" i="5"/>
  <c r="P143" i="5"/>
  <c r="R143" i="5"/>
  <c r="L166" i="5"/>
  <c r="N166" i="5"/>
  <c r="P166" i="5"/>
  <c r="R166" i="5"/>
  <c r="T166" i="5"/>
  <c r="V166" i="5"/>
  <c r="W166" i="5"/>
  <c r="B167" i="5"/>
  <c r="D167" i="5"/>
  <c r="F167" i="5"/>
  <c r="H167" i="5"/>
  <c r="J167" i="5"/>
  <c r="L167" i="5"/>
  <c r="N167" i="5"/>
  <c r="P167" i="5"/>
  <c r="R167" i="5"/>
  <c r="T167" i="5"/>
  <c r="I181" i="5"/>
  <c r="E182" i="5"/>
  <c r="T202" i="5"/>
  <c r="O203" i="5"/>
  <c r="L204" i="5"/>
  <c r="C87" i="5"/>
  <c r="F126" i="5"/>
  <c r="V14" i="5"/>
  <c r="T45" i="5"/>
  <c r="A53" i="5"/>
  <c r="C84" i="5"/>
  <c r="K90" i="5"/>
  <c r="T76" i="5"/>
  <c r="P107" i="5"/>
  <c r="J177" i="5"/>
  <c r="G11" i="5"/>
  <c r="F47" i="5"/>
  <c r="F70" i="5"/>
  <c r="A71" i="5"/>
  <c r="D118" i="5"/>
  <c r="W118" i="5"/>
  <c r="J32" i="5"/>
  <c r="J183" i="5"/>
  <c r="O184" i="5"/>
  <c r="P185" i="5"/>
  <c r="Q186" i="5"/>
  <c r="O33" i="5"/>
  <c r="H37" i="5"/>
  <c r="V37" i="5"/>
  <c r="C39" i="5"/>
  <c r="D59" i="5"/>
  <c r="A85" i="5"/>
  <c r="V108" i="5"/>
  <c r="A51" i="5"/>
  <c r="C78" i="5"/>
  <c r="E61" i="5"/>
  <c r="O62" i="5"/>
  <c r="H173" i="5"/>
  <c r="L15" i="5"/>
  <c r="G50" i="5"/>
  <c r="C82" i="5"/>
  <c r="O177" i="5"/>
  <c r="I63" i="5"/>
  <c r="K68" i="5"/>
  <c r="N69" i="5"/>
  <c r="W56" i="5"/>
  <c r="K83" i="5"/>
  <c r="K109" i="5"/>
  <c r="K175" i="5"/>
  <c r="K168" i="5"/>
  <c r="V168" i="5"/>
  <c r="V169" i="5"/>
  <c r="R75" i="5"/>
  <c r="V84" i="5"/>
  <c r="I91" i="5"/>
  <c r="N171" i="5"/>
  <c r="C20" i="5"/>
  <c r="N43" i="5"/>
  <c r="G190" i="5"/>
  <c r="K161" i="5"/>
  <c r="T11" i="5"/>
  <c r="H122" i="5"/>
  <c r="S204" i="5"/>
  <c r="T32" i="5"/>
  <c r="K106" i="5"/>
  <c r="U122" i="5"/>
  <c r="I94" i="5"/>
  <c r="S42" i="5"/>
  <c r="V71" i="5"/>
  <c r="W77" i="5"/>
  <c r="O31" i="5"/>
  <c r="N32" i="5"/>
  <c r="I183" i="5"/>
  <c r="L184" i="5"/>
  <c r="N185" i="5"/>
  <c r="O186" i="5"/>
  <c r="E187" i="5"/>
  <c r="D188" i="5"/>
  <c r="U33" i="5"/>
  <c r="K37" i="5"/>
  <c r="W101" i="5"/>
  <c r="Q102" i="5"/>
  <c r="I103" i="5"/>
  <c r="B104" i="5"/>
  <c r="Q104" i="5"/>
  <c r="I105" i="5"/>
  <c r="T105" i="5"/>
  <c r="P106" i="5"/>
  <c r="M10" i="5"/>
  <c r="Q114" i="5"/>
  <c r="M125" i="5"/>
  <c r="L126" i="5"/>
  <c r="F127" i="5"/>
  <c r="D128" i="5"/>
  <c r="A129" i="5"/>
  <c r="N51" i="5"/>
  <c r="O165" i="5"/>
  <c r="W114" i="5"/>
  <c r="A115" i="5"/>
  <c r="T164" i="5"/>
  <c r="E165" i="5"/>
  <c r="N165" i="5"/>
  <c r="K28" i="5"/>
  <c r="N28" i="5"/>
  <c r="Q28" i="5"/>
  <c r="T28" i="5"/>
  <c r="W28" i="5"/>
  <c r="C29" i="5"/>
  <c r="F29" i="5"/>
  <c r="I29" i="5"/>
  <c r="L29" i="5"/>
  <c r="R30" i="5"/>
  <c r="U30" i="5"/>
  <c r="A31" i="5"/>
  <c r="D31" i="5"/>
  <c r="D168" i="5"/>
  <c r="G168" i="5"/>
  <c r="J168" i="5"/>
  <c r="O37" i="5"/>
  <c r="G77" i="5"/>
  <c r="O87" i="5"/>
  <c r="U174" i="5"/>
  <c r="B177" i="5"/>
  <c r="U61" i="5"/>
  <c r="M175" i="5"/>
  <c r="G47" i="5"/>
  <c r="S85" i="5"/>
  <c r="V62" i="5"/>
  <c r="V67" i="5"/>
  <c r="Q69" i="5"/>
  <c r="B79" i="5"/>
  <c r="J108" i="5"/>
  <c r="B178" i="5"/>
  <c r="N141" i="5"/>
  <c r="K142" i="5"/>
  <c r="J172" i="5"/>
  <c r="W172" i="5"/>
  <c r="G31" i="5"/>
  <c r="J31" i="5"/>
  <c r="C32" i="5"/>
  <c r="C33" i="5"/>
  <c r="U184" i="5"/>
  <c r="L186" i="5"/>
  <c r="W187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A116" i="5"/>
  <c r="B116" i="5"/>
  <c r="D116" i="5"/>
  <c r="F116" i="5"/>
  <c r="I116" i="5"/>
  <c r="J116" i="5"/>
  <c r="L116" i="5"/>
  <c r="O116" i="5"/>
  <c r="Q116" i="5"/>
  <c r="S116" i="5"/>
  <c r="U116" i="5"/>
  <c r="W116" i="5"/>
  <c r="B117" i="5"/>
  <c r="C117" i="5"/>
  <c r="E117" i="5"/>
  <c r="H117" i="5"/>
  <c r="J117" i="5"/>
  <c r="L117" i="5"/>
  <c r="E118" i="5"/>
  <c r="L118" i="5"/>
  <c r="G119" i="5"/>
  <c r="G126" i="5"/>
  <c r="U168" i="5"/>
  <c r="R169" i="5"/>
  <c r="P56" i="5"/>
  <c r="G82" i="5"/>
  <c r="Q85" i="5"/>
  <c r="C91" i="5"/>
  <c r="D140" i="5"/>
  <c r="S32" i="5"/>
  <c r="E184" i="5"/>
  <c r="F185" i="5"/>
  <c r="G186" i="5"/>
  <c r="J187" i="5"/>
  <c r="P200" i="5"/>
  <c r="C34" i="5"/>
  <c r="P37" i="5"/>
  <c r="U38" i="5"/>
  <c r="I82" i="5"/>
  <c r="R173" i="5"/>
  <c r="C44" i="5"/>
  <c r="L142" i="5"/>
  <c r="A63" i="5"/>
  <c r="N68" i="5"/>
  <c r="C142" i="5"/>
  <c r="B145" i="5"/>
  <c r="J145" i="5"/>
  <c r="D161" i="5"/>
  <c r="L161" i="5"/>
  <c r="S161" i="5"/>
  <c r="C162" i="5"/>
  <c r="R162" i="5"/>
  <c r="T162" i="5"/>
  <c r="V162" i="5"/>
  <c r="A163" i="5"/>
  <c r="C163" i="5"/>
  <c r="E163" i="5"/>
  <c r="G163" i="5"/>
  <c r="I163" i="5"/>
  <c r="K163" i="5"/>
  <c r="D11" i="5"/>
  <c r="N6" i="5"/>
  <c r="H7" i="5"/>
  <c r="D8" i="5"/>
  <c r="N8" i="5"/>
  <c r="U136" i="5"/>
  <c r="R137" i="5"/>
  <c r="B138" i="5"/>
  <c r="K138" i="5"/>
  <c r="S138" i="5"/>
  <c r="R7" i="5"/>
  <c r="Q138" i="5"/>
  <c r="L170" i="5"/>
  <c r="N170" i="5"/>
  <c r="P170" i="5"/>
  <c r="R170" i="5"/>
  <c r="T170" i="5"/>
  <c r="V170" i="5"/>
  <c r="W170" i="5"/>
  <c r="C171" i="5"/>
  <c r="D171" i="5"/>
  <c r="F171" i="5"/>
  <c r="H171" i="5"/>
  <c r="J171" i="5"/>
  <c r="L171" i="5"/>
  <c r="P171" i="5"/>
  <c r="P192" i="5"/>
  <c r="E190" i="5"/>
  <c r="I190" i="5"/>
  <c r="O162" i="5"/>
  <c r="V65" i="5"/>
  <c r="E127" i="5"/>
  <c r="H79" i="5"/>
  <c r="P173" i="5"/>
  <c r="G65" i="5"/>
  <c r="V142" i="5"/>
  <c r="I109" i="5"/>
  <c r="N71" i="5"/>
  <c r="R124" i="5"/>
  <c r="L190" i="5"/>
  <c r="N190" i="5"/>
  <c r="M5" i="5"/>
  <c r="B6" i="5"/>
  <c r="T196" i="5"/>
  <c r="S29" i="5"/>
  <c r="G30" i="5"/>
  <c r="N144" i="5"/>
  <c r="D193" i="5"/>
  <c r="N40" i="5"/>
  <c r="R41" i="5"/>
  <c r="I58" i="5"/>
  <c r="L79" i="5"/>
  <c r="E110" i="5"/>
  <c r="A149" i="5"/>
  <c r="C151" i="5"/>
  <c r="I153" i="5"/>
  <c r="Q156" i="5"/>
  <c r="V195" i="5"/>
  <c r="N98" i="5"/>
  <c r="M50" i="5"/>
  <c r="G80" i="5"/>
  <c r="D110" i="5"/>
  <c r="U148" i="5"/>
  <c r="G151" i="5"/>
  <c r="K154" i="5"/>
  <c r="U156" i="5"/>
  <c r="I47" i="5"/>
  <c r="N17" i="5"/>
  <c r="A45" i="5"/>
  <c r="O51" i="5"/>
  <c r="R55" i="5"/>
  <c r="I44" i="5"/>
  <c r="U15" i="5"/>
  <c r="E14" i="5"/>
  <c r="S12" i="5"/>
  <c r="V51" i="5"/>
  <c r="E9" i="5"/>
  <c r="G22" i="5"/>
  <c r="Q144" i="5"/>
  <c r="B139" i="5"/>
  <c r="S56" i="5"/>
  <c r="G7" i="5"/>
  <c r="B137" i="5"/>
  <c r="J139" i="5"/>
  <c r="B58" i="5"/>
  <c r="Q139" i="5"/>
  <c r="E157" i="5"/>
  <c r="R157" i="5"/>
  <c r="A158" i="5"/>
  <c r="R158" i="5"/>
  <c r="C159" i="5"/>
  <c r="K159" i="5"/>
  <c r="R159" i="5"/>
  <c r="L160" i="5"/>
  <c r="Q160" i="5"/>
  <c r="I197" i="5"/>
  <c r="V197" i="5"/>
  <c r="K198" i="5"/>
  <c r="G199" i="5"/>
  <c r="K199" i="5"/>
  <c r="S199" i="5"/>
  <c r="D200" i="5"/>
  <c r="I200" i="5"/>
  <c r="N16" i="5"/>
  <c r="F17" i="5"/>
  <c r="M17" i="5"/>
  <c r="L18" i="5"/>
  <c r="S18" i="5"/>
  <c r="E19" i="5"/>
  <c r="O19" i="5"/>
  <c r="S19" i="5"/>
  <c r="H20" i="5"/>
  <c r="N20" i="5"/>
  <c r="W20" i="5"/>
  <c r="F21" i="5"/>
  <c r="B42" i="5"/>
  <c r="H42" i="5"/>
  <c r="V42" i="5"/>
  <c r="U43" i="5"/>
  <c r="E44" i="5"/>
  <c r="V44" i="5"/>
  <c r="N45" i="5"/>
  <c r="R46" i="5"/>
  <c r="W46" i="5"/>
  <c r="T47" i="5"/>
  <c r="B49" i="5"/>
  <c r="N49" i="5"/>
  <c r="N50" i="5"/>
  <c r="C51" i="5"/>
  <c r="K51" i="5"/>
  <c r="B52" i="5"/>
  <c r="D53" i="5"/>
  <c r="U53" i="5"/>
  <c r="U54" i="5"/>
  <c r="T56" i="5"/>
  <c r="D58" i="5"/>
  <c r="T74" i="5"/>
  <c r="A5" i="5"/>
  <c r="C5" i="5"/>
  <c r="E5" i="5"/>
  <c r="G5" i="5"/>
  <c r="I5" i="5"/>
  <c r="H30" i="5"/>
  <c r="W40" i="5"/>
  <c r="V41" i="5"/>
  <c r="O59" i="5"/>
  <c r="E90" i="5"/>
  <c r="L148" i="5"/>
  <c r="L151" i="5"/>
  <c r="J158" i="5"/>
  <c r="C160" i="5"/>
  <c r="E196" i="5"/>
  <c r="D198" i="5"/>
  <c r="T199" i="5"/>
  <c r="M151" i="5"/>
  <c r="A152" i="5"/>
  <c r="M152" i="5"/>
  <c r="W152" i="5"/>
  <c r="M153" i="5"/>
  <c r="B154" i="5"/>
  <c r="R154" i="5"/>
  <c r="F155" i="5"/>
  <c r="C156" i="5"/>
  <c r="D157" i="5"/>
  <c r="G158" i="5"/>
  <c r="U158" i="5"/>
  <c r="F160" i="5"/>
  <c r="U195" i="5"/>
  <c r="W196" i="5"/>
  <c r="K197" i="5"/>
  <c r="L198" i="5"/>
  <c r="V199" i="5"/>
  <c r="B170" i="5"/>
  <c r="D170" i="5"/>
  <c r="F170" i="5"/>
  <c r="H170" i="5"/>
  <c r="J170" i="5"/>
  <c r="S171" i="5"/>
  <c r="U171" i="5"/>
  <c r="W171" i="5"/>
  <c r="B172" i="5"/>
  <c r="D172" i="5"/>
  <c r="F172" i="5"/>
  <c r="H172" i="5"/>
  <c r="L9" i="5"/>
  <c r="A10" i="5"/>
  <c r="C12" i="5"/>
  <c r="I13" i="5"/>
  <c r="O14" i="5"/>
  <c r="E17" i="5"/>
  <c r="H18" i="5"/>
  <c r="G20" i="5"/>
  <c r="I21" i="5"/>
  <c r="T43" i="5"/>
  <c r="N44" i="5"/>
  <c r="S45" i="5"/>
  <c r="S46" i="5"/>
  <c r="R132" i="5"/>
  <c r="M136" i="5"/>
  <c r="R77" i="5"/>
  <c r="W144" i="5"/>
  <c r="K162" i="5"/>
  <c r="W64" i="5"/>
  <c r="Q34" i="5"/>
  <c r="Q12" i="5"/>
  <c r="C103" i="5"/>
  <c r="L66" i="5"/>
  <c r="P114" i="5"/>
  <c r="L62" i="5"/>
  <c r="C72" i="5"/>
  <c r="R185" i="5"/>
  <c r="J5" i="5"/>
  <c r="L5" i="5"/>
  <c r="T5" i="5"/>
  <c r="T156" i="5"/>
  <c r="A198" i="5"/>
  <c r="M29" i="5"/>
  <c r="A30" i="5"/>
  <c r="I30" i="5"/>
  <c r="J40" i="5"/>
  <c r="D41" i="5"/>
  <c r="T41" i="5"/>
  <c r="N42" i="5"/>
  <c r="K56" i="5"/>
  <c r="T59" i="5"/>
  <c r="J153" i="5"/>
  <c r="W153" i="5"/>
  <c r="Q17" i="5"/>
  <c r="Q51" i="5"/>
  <c r="Q59" i="5"/>
  <c r="F154" i="5"/>
  <c r="A156" i="5"/>
  <c r="T158" i="5"/>
  <c r="M98" i="5"/>
  <c r="U98" i="5"/>
  <c r="H99" i="5"/>
  <c r="R5" i="5"/>
  <c r="N29" i="5"/>
  <c r="N30" i="5"/>
  <c r="D18" i="5"/>
  <c r="U146" i="5"/>
  <c r="V147" i="5"/>
  <c r="N150" i="5"/>
  <c r="L200" i="5"/>
  <c r="K16" i="5"/>
  <c r="T150" i="5"/>
  <c r="O154" i="5"/>
  <c r="O155" i="5"/>
  <c r="D156" i="5"/>
  <c r="A157" i="5"/>
  <c r="H157" i="5"/>
  <c r="K158" i="5"/>
  <c r="O159" i="5"/>
  <c r="G160" i="5"/>
  <c r="D196" i="5"/>
  <c r="G197" i="5"/>
  <c r="G200" i="5"/>
  <c r="E39" i="5"/>
  <c r="F191" i="5"/>
  <c r="B192" i="5"/>
  <c r="P15" i="5"/>
  <c r="W58" i="5"/>
  <c r="T17" i="5"/>
  <c r="O8" i="5"/>
  <c r="S124" i="5"/>
  <c r="H39" i="5"/>
  <c r="I157" i="5"/>
  <c r="W157" i="5"/>
  <c r="U143" i="5"/>
  <c r="P146" i="5"/>
  <c r="R146" i="5"/>
  <c r="T146" i="5"/>
  <c r="V146" i="5"/>
  <c r="A147" i="5"/>
  <c r="C147" i="5"/>
  <c r="E147" i="5"/>
  <c r="G147" i="5"/>
  <c r="M147" i="5"/>
  <c r="S147" i="5"/>
  <c r="B148" i="5"/>
  <c r="H148" i="5"/>
  <c r="S148" i="5"/>
  <c r="H149" i="5"/>
  <c r="T149" i="5"/>
  <c r="I150" i="5"/>
  <c r="V150" i="5"/>
  <c r="O5" i="5"/>
  <c r="W5" i="5"/>
  <c r="P158" i="5"/>
  <c r="Q198" i="5"/>
  <c r="P29" i="5"/>
  <c r="W29" i="5"/>
  <c r="P30" i="5"/>
  <c r="H41" i="5"/>
  <c r="L44" i="5"/>
  <c r="K82" i="5"/>
  <c r="Q110" i="5"/>
  <c r="B150" i="5"/>
  <c r="S152" i="5"/>
  <c r="W158" i="5"/>
  <c r="S195" i="5"/>
  <c r="N197" i="5"/>
  <c r="V198" i="5"/>
  <c r="E151" i="5"/>
  <c r="R151" i="5"/>
  <c r="F152" i="5"/>
  <c r="R152" i="5"/>
  <c r="G153" i="5"/>
  <c r="R153" i="5"/>
  <c r="J154" i="5"/>
  <c r="W154" i="5"/>
  <c r="N155" i="5"/>
  <c r="L156" i="5"/>
  <c r="M157" i="5"/>
  <c r="Q158" i="5"/>
  <c r="E159" i="5"/>
  <c r="U160" i="5"/>
  <c r="S196" i="5"/>
  <c r="F197" i="5"/>
  <c r="R197" i="5"/>
  <c r="M199" i="5"/>
  <c r="N200" i="5"/>
  <c r="C170" i="5"/>
  <c r="E170" i="5"/>
  <c r="G170" i="5"/>
  <c r="I170" i="5"/>
  <c r="R171" i="5"/>
  <c r="T171" i="5"/>
  <c r="V171" i="5"/>
  <c r="A172" i="5"/>
  <c r="C172" i="5"/>
  <c r="E172" i="5"/>
  <c r="G172" i="5"/>
  <c r="I172" i="5"/>
  <c r="T9" i="5"/>
  <c r="G10" i="5"/>
  <c r="V12" i="5"/>
  <c r="N13" i="5"/>
  <c r="U16" i="5"/>
  <c r="L17" i="5"/>
  <c r="A19" i="5"/>
  <c r="U20" i="5"/>
  <c r="L42" i="5"/>
  <c r="G44" i="5"/>
  <c r="C45" i="5"/>
  <c r="E46" i="5"/>
  <c r="C132" i="5"/>
  <c r="C133" i="5"/>
  <c r="Q136" i="5"/>
  <c r="K78" i="5"/>
  <c r="G161" i="5"/>
  <c r="E102" i="5"/>
  <c r="U99" i="5"/>
  <c r="B182" i="5"/>
  <c r="I108" i="5"/>
  <c r="Q101" i="5"/>
  <c r="V99" i="5"/>
  <c r="E106" i="5"/>
  <c r="C79" i="5"/>
  <c r="Q71" i="5"/>
  <c r="R116" i="5"/>
  <c r="F144" i="5"/>
  <c r="M193" i="5"/>
  <c r="O193" i="5"/>
  <c r="Q193" i="5"/>
  <c r="S193" i="5"/>
  <c r="V193" i="5"/>
  <c r="A194" i="5"/>
  <c r="C194" i="5"/>
  <c r="E194" i="5"/>
  <c r="G194" i="5"/>
  <c r="I194" i="5"/>
  <c r="K194" i="5"/>
  <c r="M194" i="5"/>
  <c r="O194" i="5"/>
  <c r="Q194" i="5"/>
  <c r="S194" i="5"/>
  <c r="J22" i="5"/>
  <c r="R19" i="5"/>
  <c r="H46" i="5"/>
  <c r="M52" i="5"/>
  <c r="B75" i="5"/>
  <c r="G165" i="5"/>
  <c r="U8" i="5"/>
  <c r="G9" i="5"/>
  <c r="C19" i="5"/>
  <c r="Q21" i="5"/>
  <c r="V21" i="5"/>
  <c r="H22" i="5"/>
  <c r="H28" i="5"/>
  <c r="B144" i="5"/>
  <c r="I144" i="5"/>
  <c r="R144" i="5"/>
  <c r="P55" i="5"/>
  <c r="D12" i="5"/>
  <c r="N159" i="5"/>
  <c r="J136" i="5"/>
  <c r="W145" i="5"/>
  <c r="S145" i="5"/>
  <c r="W13" i="5"/>
  <c r="B135" i="5"/>
  <c r="I136" i="5"/>
  <c r="W10" i="5"/>
  <c r="R145" i="5"/>
  <c r="O195" i="5"/>
  <c r="U178" i="5"/>
  <c r="P152" i="5"/>
  <c r="O43" i="5"/>
  <c r="M196" i="5"/>
  <c r="N146" i="5"/>
  <c r="B153" i="5"/>
  <c r="H194" i="5"/>
  <c r="N156" i="5"/>
  <c r="V43" i="5"/>
  <c r="S177" i="5"/>
  <c r="H80" i="5"/>
  <c r="W149" i="5"/>
  <c r="I19" i="5"/>
  <c r="R148" i="5"/>
  <c r="K43" i="5"/>
  <c r="V16" i="5"/>
  <c r="N60" i="5"/>
  <c r="G102" i="5"/>
  <c r="N126" i="5"/>
  <c r="F66" i="5"/>
  <c r="M63" i="5"/>
  <c r="C68" i="5"/>
  <c r="F94" i="5"/>
  <c r="O102" i="5"/>
  <c r="F36" i="5"/>
  <c r="E129" i="5"/>
  <c r="W202" i="5"/>
  <c r="V17" i="5"/>
  <c r="R140" i="5"/>
  <c r="S118" i="5"/>
  <c r="K86" i="5"/>
  <c r="U185" i="5"/>
  <c r="P60" i="5"/>
  <c r="H187" i="5"/>
  <c r="S107" i="5"/>
  <c r="E75" i="5"/>
  <c r="R80" i="5"/>
  <c r="P100" i="5"/>
  <c r="D101" i="5"/>
  <c r="K113" i="5"/>
  <c r="E114" i="5"/>
  <c r="L75" i="5"/>
  <c r="J43" i="5"/>
  <c r="T116" i="5"/>
  <c r="S13" i="5"/>
  <c r="L74" i="5"/>
  <c r="N35" i="5"/>
  <c r="M18" i="5"/>
  <c r="J104" i="5"/>
  <c r="J182" i="5"/>
  <c r="T91" i="5"/>
  <c r="D49" i="5"/>
  <c r="K81" i="5"/>
  <c r="N48" i="5"/>
  <c r="F119" i="5"/>
  <c r="P169" i="5"/>
  <c r="G169" i="5"/>
  <c r="G145" i="5"/>
  <c r="J103" i="5"/>
  <c r="B36" i="5"/>
  <c r="P86" i="5"/>
  <c r="L176" i="5"/>
  <c r="K92" i="5"/>
  <c r="J37" i="5"/>
  <c r="I140" i="5"/>
  <c r="H62" i="5"/>
  <c r="C85" i="5"/>
  <c r="C69" i="5"/>
  <c r="E174" i="5"/>
  <c r="F129" i="5"/>
  <c r="S143" i="5"/>
  <c r="G167" i="5"/>
  <c r="S181" i="5"/>
  <c r="V164" i="5"/>
  <c r="J16" i="5"/>
  <c r="D185" i="5"/>
  <c r="E143" i="5"/>
  <c r="S62" i="5"/>
  <c r="K169" i="5"/>
  <c r="U183" i="5"/>
  <c r="A103" i="5"/>
  <c r="C125" i="5"/>
  <c r="W164" i="5"/>
  <c r="B29" i="5"/>
  <c r="V130" i="5"/>
  <c r="G131" i="5"/>
  <c r="R131" i="5"/>
  <c r="M132" i="5"/>
  <c r="L136" i="5"/>
  <c r="C76" i="5"/>
  <c r="Q178" i="5"/>
  <c r="D162" i="5"/>
  <c r="D133" i="5"/>
  <c r="V127" i="5"/>
  <c r="I80" i="5"/>
  <c r="I34" i="5"/>
  <c r="B129" i="5"/>
  <c r="U77" i="5"/>
  <c r="A60" i="5"/>
  <c r="U81" i="5"/>
  <c r="C116" i="5"/>
  <c r="I121" i="5"/>
  <c r="D122" i="5"/>
  <c r="W122" i="5"/>
  <c r="E94" i="5"/>
  <c r="U102" i="5"/>
  <c r="N65" i="5"/>
  <c r="P174" i="5"/>
  <c r="A110" i="5"/>
  <c r="H90" i="5"/>
  <c r="H132" i="5"/>
  <c r="I42" i="5"/>
  <c r="E121" i="5"/>
  <c r="O181" i="5"/>
  <c r="Q94" i="5"/>
  <c r="G83" i="5"/>
  <c r="D70" i="5"/>
  <c r="P168" i="5"/>
  <c r="I32" i="5"/>
  <c r="R38" i="5"/>
  <c r="J186" i="5"/>
  <c r="E60" i="5"/>
  <c r="D176" i="5"/>
  <c r="M69" i="5"/>
  <c r="L100" i="5"/>
  <c r="E101" i="5"/>
  <c r="M113" i="5"/>
  <c r="W123" i="5"/>
  <c r="I77" i="5"/>
  <c r="W76" i="5"/>
  <c r="S117" i="5"/>
  <c r="P127" i="5"/>
  <c r="H74" i="5"/>
  <c r="A35" i="5"/>
  <c r="C121" i="5"/>
  <c r="V91" i="5"/>
  <c r="N181" i="5"/>
  <c r="Q204" i="5"/>
  <c r="Q15" i="5"/>
  <c r="W107" i="5"/>
  <c r="W17" i="5"/>
  <c r="J118" i="5"/>
  <c r="H169" i="5"/>
  <c r="G117" i="5"/>
  <c r="S69" i="5"/>
  <c r="U74" i="5"/>
  <c r="U72" i="5"/>
  <c r="F95" i="5"/>
  <c r="U17" i="5"/>
  <c r="J133" i="5"/>
  <c r="K60" i="5"/>
  <c r="A56" i="5"/>
  <c r="V174" i="5"/>
  <c r="W62" i="5"/>
  <c r="K57" i="5"/>
  <c r="Q128" i="5"/>
  <c r="I143" i="5"/>
  <c r="Q166" i="5"/>
  <c r="K167" i="5"/>
  <c r="F203" i="5"/>
  <c r="M49" i="5"/>
  <c r="P117" i="5"/>
  <c r="G34" i="5"/>
  <c r="F177" i="5"/>
  <c r="K50" i="5"/>
  <c r="M109" i="5"/>
  <c r="K34" i="5"/>
  <c r="J106" i="5"/>
  <c r="W43" i="5"/>
  <c r="P28" i="5"/>
  <c r="P129" i="5"/>
  <c r="V129" i="5"/>
  <c r="F130" i="5"/>
  <c r="L130" i="5"/>
  <c r="U130" i="5"/>
  <c r="F131" i="5"/>
  <c r="P131" i="5"/>
  <c r="I132" i="5"/>
  <c r="G133" i="5"/>
  <c r="R136" i="5"/>
  <c r="A68" i="5"/>
  <c r="P161" i="5"/>
  <c r="S43" i="5"/>
  <c r="L91" i="5"/>
  <c r="O106" i="5"/>
  <c r="W186" i="5"/>
  <c r="V92" i="5"/>
  <c r="Q61" i="5"/>
  <c r="Q106" i="5"/>
  <c r="E63" i="5"/>
  <c r="O72" i="5"/>
  <c r="B140" i="5"/>
  <c r="H200" i="5"/>
  <c r="E18" i="5"/>
  <c r="K148" i="5"/>
  <c r="R176" i="5"/>
  <c r="S82" i="5"/>
  <c r="D151" i="5"/>
  <c r="W193" i="5"/>
  <c r="G198" i="5"/>
  <c r="S80" i="5"/>
  <c r="A42" i="5"/>
  <c r="T58" i="5"/>
  <c r="G148" i="5"/>
  <c r="O110" i="5"/>
  <c r="E179" i="5"/>
  <c r="Q24" i="5"/>
  <c r="T24" i="5"/>
  <c r="W24" i="5"/>
  <c r="D25" i="5"/>
  <c r="H25" i="5"/>
  <c r="L25" i="5"/>
  <c r="P25" i="5"/>
  <c r="T25" i="5"/>
  <c r="A26" i="5"/>
  <c r="E26" i="5"/>
  <c r="I26" i="5"/>
  <c r="M26" i="5"/>
  <c r="Q26" i="5"/>
  <c r="R11" i="5"/>
  <c r="L132" i="5"/>
  <c r="H92" i="5"/>
  <c r="I85" i="5"/>
  <c r="A119" i="5"/>
  <c r="H32" i="5"/>
  <c r="D75" i="5"/>
  <c r="Q48" i="5"/>
  <c r="B141" i="5"/>
  <c r="S91" i="5"/>
  <c r="V64" i="5"/>
  <c r="F61" i="5"/>
  <c r="F104" i="5"/>
  <c r="A76" i="5"/>
  <c r="G203" i="5"/>
  <c r="C35" i="5"/>
  <c r="I123" i="5"/>
  <c r="I182" i="5"/>
  <c r="O128" i="5"/>
  <c r="N84" i="5"/>
  <c r="T70" i="5"/>
  <c r="N169" i="5"/>
  <c r="C184" i="5"/>
  <c r="E34" i="5"/>
  <c r="K185" i="5"/>
  <c r="O84" i="5"/>
  <c r="T19" i="5"/>
  <c r="N90" i="5"/>
  <c r="T100" i="5"/>
  <c r="G101" i="5"/>
  <c r="Q113" i="5"/>
  <c r="D124" i="5"/>
  <c r="H145" i="5"/>
  <c r="O71" i="5"/>
  <c r="U187" i="5"/>
  <c r="E74" i="5"/>
  <c r="M74" i="5"/>
  <c r="H35" i="5"/>
  <c r="A37" i="5"/>
  <c r="Q123" i="5"/>
  <c r="U167" i="5"/>
  <c r="U203" i="5"/>
  <c r="D127" i="5"/>
  <c r="O79" i="5"/>
  <c r="J174" i="5"/>
  <c r="C71" i="5"/>
  <c r="H127" i="5"/>
  <c r="H116" i="5"/>
  <c r="Q184" i="5"/>
  <c r="R51" i="5"/>
  <c r="D19" i="5"/>
  <c r="N55" i="5"/>
  <c r="F51" i="5"/>
  <c r="V181" i="5"/>
  <c r="L165" i="5"/>
  <c r="F83" i="5"/>
  <c r="T60" i="5"/>
  <c r="N46" i="5"/>
  <c r="N63" i="5"/>
  <c r="O77" i="5"/>
  <c r="T52" i="5"/>
  <c r="M143" i="5"/>
  <c r="U166" i="5"/>
  <c r="O167" i="5"/>
  <c r="U204" i="5"/>
  <c r="M87" i="5"/>
  <c r="K118" i="5"/>
  <c r="L38" i="5"/>
  <c r="A62" i="5"/>
  <c r="A69" i="5"/>
  <c r="I81" i="5"/>
  <c r="P187" i="5"/>
  <c r="A105" i="5"/>
  <c r="R127" i="5"/>
  <c r="Q165" i="5"/>
  <c r="L129" i="5"/>
  <c r="S129" i="5"/>
  <c r="C130" i="5"/>
  <c r="J130" i="5"/>
  <c r="Q130" i="5"/>
  <c r="B131" i="5"/>
  <c r="J131" i="5"/>
  <c r="A132" i="5"/>
  <c r="V132" i="5"/>
  <c r="O136" i="5"/>
  <c r="S178" i="5"/>
  <c r="M145" i="5"/>
  <c r="M162" i="5"/>
  <c r="L65" i="5"/>
  <c r="V121" i="5"/>
  <c r="M119" i="5"/>
  <c r="B56" i="5"/>
  <c r="B112" i="5"/>
  <c r="D104" i="5"/>
  <c r="I52" i="5"/>
  <c r="G71" i="5"/>
  <c r="D117" i="5"/>
  <c r="L194" i="5"/>
  <c r="E10" i="5"/>
  <c r="H57" i="5"/>
  <c r="H86" i="5"/>
  <c r="Q196" i="5"/>
  <c r="V194" i="5"/>
  <c r="V151" i="5"/>
  <c r="T160" i="5"/>
  <c r="N193" i="5"/>
  <c r="B200" i="5"/>
  <c r="W148" i="5"/>
  <c r="Q147" i="5"/>
  <c r="O148" i="5"/>
  <c r="D149" i="5"/>
  <c r="M85" i="5"/>
  <c r="C81" i="5"/>
  <c r="A176" i="5"/>
  <c r="A196" i="5"/>
  <c r="N134" i="5"/>
  <c r="K200" i="5"/>
  <c r="C47" i="5"/>
  <c r="Q152" i="5"/>
  <c r="A193" i="5"/>
  <c r="N15" i="5"/>
  <c r="V134" i="5"/>
  <c r="S54" i="5"/>
  <c r="A199" i="5"/>
  <c r="K108" i="5"/>
  <c r="D178" i="5"/>
  <c r="U24" i="5"/>
  <c r="B25" i="5"/>
  <c r="F25" i="5"/>
  <c r="J25" i="5"/>
  <c r="N25" i="5"/>
  <c r="R25" i="5"/>
  <c r="V25" i="5"/>
  <c r="C26" i="5"/>
  <c r="G26" i="5"/>
  <c r="K26" i="5"/>
  <c r="O26" i="5"/>
  <c r="H95" i="5"/>
  <c r="S36" i="5"/>
  <c r="K182" i="5"/>
  <c r="H128" i="5"/>
  <c r="J10" i="5"/>
  <c r="C90" i="5"/>
  <c r="R33" i="5"/>
  <c r="A173" i="5"/>
  <c r="J76" i="5"/>
  <c r="E128" i="5"/>
  <c r="S111" i="5"/>
  <c r="Q54" i="5"/>
  <c r="C105" i="5"/>
  <c r="R34" i="5"/>
  <c r="S68" i="5"/>
  <c r="G112" i="5"/>
  <c r="T36" i="5"/>
  <c r="O105" i="5"/>
  <c r="I204" i="5"/>
  <c r="Q52" i="5"/>
  <c r="K17" i="5"/>
  <c r="A125" i="5"/>
  <c r="N31" i="5"/>
  <c r="R187" i="5"/>
  <c r="W31" i="5"/>
  <c r="S33" i="5"/>
  <c r="R58" i="5"/>
  <c r="J42" i="5"/>
  <c r="C177" i="5"/>
  <c r="A101" i="5"/>
  <c r="K101" i="5"/>
  <c r="U113" i="5"/>
  <c r="F124" i="5"/>
  <c r="I161" i="5"/>
  <c r="P72" i="5"/>
  <c r="J204" i="5"/>
  <c r="F74" i="5"/>
  <c r="V9" i="5"/>
  <c r="U35" i="5"/>
  <c r="L121" i="5"/>
  <c r="U93" i="5"/>
  <c r="W181" i="5"/>
  <c r="M80" i="5"/>
  <c r="D20" i="5"/>
  <c r="V89" i="5"/>
  <c r="W12" i="5"/>
  <c r="B118" i="5"/>
  <c r="W168" i="5"/>
  <c r="A117" i="5"/>
  <c r="G61" i="5"/>
  <c r="B70" i="5"/>
  <c r="L47" i="5"/>
  <c r="D80" i="5"/>
  <c r="B76" i="5"/>
  <c r="G92" i="5"/>
  <c r="V58" i="5"/>
  <c r="S87" i="5"/>
  <c r="I61" i="5"/>
  <c r="E53" i="5"/>
  <c r="L68" i="5"/>
  <c r="D108" i="5"/>
  <c r="F165" i="5"/>
  <c r="Q143" i="5"/>
  <c r="C167" i="5"/>
  <c r="Q167" i="5"/>
  <c r="L93" i="5"/>
  <c r="M108" i="5"/>
  <c r="I119" i="5"/>
  <c r="L60" i="5"/>
  <c r="I43" i="5"/>
  <c r="V77" i="5"/>
  <c r="B32" i="5"/>
  <c r="P101" i="5"/>
  <c r="P105" i="5"/>
  <c r="L128" i="5"/>
  <c r="L28" i="5"/>
  <c r="M129" i="5"/>
  <c r="T129" i="5"/>
  <c r="D130" i="5"/>
  <c r="K130" i="5"/>
  <c r="R130" i="5"/>
  <c r="C131" i="5"/>
  <c r="K131" i="5"/>
  <c r="E132" i="5"/>
  <c r="A133" i="5"/>
  <c r="P136" i="5"/>
  <c r="D141" i="5"/>
  <c r="C161" i="5"/>
  <c r="I92" i="5"/>
  <c r="K66" i="5"/>
  <c r="P91" i="5"/>
  <c r="F169" i="5"/>
  <c r="J93" i="5"/>
  <c r="U65" i="5"/>
  <c r="G127" i="5"/>
  <c r="H61" i="5"/>
  <c r="G72" i="5"/>
  <c r="D183" i="5"/>
  <c r="J196" i="5"/>
  <c r="P178" i="5"/>
  <c r="K195" i="5"/>
  <c r="U151" i="5"/>
  <c r="K160" i="5"/>
  <c r="I195" i="5"/>
  <c r="Q148" i="5"/>
  <c r="M47" i="5"/>
  <c r="W151" i="5"/>
  <c r="F196" i="5"/>
  <c r="W47" i="5"/>
  <c r="U196" i="5"/>
  <c r="F200" i="5"/>
  <c r="P24" i="5"/>
  <c r="S24" i="5"/>
  <c r="A25" i="5"/>
  <c r="E25" i="5"/>
  <c r="I25" i="5"/>
  <c r="M25" i="5"/>
  <c r="Q25" i="5"/>
  <c r="U25" i="5"/>
  <c r="B26" i="5"/>
  <c r="F26" i="5"/>
  <c r="J26" i="5"/>
  <c r="N26" i="5"/>
  <c r="R26" i="5"/>
  <c r="O35" i="5"/>
  <c r="C11" i="5"/>
  <c r="P48" i="5"/>
  <c r="M117" i="5"/>
  <c r="G58" i="5"/>
  <c r="K186" i="5"/>
  <c r="Q89" i="5"/>
  <c r="U172" i="5"/>
  <c r="C95" i="5"/>
  <c r="R17" i="5"/>
  <c r="L122" i="5"/>
  <c r="I15" i="5"/>
  <c r="S72" i="5"/>
  <c r="I111" i="5"/>
  <c r="R42" i="5"/>
  <c r="E20" i="5"/>
  <c r="W167" i="5"/>
  <c r="A106" i="5"/>
  <c r="H140" i="5"/>
  <c r="I118" i="5"/>
  <c r="N78" i="5"/>
  <c r="W184" i="5"/>
  <c r="R37" i="5"/>
  <c r="M183" i="5"/>
  <c r="H38" i="5"/>
  <c r="N61" i="5"/>
  <c r="A55" i="5"/>
  <c r="R100" i="5"/>
  <c r="F101" i="5"/>
  <c r="P113" i="5"/>
  <c r="U123" i="5"/>
  <c r="T78" i="5"/>
  <c r="F71" i="5"/>
  <c r="T88" i="5"/>
  <c r="B74" i="5"/>
  <c r="I74" i="5"/>
  <c r="P34" i="5"/>
  <c r="K36" i="5"/>
  <c r="P122" i="5"/>
  <c r="V125" i="5"/>
  <c r="L203" i="5"/>
  <c r="G106" i="5"/>
  <c r="V82" i="5"/>
  <c r="G109" i="5"/>
  <c r="Q70" i="5"/>
  <c r="U124" i="5"/>
  <c r="T97" i="5"/>
  <c r="M33" i="5"/>
  <c r="O118" i="5"/>
  <c r="E105" i="5"/>
  <c r="V52" i="5"/>
  <c r="F141" i="5"/>
  <c r="J105" i="5"/>
  <c r="G66" i="5"/>
  <c r="T77" i="5"/>
  <c r="Q174" i="5"/>
  <c r="K19" i="5"/>
  <c r="B68" i="5"/>
  <c r="J88" i="5"/>
  <c r="J164" i="5"/>
  <c r="O143" i="5"/>
  <c r="A167" i="5"/>
  <c r="S167" i="5"/>
  <c r="W102" i="5"/>
  <c r="O83" i="5"/>
  <c r="B33" i="5"/>
  <c r="A80" i="5"/>
  <c r="L57" i="5"/>
  <c r="M142" i="5"/>
  <c r="U182" i="5"/>
  <c r="I102" i="5"/>
  <c r="I114" i="5"/>
  <c r="J53" i="5"/>
  <c r="V28" i="5"/>
  <c r="O129" i="5"/>
  <c r="W129" i="5"/>
  <c r="G130" i="5"/>
  <c r="N130" i="5"/>
  <c r="T130" i="5"/>
  <c r="E131" i="5"/>
  <c r="N131" i="5"/>
  <c r="K132" i="5"/>
  <c r="I133" i="5"/>
  <c r="F75" i="5"/>
  <c r="U89" i="5"/>
  <c r="A162" i="5"/>
  <c r="C15" i="5"/>
  <c r="V35" i="5"/>
  <c r="J70" i="5"/>
  <c r="N109" i="5"/>
  <c r="G21" i="5"/>
  <c r="G69" i="5"/>
  <c r="P85" i="5"/>
  <c r="J71" i="5"/>
  <c r="K117" i="5"/>
  <c r="F20" i="5"/>
  <c r="C53" i="5"/>
  <c r="I193" i="5"/>
  <c r="L88" i="5"/>
  <c r="H84" i="5"/>
  <c r="H147" i="5"/>
  <c r="Q145" i="5"/>
  <c r="D191" i="5"/>
  <c r="A9" i="5"/>
  <c r="A190" i="5"/>
  <c r="V189" i="5"/>
  <c r="T189" i="5"/>
  <c r="R189" i="5"/>
  <c r="P189" i="5"/>
  <c r="N189" i="5"/>
  <c r="L189" i="5"/>
  <c r="K189" i="5"/>
  <c r="I189" i="5"/>
  <c r="G189" i="5"/>
  <c r="E189" i="5"/>
  <c r="C189" i="5"/>
  <c r="B189" i="5"/>
  <c r="W188" i="5"/>
  <c r="U188" i="5"/>
  <c r="S188" i="5"/>
  <c r="Q188" i="5"/>
  <c r="O188" i="5"/>
  <c r="M188" i="5"/>
  <c r="K188" i="5"/>
  <c r="I188" i="5"/>
  <c r="H188" i="5"/>
  <c r="F199" i="5"/>
  <c r="G156" i="5"/>
  <c r="E41" i="5"/>
  <c r="P40" i="5"/>
  <c r="K40" i="5"/>
  <c r="E40" i="5"/>
  <c r="S39" i="5"/>
  <c r="O39" i="5"/>
  <c r="I39" i="5"/>
  <c r="P156" i="5"/>
  <c r="S137" i="5"/>
  <c r="D9" i="5"/>
  <c r="R50" i="5"/>
  <c r="B19" i="5"/>
  <c r="M144" i="5"/>
  <c r="L8" i="5"/>
  <c r="C16" i="5"/>
  <c r="K191" i="5"/>
  <c r="I138" i="5"/>
  <c r="N7" i="5"/>
  <c r="K144" i="5"/>
  <c r="F139" i="5"/>
  <c r="E144" i="5"/>
  <c r="R138" i="5"/>
  <c r="U7" i="5"/>
  <c r="S17" i="5"/>
  <c r="J152" i="5"/>
  <c r="B158" i="5"/>
  <c r="O18" i="5"/>
  <c r="W7" i="5"/>
  <c r="F22" i="5"/>
  <c r="M16" i="5"/>
  <c r="N137" i="5"/>
  <c r="L10" i="5"/>
  <c r="I16" i="5"/>
  <c r="P21" i="5"/>
  <c r="S176" i="5"/>
  <c r="W69" i="5"/>
  <c r="F59" i="5"/>
  <c r="B12" i="5"/>
  <c r="E84" i="5"/>
  <c r="S37" i="5"/>
  <c r="A187" i="5"/>
  <c r="W32" i="5"/>
  <c r="P79" i="5"/>
  <c r="O124" i="5"/>
  <c r="S70" i="5"/>
  <c r="F176" i="5"/>
  <c r="E85" i="5"/>
  <c r="T53" i="5"/>
  <c r="G204" i="5"/>
  <c r="K181" i="5"/>
  <c r="V19" i="5"/>
  <c r="H12" i="5"/>
  <c r="Q88" i="5"/>
  <c r="W42" i="5"/>
  <c r="T155" i="5"/>
  <c r="D147" i="5"/>
  <c r="D99" i="5"/>
  <c r="V40" i="5"/>
  <c r="O144" i="5"/>
  <c r="M30" i="5"/>
  <c r="K5" i="5"/>
  <c r="E59" i="5"/>
  <c r="G53" i="5"/>
  <c r="E57" i="5"/>
  <c r="M110" i="5"/>
  <c r="C30" i="5"/>
  <c r="T173" i="5"/>
  <c r="U52" i="5"/>
  <c r="K73" i="5"/>
  <c r="W150" i="5"/>
  <c r="F202" i="5"/>
  <c r="Q63" i="5"/>
  <c r="J201" i="5"/>
  <c r="D81" i="5"/>
  <c r="L108" i="5"/>
  <c r="I22" i="5"/>
  <c r="N138" i="5"/>
  <c r="G37" i="5"/>
  <c r="J9" i="5"/>
  <c r="J41" i="5"/>
  <c r="V153" i="5"/>
  <c r="M106" i="5"/>
  <c r="L183" i="5"/>
  <c r="A33" i="5"/>
  <c r="A34" i="5"/>
  <c r="G137" i="5"/>
  <c r="A144" i="5"/>
  <c r="T10" i="5"/>
  <c r="W59" i="5"/>
  <c r="I171" i="5"/>
  <c r="E45" i="5"/>
  <c r="D175" i="5"/>
  <c r="P118" i="5"/>
  <c r="J203" i="5"/>
  <c r="O88" i="5"/>
  <c r="J185" i="5"/>
  <c r="T71" i="5"/>
  <c r="M60" i="5"/>
  <c r="T187" i="5"/>
  <c r="V139" i="5"/>
  <c r="H203" i="5"/>
  <c r="D14" i="5"/>
  <c r="V13" i="5"/>
  <c r="J137" i="5"/>
  <c r="F9" i="5"/>
  <c r="T18" i="5"/>
  <c r="U145" i="5"/>
  <c r="C58" i="5"/>
  <c r="R21" i="5"/>
  <c r="W136" i="5"/>
  <c r="Q6" i="5"/>
  <c r="N82" i="5"/>
  <c r="F34" i="5"/>
  <c r="V83" i="5"/>
  <c r="O45" i="5"/>
  <c r="B94" i="5"/>
  <c r="S92" i="5"/>
  <c r="H75" i="5"/>
  <c r="F41" i="5"/>
  <c r="A165" i="5"/>
  <c r="V158" i="5"/>
  <c r="A159" i="5"/>
  <c r="N83" i="5"/>
  <c r="N81" i="5"/>
  <c r="W6" i="5"/>
  <c r="U157" i="5"/>
  <c r="L123" i="5"/>
  <c r="M11" i="5"/>
  <c r="E125" i="5"/>
  <c r="C7" i="5"/>
  <c r="V136" i="5"/>
  <c r="H190" i="5"/>
  <c r="P193" i="5"/>
  <c r="F81" i="5"/>
  <c r="O171" i="5"/>
  <c r="U170" i="5"/>
  <c r="G6" i="5"/>
  <c r="Q29" i="5"/>
  <c r="H198" i="5"/>
  <c r="U59" i="5"/>
  <c r="D40" i="5"/>
  <c r="B123" i="5"/>
  <c r="D66" i="5"/>
  <c r="U111" i="5"/>
  <c r="S16" i="5"/>
  <c r="M114" i="5"/>
  <c r="A52" i="5"/>
  <c r="K127" i="5"/>
  <c r="T114" i="5"/>
  <c r="N104" i="5"/>
  <c r="M95" i="5"/>
  <c r="R91" i="5"/>
  <c r="Q74" i="5"/>
  <c r="B63" i="5"/>
  <c r="B21" i="5"/>
  <c r="E178" i="5"/>
  <c r="H78" i="5"/>
  <c r="T33" i="5"/>
  <c r="D32" i="5"/>
  <c r="M82" i="5"/>
  <c r="W124" i="5"/>
  <c r="W83" i="5"/>
  <c r="J63" i="5"/>
  <c r="S169" i="5"/>
  <c r="R94" i="5"/>
  <c r="C126" i="5"/>
  <c r="O175" i="5"/>
  <c r="P58" i="5"/>
  <c r="P31" i="5"/>
  <c r="S88" i="5"/>
  <c r="T142" i="5"/>
  <c r="F76" i="5"/>
  <c r="U82" i="5"/>
  <c r="B34" i="5"/>
  <c r="E168" i="5"/>
  <c r="B31" i="5"/>
  <c r="W30" i="5"/>
  <c r="K29" i="5"/>
  <c r="G29" i="5"/>
  <c r="A29" i="5"/>
  <c r="R28" i="5"/>
  <c r="M28" i="5"/>
  <c r="K165" i="5"/>
  <c r="Q164" i="5"/>
  <c r="I164" i="5"/>
  <c r="G164" i="5"/>
  <c r="E164" i="5"/>
  <c r="C164" i="5"/>
  <c r="A164" i="5"/>
  <c r="V163" i="5"/>
  <c r="T163" i="5"/>
  <c r="S163" i="5"/>
  <c r="Q163" i="5"/>
  <c r="O163" i="5"/>
  <c r="M163" i="5"/>
  <c r="G13" i="5"/>
  <c r="L137" i="5"/>
  <c r="A139" i="5"/>
  <c r="L138" i="5"/>
  <c r="A7" i="5"/>
  <c r="G139" i="5"/>
  <c r="V7" i="5"/>
  <c r="S144" i="5"/>
  <c r="M138" i="5"/>
  <c r="I11" i="5"/>
  <c r="T8" i="5"/>
  <c r="U152" i="5"/>
  <c r="U11" i="5"/>
  <c r="P165" i="5"/>
  <c r="M137" i="5"/>
  <c r="P144" i="5"/>
  <c r="O164" i="5"/>
  <c r="F138" i="5"/>
  <c r="T6" i="5"/>
  <c r="D48" i="5"/>
  <c r="M7" i="5"/>
  <c r="R191" i="5"/>
  <c r="T172" i="5"/>
  <c r="J69" i="5"/>
  <c r="C18" i="5"/>
  <c r="C77" i="5"/>
  <c r="P78" i="5"/>
  <c r="E33" i="5"/>
  <c r="V184" i="5"/>
  <c r="I90" i="5"/>
  <c r="S74" i="5"/>
  <c r="H70" i="5"/>
  <c r="J90" i="5"/>
  <c r="E82" i="5"/>
  <c r="H105" i="5"/>
  <c r="D203" i="5"/>
  <c r="R101" i="5"/>
  <c r="M45" i="5"/>
  <c r="T34" i="5"/>
  <c r="D83" i="5"/>
  <c r="N192" i="5"/>
  <c r="D6" i="5"/>
  <c r="F157" i="5"/>
  <c r="B40" i="5"/>
  <c r="V59" i="5"/>
  <c r="A17" i="5"/>
  <c r="P84" i="5"/>
  <c r="U149" i="5"/>
  <c r="B193" i="5"/>
  <c r="M190" i="5"/>
  <c r="B199" i="5"/>
  <c r="I147" i="5"/>
  <c r="M171" i="5"/>
  <c r="Q170" i="5"/>
  <c r="I137" i="5"/>
  <c r="B46" i="5"/>
  <c r="S98" i="5"/>
  <c r="U14" i="5"/>
  <c r="J39" i="5"/>
  <c r="G121" i="5"/>
  <c r="E65" i="5"/>
  <c r="S20" i="5"/>
  <c r="T101" i="5"/>
  <c r="G45" i="5"/>
  <c r="S125" i="5"/>
  <c r="M105" i="5"/>
  <c r="S102" i="5"/>
  <c r="N93" i="5"/>
  <c r="F80" i="5"/>
  <c r="J17" i="5"/>
  <c r="S175" i="5"/>
  <c r="H192" i="5"/>
  <c r="R95" i="5"/>
  <c r="P64" i="5"/>
  <c r="I152" i="5"/>
  <c r="C199" i="5"/>
  <c r="H179" i="5"/>
  <c r="O22" i="5"/>
  <c r="B202" i="5"/>
  <c r="L164" i="5"/>
  <c r="M191" i="5"/>
  <c r="J86" i="5"/>
  <c r="L39" i="5"/>
  <c r="H197" i="5"/>
  <c r="B171" i="5"/>
  <c r="F103" i="5"/>
  <c r="T83" i="5"/>
  <c r="F125" i="5"/>
  <c r="P71" i="5"/>
  <c r="B43" i="5"/>
  <c r="R6" i="5"/>
  <c r="D47" i="5"/>
  <c r="U88" i="5"/>
  <c r="F182" i="5"/>
  <c r="T50" i="5"/>
  <c r="L197" i="5"/>
  <c r="D106" i="5"/>
  <c r="J34" i="5"/>
  <c r="P49" i="5"/>
  <c r="K61" i="5"/>
  <c r="J29" i="5"/>
  <c r="H164" i="5"/>
  <c r="P163" i="5"/>
  <c r="L163" i="5"/>
  <c r="H15" i="5"/>
  <c r="D17" i="5"/>
  <c r="T7" i="5"/>
  <c r="W21" i="5"/>
  <c r="D160" i="5"/>
  <c r="R193" i="5"/>
  <c r="Q13" i="5"/>
  <c r="L59" i="5"/>
  <c r="B8" i="5"/>
  <c r="H137" i="5"/>
  <c r="H191" i="5"/>
  <c r="H68" i="5"/>
  <c r="O61" i="5"/>
  <c r="U142" i="5"/>
  <c r="V38" i="5"/>
  <c r="N187" i="5"/>
  <c r="L32" i="5"/>
  <c r="I59" i="5"/>
  <c r="R14" i="5"/>
  <c r="E107" i="5"/>
  <c r="A48" i="5"/>
  <c r="N91" i="5"/>
  <c r="T181" i="5"/>
  <c r="W132" i="5"/>
  <c r="S35" i="5"/>
  <c r="M104" i="5"/>
  <c r="M21" i="5"/>
  <c r="N160" i="5"/>
  <c r="G154" i="5"/>
  <c r="H55" i="5"/>
  <c r="K41" i="5"/>
  <c r="N157" i="5"/>
  <c r="A6" i="5"/>
  <c r="B5" i="5"/>
  <c r="K52" i="5"/>
  <c r="F48" i="5"/>
  <c r="O153" i="5"/>
  <c r="P196" i="5"/>
  <c r="B47" i="5"/>
  <c r="E171" i="5"/>
  <c r="D137" i="5"/>
  <c r="J147" i="5"/>
  <c r="H196" i="5"/>
  <c r="P199" i="5"/>
  <c r="V154" i="5"/>
  <c r="I41" i="5"/>
  <c r="Q39" i="5"/>
  <c r="S141" i="5"/>
  <c r="M65" i="5"/>
  <c r="F133" i="5"/>
  <c r="W126" i="5"/>
  <c r="B92" i="5"/>
  <c r="C127" i="5"/>
  <c r="L114" i="5"/>
  <c r="T103" i="5"/>
  <c r="E95" i="5"/>
  <c r="W175" i="5"/>
  <c r="H69" i="5"/>
  <c r="D88" i="5"/>
  <c r="K62" i="5"/>
  <c r="C108" i="5"/>
  <c r="K38" i="5"/>
  <c r="C187" i="5"/>
  <c r="W182" i="5"/>
  <c r="B86" i="5"/>
  <c r="G128" i="5"/>
  <c r="W108" i="5"/>
  <c r="J68" i="5"/>
  <c r="R43" i="5"/>
  <c r="F56" i="5"/>
  <c r="T122" i="5"/>
  <c r="K58" i="5"/>
  <c r="P33" i="5"/>
  <c r="F173" i="5"/>
  <c r="D69" i="5"/>
  <c r="D33" i="5"/>
  <c r="P172" i="5"/>
  <c r="M51" i="5"/>
  <c r="N53" i="5"/>
  <c r="C179" i="5"/>
  <c r="J62" i="5"/>
  <c r="U60" i="5"/>
  <c r="J81" i="5"/>
  <c r="C21" i="5"/>
  <c r="K202" i="5"/>
  <c r="P133" i="5"/>
  <c r="R200" i="5"/>
  <c r="T139" i="5"/>
  <c r="K135" i="5"/>
  <c r="K179" i="5"/>
  <c r="M180" i="5"/>
  <c r="D153" i="5"/>
  <c r="V191" i="5"/>
  <c r="V203" i="5"/>
  <c r="K39" i="5"/>
  <c r="E152" i="5"/>
  <c r="O98" i="5"/>
  <c r="A126" i="5"/>
  <c r="B186" i="5"/>
  <c r="E79" i="5"/>
  <c r="M81" i="5"/>
  <c r="R182" i="5"/>
  <c r="B11" i="5"/>
  <c r="E108" i="5"/>
  <c r="N119" i="5"/>
  <c r="I99" i="5"/>
  <c r="V5" i="5"/>
  <c r="K126" i="5"/>
  <c r="F57" i="5"/>
  <c r="T67" i="5"/>
  <c r="W140" i="5"/>
  <c r="U28" i="5"/>
  <c r="D164" i="5"/>
  <c r="N163" i="5"/>
  <c r="M14" i="5"/>
  <c r="E138" i="5"/>
  <c r="F8" i="5"/>
  <c r="P8" i="5"/>
  <c r="C144" i="5"/>
  <c r="C138" i="5"/>
  <c r="I134" i="5"/>
  <c r="H146" i="5"/>
  <c r="E146" i="5"/>
  <c r="E137" i="5"/>
  <c r="M165" i="5"/>
  <c r="B22" i="5"/>
  <c r="D165" i="5"/>
  <c r="J91" i="5"/>
  <c r="W44" i="5"/>
  <c r="V56" i="5"/>
  <c r="M107" i="5"/>
  <c r="S38" i="5"/>
  <c r="B37" i="5"/>
  <c r="I168" i="5"/>
  <c r="F168" i="5"/>
  <c r="F31" i="5"/>
  <c r="C31" i="5"/>
  <c r="V30" i="5"/>
  <c r="S30" i="5"/>
  <c r="Q30" i="5"/>
  <c r="H29" i="5"/>
  <c r="E29" i="5"/>
  <c r="B14" i="5"/>
  <c r="D15" i="5"/>
  <c r="J138" i="5"/>
  <c r="U6" i="5"/>
  <c r="L192" i="5"/>
  <c r="P138" i="5"/>
  <c r="C9" i="5"/>
  <c r="C137" i="5"/>
  <c r="K54" i="5"/>
  <c r="D138" i="5"/>
  <c r="Q47" i="5"/>
  <c r="R198" i="5"/>
  <c r="R139" i="5"/>
  <c r="U164" i="5"/>
  <c r="V138" i="5"/>
  <c r="H144" i="5"/>
  <c r="D21" i="5"/>
  <c r="K8" i="5"/>
  <c r="K55" i="5"/>
  <c r="C8" i="5"/>
  <c r="B143" i="5"/>
  <c r="W80" i="5"/>
  <c r="G63" i="5"/>
  <c r="L50" i="5"/>
  <c r="A61" i="5"/>
  <c r="I60" i="5"/>
  <c r="A188" i="5"/>
  <c r="H184" i="5"/>
  <c r="H109" i="5"/>
  <c r="T168" i="5"/>
  <c r="T117" i="5"/>
  <c r="K141" i="5"/>
  <c r="E56" i="5"/>
  <c r="H103" i="5"/>
  <c r="R202" i="5"/>
  <c r="R104" i="5"/>
  <c r="D121" i="5"/>
  <c r="E35" i="5"/>
  <c r="P102" i="5"/>
  <c r="G39" i="5"/>
  <c r="K196" i="5"/>
  <c r="G155" i="5"/>
  <c r="B30" i="5"/>
  <c r="I55" i="5"/>
  <c r="P39" i="5"/>
  <c r="Q153" i="5"/>
  <c r="E30" i="5"/>
  <c r="H5" i="5"/>
  <c r="E55" i="5"/>
  <c r="B50" i="5"/>
  <c r="G159" i="5"/>
  <c r="Q40" i="5"/>
  <c r="E13" i="5"/>
  <c r="B20" i="5"/>
  <c r="L110" i="5"/>
  <c r="S151" i="5"/>
  <c r="H193" i="5"/>
  <c r="G171" i="5"/>
  <c r="K170" i="5"/>
  <c r="D22" i="5"/>
  <c r="R49" i="5"/>
  <c r="J159" i="5"/>
  <c r="K45" i="5"/>
  <c r="H40" i="5"/>
  <c r="D129" i="5"/>
  <c r="M66" i="5"/>
  <c r="A65" i="5"/>
  <c r="K48" i="5"/>
  <c r="S128" i="5"/>
  <c r="K94" i="5"/>
  <c r="B128" i="5"/>
  <c r="K9" i="5"/>
  <c r="G104" i="5"/>
  <c r="T94" i="5"/>
  <c r="D143" i="5"/>
  <c r="Q68" i="5"/>
  <c r="W78" i="5"/>
  <c r="V61" i="5"/>
  <c r="I141" i="5"/>
  <c r="W38" i="5"/>
  <c r="C188" i="5"/>
  <c r="A185" i="5"/>
  <c r="W109" i="5"/>
  <c r="E169" i="5"/>
  <c r="G176" i="5"/>
  <c r="S50" i="5"/>
  <c r="J107" i="5"/>
  <c r="W174" i="5"/>
  <c r="T93" i="5"/>
  <c r="D173" i="5"/>
  <c r="H108" i="5"/>
  <c r="J60" i="5"/>
  <c r="H31" i="5"/>
  <c r="L58" i="5"/>
  <c r="H129" i="5"/>
  <c r="S183" i="5"/>
  <c r="W141" i="5"/>
  <c r="M68" i="5"/>
  <c r="A72" i="5"/>
  <c r="E71" i="5"/>
  <c r="I89" i="5"/>
  <c r="L90" i="5"/>
  <c r="G52" i="5"/>
  <c r="B38" i="5"/>
  <c r="O200" i="5"/>
  <c r="T185" i="5"/>
  <c r="B184" i="5"/>
  <c r="E32" i="5"/>
  <c r="A108" i="5"/>
  <c r="T89" i="5"/>
  <c r="E87" i="5"/>
  <c r="I84" i="5"/>
  <c r="B80" i="5"/>
  <c r="V76" i="5"/>
  <c r="B55" i="5"/>
  <c r="V48" i="5"/>
  <c r="R190" i="5"/>
  <c r="V190" i="5"/>
  <c r="D194" i="5"/>
  <c r="V167" i="5"/>
  <c r="J77" i="5"/>
  <c r="O52" i="5"/>
  <c r="U63" i="5"/>
  <c r="O82" i="5"/>
  <c r="J166" i="5"/>
  <c r="S165" i="5"/>
  <c r="G28" i="5"/>
  <c r="W143" i="5"/>
  <c r="R67" i="5"/>
  <c r="P94" i="5"/>
  <c r="F5" i="5"/>
  <c r="E148" i="5"/>
  <c r="S123" i="5"/>
  <c r="G55" i="5"/>
  <c r="W68" i="5"/>
  <c r="V140" i="5"/>
  <c r="O32" i="5"/>
  <c r="W137" i="5"/>
  <c r="A22" i="5"/>
  <c r="Q62" i="5"/>
  <c r="D44" i="5"/>
  <c r="V39" i="5"/>
  <c r="O170" i="5"/>
  <c r="B106" i="5"/>
  <c r="H60" i="5"/>
  <c r="T119" i="5"/>
  <c r="L187" i="5"/>
  <c r="T30" i="5"/>
  <c r="K164" i="5"/>
  <c r="R163" i="5"/>
  <c r="G18" i="5"/>
  <c r="J7" i="5"/>
  <c r="R8" i="5"/>
  <c r="U68" i="5"/>
  <c r="Q33" i="5"/>
  <c r="H49" i="5"/>
  <c r="N122" i="5"/>
  <c r="C158" i="5"/>
  <c r="S40" i="5"/>
  <c r="J78" i="5"/>
  <c r="G46" i="5"/>
  <c r="F190" i="5"/>
  <c r="W146" i="5"/>
  <c r="B132" i="5"/>
  <c r="P164" i="5"/>
  <c r="L85" i="5"/>
  <c r="G33" i="5"/>
  <c r="G179" i="5"/>
  <c r="I184" i="5"/>
  <c r="I72" i="5"/>
  <c r="O38" i="5"/>
  <c r="L13" i="5"/>
  <c r="Q126" i="5"/>
  <c r="L14" i="5"/>
  <c r="E6" i="5"/>
  <c r="J56" i="5"/>
  <c r="P137" i="5"/>
  <c r="D7" i="5"/>
  <c r="L20" i="5"/>
  <c r="J6" i="5"/>
  <c r="I139" i="5"/>
  <c r="R12" i="5"/>
  <c r="A44" i="5"/>
  <c r="P11" i="5"/>
  <c r="H139" i="5"/>
  <c r="S6" i="5"/>
  <c r="H9" i="5"/>
  <c r="U138" i="5"/>
  <c r="P7" i="5"/>
  <c r="T144" i="5"/>
  <c r="M8" i="5"/>
  <c r="A8" i="5"/>
  <c r="R141" i="5"/>
  <c r="T183" i="5"/>
  <c r="L87" i="5"/>
  <c r="I169" i="5"/>
  <c r="C119" i="5"/>
  <c r="F19" i="5"/>
  <c r="U139" i="5"/>
  <c r="N114" i="5"/>
  <c r="M203" i="5"/>
  <c r="J126" i="5"/>
  <c r="C123" i="5"/>
  <c r="C36" i="5"/>
  <c r="O126" i="5"/>
  <c r="S8" i="5"/>
  <c r="T159" i="5"/>
  <c r="S86" i="5"/>
  <c r="V157" i="5"/>
  <c r="E43" i="5"/>
  <c r="O6" i="5"/>
  <c r="A57" i="5"/>
  <c r="Q149" i="5"/>
  <c r="P154" i="5"/>
  <c r="O30" i="5"/>
  <c r="P190" i="5"/>
  <c r="C190" i="5"/>
  <c r="S158" i="5"/>
  <c r="E22" i="5"/>
  <c r="A171" i="5"/>
  <c r="Q7" i="5"/>
  <c r="F30" i="5"/>
  <c r="I98" i="5"/>
  <c r="S155" i="5"/>
  <c r="U41" i="5"/>
  <c r="U39" i="5"/>
  <c r="S121" i="5"/>
  <c r="S65" i="5"/>
  <c r="L111" i="5"/>
  <c r="B126" i="5"/>
  <c r="F93" i="5"/>
  <c r="K128" i="5"/>
  <c r="L125" i="5"/>
  <c r="F105" i="5"/>
  <c r="K102" i="5"/>
  <c r="T109" i="5"/>
  <c r="T69" i="5"/>
  <c r="A13" i="5"/>
  <c r="M76" i="5"/>
  <c r="I88" i="5"/>
  <c r="I37" i="5"/>
  <c r="N186" i="5"/>
  <c r="K184" i="5"/>
  <c r="R107" i="5"/>
  <c r="O169" i="5"/>
  <c r="J179" i="5"/>
  <c r="Q57" i="5"/>
  <c r="T62" i="5"/>
  <c r="V172" i="5"/>
  <c r="D107" i="5"/>
  <c r="V36" i="5"/>
  <c r="T57" i="5"/>
  <c r="A39" i="5"/>
  <c r="W142" i="5"/>
  <c r="O20" i="5"/>
  <c r="B187" i="5"/>
  <c r="N173" i="5"/>
  <c r="B83" i="5"/>
  <c r="E72" i="5"/>
  <c r="I71" i="5"/>
  <c r="N14" i="5"/>
  <c r="E173" i="5"/>
  <c r="S93" i="5"/>
  <c r="L34" i="5"/>
  <c r="I187" i="5"/>
  <c r="J184" i="5"/>
  <c r="U32" i="5"/>
  <c r="L107" i="5"/>
  <c r="S79" i="5"/>
  <c r="D125" i="5"/>
  <c r="B204" i="5"/>
  <c r="W92" i="5"/>
  <c r="N132" i="5"/>
  <c r="W73" i="5"/>
  <c r="C128" i="5"/>
  <c r="L104" i="5"/>
  <c r="M38" i="5"/>
  <c r="W66" i="5"/>
  <c r="I174" i="5"/>
  <c r="Q187" i="5"/>
  <c r="R70" i="5"/>
  <c r="U92" i="5"/>
  <c r="J124" i="5"/>
  <c r="K69" i="5"/>
  <c r="M42" i="5"/>
  <c r="O109" i="5"/>
  <c r="K77" i="5"/>
  <c r="N184" i="5"/>
  <c r="R118" i="5"/>
  <c r="C80" i="5"/>
  <c r="J19" i="5"/>
  <c r="V46" i="5"/>
  <c r="C65" i="5"/>
  <c r="E67" i="5"/>
  <c r="W67" i="5"/>
  <c r="H81" i="5"/>
  <c r="B15" i="5"/>
  <c r="E83" i="5"/>
  <c r="R203" i="5"/>
  <c r="R178" i="5"/>
  <c r="N174" i="5"/>
  <c r="V73" i="5"/>
  <c r="F65" i="5"/>
  <c r="F112" i="5"/>
  <c r="W125" i="5"/>
  <c r="A67" i="5"/>
  <c r="K63" i="5"/>
  <c r="J89" i="5"/>
  <c r="T128" i="5"/>
  <c r="A46" i="5"/>
  <c r="F89" i="5"/>
  <c r="N124" i="5"/>
  <c r="Q14" i="5"/>
  <c r="C94" i="5"/>
  <c r="D67" i="5"/>
  <c r="R174" i="5"/>
  <c r="N52" i="5"/>
  <c r="B109" i="5"/>
  <c r="M141" i="5"/>
  <c r="O172" i="5"/>
  <c r="C60" i="5"/>
  <c r="F188" i="5"/>
  <c r="A184" i="5"/>
  <c r="R168" i="5"/>
  <c r="H118" i="5"/>
  <c r="T49" i="5"/>
  <c r="S108" i="5"/>
  <c r="R155" i="5"/>
  <c r="P201" i="5"/>
  <c r="N87" i="5"/>
  <c r="H176" i="5"/>
  <c r="U201" i="5"/>
  <c r="P54" i="5"/>
  <c r="N133" i="5"/>
  <c r="U23" i="5"/>
  <c r="H23" i="5"/>
  <c r="N9" i="5"/>
  <c r="M19" i="5"/>
  <c r="L35" i="5"/>
  <c r="L54" i="5"/>
  <c r="L40" i="5"/>
  <c r="V54" i="5"/>
  <c r="U37" i="5"/>
  <c r="E62" i="5"/>
  <c r="T61" i="5"/>
  <c r="P103" i="5"/>
  <c r="T20" i="5"/>
  <c r="K10" i="5"/>
  <c r="A32" i="5"/>
  <c r="L30" i="5"/>
  <c r="R40" i="5"/>
  <c r="U101" i="5"/>
  <c r="Q31" i="5"/>
  <c r="F35" i="5"/>
  <c r="H168" i="5"/>
  <c r="T165" i="5"/>
  <c r="W163" i="5"/>
  <c r="J13" i="5"/>
  <c r="S21" i="5"/>
  <c r="B9" i="5"/>
  <c r="G175" i="5"/>
  <c r="L185" i="5"/>
  <c r="P18" i="5"/>
  <c r="F114" i="5"/>
  <c r="B149" i="5"/>
  <c r="O57" i="5"/>
  <c r="T197" i="5"/>
  <c r="U198" i="5"/>
  <c r="W159" i="5"/>
  <c r="K14" i="5"/>
  <c r="D103" i="5"/>
  <c r="W60" i="5"/>
  <c r="D77" i="5"/>
  <c r="Q67" i="5"/>
  <c r="I31" i="5"/>
  <c r="P59" i="5"/>
  <c r="N183" i="5"/>
  <c r="F181" i="5"/>
  <c r="I79" i="5"/>
  <c r="F32" i="5"/>
  <c r="H182" i="5"/>
  <c r="K177" i="5"/>
  <c r="E175" i="5"/>
  <c r="F52" i="5"/>
  <c r="W120" i="5"/>
  <c r="O111" i="5"/>
  <c r="J59" i="5"/>
  <c r="V66" i="5"/>
  <c r="E69" i="5"/>
  <c r="J33" i="5"/>
  <c r="P19" i="5"/>
  <c r="B105" i="5"/>
  <c r="B181" i="5"/>
  <c r="V176" i="5"/>
  <c r="B173" i="5"/>
  <c r="U120" i="5"/>
  <c r="M127" i="5"/>
  <c r="T92" i="5"/>
  <c r="F161" i="5"/>
  <c r="D85" i="5"/>
  <c r="A16" i="5"/>
  <c r="P186" i="5"/>
  <c r="D119" i="5"/>
  <c r="L82" i="5"/>
  <c r="J121" i="5"/>
  <c r="W45" i="5"/>
  <c r="A21" i="5"/>
  <c r="H67" i="5"/>
  <c r="R66" i="5"/>
  <c r="J45" i="5"/>
  <c r="Q38" i="5"/>
  <c r="K183" i="5"/>
  <c r="I18" i="5"/>
  <c r="A178" i="5"/>
  <c r="H174" i="5"/>
  <c r="J132" i="5"/>
  <c r="T141" i="5"/>
  <c r="G123" i="5"/>
  <c r="O85" i="5"/>
  <c r="W204" i="5"/>
  <c r="J114" i="5"/>
  <c r="P177" i="5"/>
  <c r="M173" i="5"/>
  <c r="F136" i="5"/>
  <c r="B121" i="5"/>
  <c r="L124" i="5"/>
  <c r="A102" i="5"/>
  <c r="F10" i="5"/>
  <c r="B66" i="5"/>
  <c r="B93" i="5"/>
  <c r="P80" i="5"/>
  <c r="B65" i="5"/>
  <c r="R88" i="5"/>
  <c r="I86" i="5"/>
  <c r="B67" i="5"/>
  <c r="N178" i="5"/>
  <c r="R69" i="5"/>
  <c r="L84" i="5"/>
  <c r="F62" i="5"/>
  <c r="D109" i="5"/>
  <c r="W33" i="5"/>
  <c r="C185" i="5"/>
  <c r="D105" i="5"/>
  <c r="B71" i="5"/>
  <c r="B179" i="5"/>
  <c r="F88" i="5"/>
  <c r="P47" i="5"/>
  <c r="S101" i="5"/>
  <c r="P182" i="5"/>
  <c r="R179" i="5"/>
  <c r="E177" i="5"/>
  <c r="H175" i="5"/>
  <c r="G173" i="5"/>
  <c r="T37" i="5"/>
  <c r="A121" i="5"/>
  <c r="K124" i="5"/>
  <c r="I57" i="5"/>
  <c r="M91" i="5"/>
  <c r="U104" i="5"/>
  <c r="B87" i="5"/>
  <c r="K65" i="5"/>
  <c r="U107" i="5"/>
  <c r="E98" i="5"/>
  <c r="A75" i="5"/>
  <c r="U70" i="5"/>
  <c r="F67" i="5"/>
  <c r="U66" i="5"/>
  <c r="P142" i="5"/>
  <c r="O68" i="5"/>
  <c r="H52" i="5"/>
  <c r="D61" i="5"/>
  <c r="H85" i="5"/>
  <c r="D38" i="5"/>
  <c r="D186" i="5"/>
  <c r="V182" i="5"/>
  <c r="Q125" i="5"/>
  <c r="N117" i="5"/>
  <c r="J12" i="5"/>
  <c r="F91" i="5"/>
  <c r="N54" i="5"/>
  <c r="W127" i="5"/>
  <c r="D204" i="5"/>
  <c r="O127" i="5"/>
  <c r="M178" i="5"/>
  <c r="K176" i="5"/>
  <c r="B174" i="5"/>
  <c r="A151" i="5"/>
  <c r="J38" i="5"/>
  <c r="H34" i="5"/>
  <c r="M124" i="5"/>
  <c r="J122" i="5"/>
  <c r="O114" i="5"/>
  <c r="T85" i="5"/>
  <c r="M9" i="5"/>
  <c r="W61" i="5"/>
  <c r="W93" i="5"/>
  <c r="M92" i="5"/>
  <c r="V144" i="5"/>
  <c r="C67" i="5"/>
  <c r="S66" i="5"/>
  <c r="U58" i="5"/>
  <c r="U62" i="5"/>
  <c r="V177" i="5"/>
  <c r="A58" i="5"/>
  <c r="N34" i="5"/>
  <c r="O185" i="5"/>
  <c r="U169" i="5"/>
  <c r="R119" i="5"/>
  <c r="K70" i="5"/>
  <c r="V109" i="5"/>
  <c r="I12" i="5"/>
  <c r="N204" i="5"/>
  <c r="U181" i="5"/>
  <c r="H178" i="5"/>
  <c r="T175" i="5"/>
  <c r="S173" i="5"/>
  <c r="B157" i="5"/>
  <c r="F37" i="5"/>
  <c r="V120" i="5"/>
  <c r="N106" i="5"/>
  <c r="E66" i="5"/>
  <c r="B102" i="5"/>
  <c r="U69" i="5"/>
  <c r="V201" i="5"/>
  <c r="C166" i="5"/>
  <c r="L45" i="5"/>
  <c r="O147" i="5"/>
  <c r="S174" i="5"/>
  <c r="I73" i="5"/>
  <c r="O107" i="5"/>
  <c r="L180" i="5"/>
  <c r="P191" i="5"/>
  <c r="E8" i="5"/>
  <c r="L144" i="5"/>
  <c r="T121" i="5"/>
  <c r="R29" i="5"/>
  <c r="D190" i="5"/>
  <c r="C41" i="5"/>
  <c r="L103" i="5"/>
  <c r="Q168" i="5"/>
  <c r="M32" i="5"/>
  <c r="T184" i="5"/>
  <c r="G8" i="5"/>
  <c r="I8" i="5"/>
  <c r="L177" i="5"/>
  <c r="S78" i="5"/>
  <c r="R59" i="5"/>
  <c r="Q41" i="5"/>
  <c r="I165" i="5"/>
  <c r="O187" i="5"/>
  <c r="K89" i="5"/>
  <c r="O15" i="5"/>
  <c r="D29" i="5"/>
  <c r="F164" i="5"/>
  <c r="A137" i="5"/>
  <c r="M58" i="5"/>
  <c r="W8" i="5"/>
  <c r="W139" i="5"/>
  <c r="J58" i="5"/>
  <c r="Q118" i="5"/>
  <c r="C168" i="5"/>
  <c r="F39" i="5"/>
  <c r="P5" i="5"/>
  <c r="N149" i="5"/>
  <c r="H160" i="5"/>
  <c r="H6" i="5"/>
  <c r="M40" i="5"/>
  <c r="O104" i="5"/>
  <c r="D94" i="5"/>
  <c r="E58" i="5"/>
  <c r="E78" i="5"/>
  <c r="J84" i="5"/>
  <c r="O141" i="5"/>
  <c r="N38" i="5"/>
  <c r="R31" i="5"/>
  <c r="O21" i="5"/>
  <c r="F53" i="5"/>
  <c r="V175" i="5"/>
  <c r="Q173" i="5"/>
  <c r="P66" i="5"/>
  <c r="A127" i="5"/>
  <c r="J79" i="5"/>
  <c r="P89" i="5"/>
  <c r="J55" i="5"/>
  <c r="B95" i="5"/>
  <c r="T182" i="5"/>
  <c r="G94" i="5"/>
  <c r="U47" i="5"/>
  <c r="L36" i="5"/>
  <c r="C100" i="5"/>
  <c r="O93" i="5"/>
  <c r="M121" i="5"/>
  <c r="C66" i="5"/>
  <c r="D65" i="5"/>
  <c r="P111" i="5"/>
  <c r="R47" i="5"/>
  <c r="F13" i="5"/>
  <c r="I106" i="5"/>
  <c r="M93" i="5"/>
  <c r="N162" i="5"/>
  <c r="J162" i="5"/>
  <c r="E162" i="5"/>
  <c r="V161" i="5"/>
  <c r="F118" i="5"/>
  <c r="L102" i="5"/>
  <c r="W121" i="5"/>
  <c r="W104" i="5"/>
  <c r="R102" i="5"/>
  <c r="A86" i="5"/>
  <c r="A128" i="5"/>
  <c r="M43" i="5"/>
  <c r="P128" i="5"/>
  <c r="L81" i="5"/>
  <c r="H83" i="5"/>
  <c r="C61" i="5"/>
  <c r="A93" i="5"/>
  <c r="U83" i="5"/>
  <c r="R57" i="5"/>
  <c r="L51" i="5"/>
  <c r="U103" i="5"/>
  <c r="A66" i="5"/>
  <c r="U127" i="5"/>
  <c r="G62" i="5"/>
  <c r="T120" i="5"/>
  <c r="I36" i="5"/>
  <c r="R111" i="5"/>
  <c r="U128" i="5"/>
  <c r="B18" i="5"/>
  <c r="B107" i="5"/>
  <c r="F63" i="5"/>
  <c r="B188" i="5"/>
  <c r="Q107" i="5"/>
  <c r="I45" i="5"/>
  <c r="E204" i="5"/>
  <c r="B168" i="5"/>
  <c r="K122" i="5"/>
  <c r="G35" i="5"/>
  <c r="C107" i="5"/>
  <c r="U131" i="5"/>
  <c r="Q122" i="5"/>
  <c r="N66" i="5"/>
  <c r="O65" i="5"/>
  <c r="B35" i="5"/>
  <c r="B122" i="5"/>
  <c r="S164" i="5"/>
  <c r="O11" i="5"/>
  <c r="O60" i="5"/>
  <c r="K119" i="5"/>
  <c r="U50" i="5"/>
  <c r="T102" i="5"/>
  <c r="L173" i="5"/>
  <c r="W49" i="5"/>
  <c r="G67" i="5"/>
  <c r="K18" i="5"/>
  <c r="V75" i="5"/>
  <c r="D169" i="5"/>
  <c r="P75" i="5"/>
  <c r="I203" i="5"/>
  <c r="W178" i="5"/>
  <c r="T174" i="5"/>
  <c r="A74" i="5"/>
  <c r="S131" i="5"/>
  <c r="M67" i="5"/>
  <c r="W37" i="5"/>
  <c r="T66" i="5"/>
  <c r="W75" i="5"/>
  <c r="N37" i="5"/>
  <c r="L169" i="5"/>
  <c r="K11" i="5"/>
  <c r="L181" i="5"/>
  <c r="Q176" i="5"/>
  <c r="Q77" i="5"/>
  <c r="R120" i="5"/>
  <c r="W50" i="5"/>
  <c r="G95" i="5"/>
  <c r="Q86" i="5"/>
  <c r="Q79" i="5"/>
  <c r="P61" i="5"/>
  <c r="D187" i="5"/>
  <c r="V117" i="5"/>
  <c r="N88" i="5"/>
  <c r="C176" i="5"/>
  <c r="S150" i="5"/>
  <c r="W103" i="5"/>
  <c r="I176" i="5"/>
  <c r="O123" i="5"/>
  <c r="Q43" i="5"/>
  <c r="U202" i="5"/>
  <c r="N175" i="5"/>
  <c r="D112" i="5"/>
  <c r="H111" i="5"/>
  <c r="L21" i="5"/>
  <c r="I127" i="5"/>
  <c r="N103" i="5"/>
  <c r="P162" i="5"/>
  <c r="L162" i="5"/>
  <c r="H162" i="5"/>
  <c r="B162" i="5"/>
  <c r="I185" i="5"/>
  <c r="O81" i="5"/>
  <c r="G105" i="5"/>
  <c r="T111" i="5"/>
  <c r="P126" i="5"/>
  <c r="V94" i="5"/>
  <c r="V202" i="5"/>
  <c r="K123" i="5"/>
  <c r="M35" i="5"/>
  <c r="M179" i="5"/>
  <c r="F68" i="5"/>
  <c r="R177" i="5"/>
  <c r="N94" i="5"/>
  <c r="O91" i="5"/>
  <c r="F77" i="5"/>
  <c r="G54" i="5"/>
  <c r="R72" i="5"/>
  <c r="L127" i="5"/>
  <c r="M102" i="5"/>
  <c r="U90" i="5"/>
  <c r="O134" i="5"/>
  <c r="O173" i="5"/>
  <c r="V33" i="5"/>
  <c r="P184" i="5"/>
  <c r="O168" i="5"/>
  <c r="F142" i="5"/>
  <c r="S105" i="5"/>
  <c r="Q73" i="5"/>
  <c r="F23" i="5"/>
  <c r="O133" i="5"/>
  <c r="K23" i="5"/>
  <c r="L179" i="5"/>
  <c r="A18" i="5"/>
  <c r="I110" i="5"/>
  <c r="R192" i="5"/>
  <c r="H166" i="5"/>
  <c r="Q137" i="5"/>
  <c r="G138" i="5"/>
  <c r="B90" i="5"/>
  <c r="N198" i="5"/>
  <c r="S5" i="5"/>
  <c r="U5" i="5"/>
  <c r="M39" i="5"/>
  <c r="L94" i="5"/>
  <c r="M89" i="5"/>
  <c r="E142" i="5"/>
  <c r="S186" i="5"/>
  <c r="F55" i="5"/>
  <c r="H87" i="5"/>
  <c r="J192" i="5"/>
  <c r="O53" i="5"/>
  <c r="J48" i="5"/>
  <c r="J15" i="5"/>
  <c r="H112" i="5"/>
  <c r="C143" i="5"/>
  <c r="S55" i="5"/>
  <c r="Q141" i="5"/>
  <c r="E31" i="5"/>
  <c r="B165" i="5"/>
  <c r="U163" i="5"/>
  <c r="P139" i="5"/>
  <c r="H8" i="5"/>
  <c r="N139" i="5"/>
  <c r="K6" i="5"/>
  <c r="U173" i="5"/>
  <c r="M31" i="5"/>
  <c r="V85" i="5"/>
  <c r="J36" i="5"/>
  <c r="G12" i="5"/>
  <c r="J98" i="5"/>
  <c r="A155" i="5"/>
  <c r="J194" i="5"/>
  <c r="C56" i="5"/>
  <c r="I66" i="5"/>
  <c r="S126" i="5"/>
  <c r="N67" i="5"/>
  <c r="P32" i="5"/>
  <c r="W34" i="5"/>
  <c r="G141" i="5"/>
  <c r="L71" i="5"/>
  <c r="L33" i="5"/>
  <c r="R204" i="5"/>
  <c r="S120" i="5"/>
  <c r="F90" i="5"/>
  <c r="V31" i="5"/>
  <c r="R84" i="5"/>
  <c r="K95" i="5"/>
  <c r="J181" i="5"/>
  <c r="A43" i="5"/>
  <c r="B127" i="5"/>
  <c r="J65" i="5"/>
  <c r="V126" i="5"/>
  <c r="R165" i="5"/>
  <c r="T177" i="5"/>
  <c r="V133" i="5"/>
  <c r="V152" i="5"/>
  <c r="W176" i="5"/>
  <c r="A174" i="5"/>
  <c r="M34" i="5"/>
  <c r="D184" i="5"/>
  <c r="G88" i="5"/>
  <c r="J169" i="5"/>
  <c r="C118" i="5"/>
  <c r="C178" i="5"/>
  <c r="R83" i="5"/>
  <c r="N102" i="5"/>
  <c r="S202" i="5"/>
  <c r="R60" i="5"/>
  <c r="K187" i="5"/>
  <c r="F183" i="5"/>
  <c r="M169" i="5"/>
  <c r="M70" i="5"/>
  <c r="V86" i="5"/>
  <c r="T15" i="5"/>
  <c r="F204" i="5"/>
  <c r="D181" i="5"/>
  <c r="M123" i="5"/>
  <c r="J14" i="5"/>
  <c r="G93" i="5"/>
  <c r="W36" i="5"/>
  <c r="W15" i="5"/>
  <c r="K104" i="5"/>
  <c r="J51" i="5"/>
  <c r="U56" i="5"/>
  <c r="E134" i="5"/>
  <c r="P153" i="5"/>
  <c r="B62" i="5"/>
  <c r="L86" i="5"/>
  <c r="M37" i="5"/>
  <c r="Q185" i="5"/>
  <c r="M140" i="5"/>
  <c r="U119" i="5"/>
  <c r="E70" i="5"/>
  <c r="Q109" i="5"/>
  <c r="G17" i="5"/>
  <c r="A204" i="5"/>
  <c r="B91" i="5"/>
  <c r="D37" i="5"/>
  <c r="S185" i="5"/>
  <c r="L31" i="5"/>
  <c r="A170" i="5"/>
  <c r="V118" i="5"/>
  <c r="S44" i="5"/>
  <c r="G108" i="5"/>
  <c r="S47" i="5"/>
  <c r="P104" i="5"/>
  <c r="C203" i="5"/>
  <c r="D132" i="5"/>
  <c r="O36" i="5"/>
  <c r="A100" i="5"/>
  <c r="U132" i="5"/>
  <c r="H106" i="5"/>
  <c r="W128" i="5"/>
  <c r="F44" i="5"/>
  <c r="G150" i="5"/>
  <c r="N148" i="5"/>
  <c r="R85" i="5"/>
  <c r="V55" i="5"/>
  <c r="P98" i="5"/>
  <c r="P160" i="5"/>
  <c r="H156" i="5"/>
  <c r="G152" i="5"/>
  <c r="M54" i="5"/>
  <c r="D30" i="5"/>
  <c r="M148" i="5"/>
  <c r="B147" i="5"/>
  <c r="S9" i="5"/>
  <c r="U40" i="5"/>
  <c r="U29" i="5"/>
  <c r="C6" i="5"/>
  <c r="E52" i="5"/>
  <c r="W98" i="5"/>
  <c r="K98" i="5"/>
  <c r="D199" i="5"/>
  <c r="A197" i="5"/>
  <c r="S159" i="5"/>
  <c r="S156" i="5"/>
  <c r="N154" i="5"/>
  <c r="S59" i="5"/>
  <c r="E47" i="5"/>
  <c r="A20" i="5"/>
  <c r="S41" i="5"/>
  <c r="G41" i="5"/>
  <c r="T40" i="5"/>
  <c r="I40" i="5"/>
  <c r="C40" i="5"/>
  <c r="T39" i="5"/>
  <c r="N39" i="5"/>
  <c r="M133" i="5"/>
  <c r="J150" i="5"/>
  <c r="V148" i="5"/>
  <c r="F148" i="5"/>
  <c r="P151" i="5"/>
  <c r="R150" i="5"/>
  <c r="K149" i="5"/>
  <c r="H110" i="5"/>
  <c r="Q78" i="5"/>
  <c r="C99" i="5"/>
  <c r="L199" i="5"/>
  <c r="J157" i="5"/>
  <c r="J110" i="5"/>
  <c r="P41" i="5"/>
  <c r="C150" i="5"/>
  <c r="P147" i="5"/>
  <c r="S146" i="5"/>
  <c r="P57" i="5"/>
  <c r="J30" i="5"/>
  <c r="W198" i="5"/>
  <c r="N5" i="5"/>
  <c r="F99" i="5"/>
  <c r="Q98" i="5"/>
  <c r="G98" i="5"/>
  <c r="B198" i="5"/>
  <c r="O196" i="5"/>
  <c r="N158" i="5"/>
  <c r="M155" i="5"/>
  <c r="N153" i="5"/>
  <c r="U55" i="5"/>
  <c r="N10" i="5"/>
  <c r="M41" i="5"/>
  <c r="A41" i="5"/>
  <c r="O40" i="5"/>
  <c r="F40" i="5"/>
  <c r="W39" i="5"/>
  <c r="R39" i="5"/>
  <c r="S134" i="5"/>
  <c r="H158" i="5"/>
  <c r="P149" i="5"/>
  <c r="G70" i="5"/>
  <c r="F108" i="5"/>
  <c r="F11" i="5"/>
  <c r="V149" i="5"/>
  <c r="T148" i="5"/>
  <c r="F162" i="5"/>
  <c r="Q177" i="5"/>
  <c r="T153" i="5"/>
  <c r="U73" i="5"/>
  <c r="N11" i="5"/>
  <c r="L7" i="5"/>
  <c r="V49" i="5"/>
  <c r="D62" i="5"/>
  <c r="K156" i="5"/>
  <c r="G49" i="5"/>
  <c r="I7" i="5"/>
  <c r="I65" i="5"/>
  <c r="E68" i="5"/>
  <c r="Q18" i="5"/>
  <c r="N107" i="5"/>
  <c r="T21" i="5"/>
  <c r="W138" i="5"/>
  <c r="T137" i="5"/>
  <c r="I38" i="5"/>
  <c r="Q36" i="5"/>
  <c r="C155" i="5"/>
  <c r="J57" i="5"/>
  <c r="F179" i="5"/>
  <c r="M185" i="5"/>
  <c r="Q66" i="5"/>
  <c r="E38" i="5"/>
  <c r="O28" i="5"/>
  <c r="B164" i="5"/>
  <c r="U21" i="5"/>
  <c r="C22" i="5"/>
  <c r="E7" i="5"/>
  <c r="O137" i="5"/>
  <c r="M57" i="5"/>
  <c r="T169" i="5"/>
  <c r="P204" i="5"/>
  <c r="V98" i="5"/>
  <c r="M200" i="5"/>
  <c r="P51" i="5"/>
  <c r="E50" i="5"/>
  <c r="K171" i="5"/>
  <c r="G42" i="5"/>
  <c r="C112" i="5"/>
  <c r="T106" i="5"/>
  <c r="I48" i="5"/>
  <c r="J119" i="5"/>
  <c r="Q182" i="5"/>
  <c r="I129" i="5"/>
  <c r="I68" i="5"/>
  <c r="H186" i="5"/>
  <c r="A182" i="5"/>
  <c r="A179" i="5"/>
  <c r="G38" i="5"/>
  <c r="M118" i="5"/>
  <c r="K44" i="5"/>
  <c r="K203" i="5"/>
  <c r="P88" i="5"/>
  <c r="A36" i="5"/>
  <c r="A95" i="5"/>
  <c r="W18" i="5"/>
  <c r="N92" i="5"/>
  <c r="W155" i="5"/>
  <c r="S109" i="5"/>
  <c r="O90" i="5"/>
  <c r="O117" i="5"/>
  <c r="V53" i="5"/>
  <c r="N19" i="5"/>
  <c r="I186" i="5"/>
  <c r="R54" i="5"/>
  <c r="C173" i="5"/>
  <c r="C182" i="5"/>
  <c r="U105" i="5"/>
  <c r="R16" i="5"/>
  <c r="D35" i="5"/>
  <c r="V102" i="5"/>
  <c r="J35" i="5"/>
  <c r="W111" i="5"/>
  <c r="S58" i="5"/>
  <c r="R123" i="5"/>
  <c r="C92" i="5"/>
  <c r="T152" i="5"/>
  <c r="I159" i="5"/>
  <c r="T14" i="5"/>
  <c r="Q55" i="5"/>
  <c r="D60" i="5"/>
  <c r="G187" i="5"/>
  <c r="A183" i="5"/>
  <c r="S81" i="5"/>
  <c r="S127" i="5"/>
  <c r="O70" i="5"/>
  <c r="D84" i="5"/>
  <c r="C50" i="5"/>
  <c r="T204" i="5"/>
  <c r="Q181" i="5"/>
  <c r="G60" i="5"/>
  <c r="V187" i="5"/>
  <c r="R183" i="5"/>
  <c r="Q87" i="5"/>
  <c r="T124" i="5"/>
  <c r="T48" i="5"/>
  <c r="V74" i="5"/>
  <c r="V81" i="5"/>
  <c r="N127" i="5"/>
  <c r="O204" i="5"/>
  <c r="L182" i="5"/>
  <c r="M103" i="5"/>
  <c r="R121" i="5"/>
  <c r="R35" i="5"/>
  <c r="W105" i="5"/>
  <c r="F123" i="5"/>
  <c r="H123" i="5"/>
  <c r="D95" i="5"/>
  <c r="R175" i="5"/>
  <c r="G114" i="5"/>
  <c r="P62" i="5"/>
  <c r="D155" i="5"/>
  <c r="W197" i="5"/>
  <c r="B152" i="5"/>
  <c r="M61" i="5"/>
  <c r="T81" i="5"/>
  <c r="K33" i="5"/>
  <c r="E185" i="5"/>
  <c r="T108" i="5"/>
  <c r="Q169" i="5"/>
  <c r="N118" i="5"/>
  <c r="C17" i="5"/>
  <c r="A81" i="5"/>
  <c r="S90" i="5"/>
  <c r="D182" i="5"/>
  <c r="Q37" i="5"/>
  <c r="K32" i="5"/>
  <c r="I76" i="5"/>
  <c r="H119" i="5"/>
  <c r="N18" i="5"/>
  <c r="V90" i="5"/>
  <c r="T54" i="5"/>
  <c r="A107" i="5"/>
  <c r="T203" i="5"/>
  <c r="N125" i="5"/>
  <c r="I122" i="5"/>
  <c r="U36" i="5"/>
  <c r="G100" i="5"/>
  <c r="W94" i="5"/>
  <c r="O122" i="5"/>
  <c r="J66" i="5"/>
  <c r="I93" i="5"/>
  <c r="R68" i="5"/>
  <c r="J102" i="5"/>
  <c r="K22" i="5"/>
  <c r="T133" i="5"/>
  <c r="T154" i="5"/>
  <c r="U175" i="5"/>
  <c r="K76" i="5"/>
  <c r="S187" i="5"/>
  <c r="O183" i="5"/>
  <c r="G85" i="5"/>
  <c r="A169" i="5"/>
  <c r="W70" i="5"/>
  <c r="A91" i="5"/>
  <c r="E21" i="5"/>
  <c r="K204" i="5"/>
  <c r="L92" i="5"/>
  <c r="T38" i="5"/>
  <c r="V186" i="5"/>
  <c r="V32" i="5"/>
  <c r="B81" i="5"/>
  <c r="U126" i="5"/>
  <c r="A11" i="5"/>
  <c r="U87" i="5"/>
  <c r="J11" i="5"/>
  <c r="Q84" i="5"/>
  <c r="I95" i="5"/>
  <c r="R48" i="5"/>
  <c r="U34" i="5"/>
  <c r="E104" i="5"/>
  <c r="P123" i="5"/>
  <c r="U121" i="5"/>
  <c r="V105" i="5"/>
  <c r="L80" i="5"/>
  <c r="M94" i="5"/>
  <c r="G110" i="5"/>
  <c r="K79" i="5"/>
  <c r="M176" i="5"/>
  <c r="I196" i="5"/>
  <c r="K46" i="5"/>
  <c r="J151" i="5"/>
  <c r="I198" i="5"/>
  <c r="D148" i="5"/>
  <c r="V145" i="5"/>
  <c r="O158" i="5"/>
  <c r="W177" i="5"/>
  <c r="P198" i="5"/>
  <c r="U154" i="5"/>
  <c r="S200" i="5"/>
  <c r="P73" i="5"/>
  <c r="N202" i="5"/>
  <c r="P77" i="5"/>
  <c r="W16" i="5"/>
  <c r="N73" i="5"/>
  <c r="T192" i="5"/>
  <c r="C134" i="5"/>
  <c r="W74" i="5"/>
  <c r="Q44" i="5"/>
  <c r="N194" i="5"/>
  <c r="E201" i="5"/>
  <c r="V22" i="5"/>
  <c r="I166" i="5"/>
  <c r="G180" i="5"/>
  <c r="F180" i="5"/>
  <c r="U192" i="5"/>
  <c r="R64" i="5"/>
  <c r="L134" i="5"/>
  <c r="W165" i="5"/>
  <c r="B88" i="5"/>
  <c r="A201" i="5"/>
  <c r="O180" i="5"/>
  <c r="B111" i="5"/>
  <c r="H14" i="5"/>
  <c r="J18" i="5"/>
  <c r="G96" i="5"/>
  <c r="T95" i="5"/>
  <c r="N79" i="5"/>
  <c r="C97" i="5"/>
  <c r="H73" i="5"/>
  <c r="T16" i="5"/>
  <c r="V63" i="5"/>
  <c r="P22" i="5"/>
  <c r="T191" i="5"/>
  <c r="I64" i="5"/>
  <c r="A23" i="5"/>
  <c r="B191" i="5"/>
  <c r="H16" i="5"/>
  <c r="W90" i="5"/>
  <c r="S95" i="5"/>
  <c r="R18" i="5"/>
  <c r="O73" i="5"/>
  <c r="F73" i="5"/>
  <c r="A78" i="5"/>
  <c r="E97" i="5"/>
  <c r="J23" i="5"/>
  <c r="G191" i="5"/>
  <c r="F64" i="5"/>
  <c r="T23" i="5"/>
  <c r="C57" i="5"/>
  <c r="C191" i="5"/>
  <c r="Q190" i="5"/>
  <c r="S160" i="5"/>
  <c r="J148" i="5"/>
  <c r="U133" i="5"/>
  <c r="C152" i="5"/>
  <c r="B85" i="5"/>
  <c r="Q155" i="5"/>
  <c r="D159" i="5"/>
  <c r="T157" i="5"/>
  <c r="C193" i="5"/>
  <c r="G157" i="5"/>
  <c r="W199" i="5"/>
  <c r="H150" i="5"/>
  <c r="Q133" i="5"/>
  <c r="S49" i="5"/>
  <c r="G178" i="5"/>
  <c r="G193" i="5"/>
  <c r="P157" i="5"/>
  <c r="I10" i="5"/>
  <c r="A175" i="5"/>
  <c r="U108" i="5"/>
  <c r="I146" i="5"/>
  <c r="L146" i="5"/>
  <c r="K146" i="5"/>
  <c r="E197" i="5"/>
  <c r="J199" i="5"/>
  <c r="U42" i="5"/>
  <c r="L157" i="5"/>
  <c r="M198" i="5"/>
  <c r="T107" i="5"/>
  <c r="F14" i="5"/>
  <c r="T145" i="5"/>
  <c r="L154" i="5"/>
  <c r="A146" i="5"/>
  <c r="B59" i="5"/>
  <c r="B146" i="5"/>
  <c r="D146" i="5"/>
  <c r="P141" i="5"/>
  <c r="Q11" i="5"/>
  <c r="Q199" i="5"/>
  <c r="A160" i="5"/>
  <c r="P145" i="5"/>
  <c r="D150" i="5"/>
  <c r="W160" i="5"/>
  <c r="K147" i="5"/>
  <c r="A148" i="5"/>
  <c r="J193" i="5"/>
  <c r="R15" i="5"/>
  <c r="C135" i="5"/>
  <c r="J149" i="5"/>
  <c r="E153" i="5"/>
  <c r="D54" i="5"/>
  <c r="S172" i="5"/>
  <c r="N147" i="5"/>
  <c r="I135" i="5"/>
  <c r="W134" i="5"/>
  <c r="O12" i="5"/>
  <c r="P194" i="5"/>
  <c r="L12" i="5"/>
  <c r="R56" i="5"/>
  <c r="J197" i="5"/>
  <c r="T195" i="5"/>
  <c r="N151" i="5"/>
  <c r="D152" i="5"/>
  <c r="C148" i="5"/>
  <c r="K174" i="5"/>
  <c r="I192" i="5"/>
  <c r="E54" i="5"/>
  <c r="Q150" i="5"/>
  <c r="A15" i="5"/>
  <c r="J50" i="5"/>
  <c r="D197" i="5"/>
  <c r="G177" i="5"/>
  <c r="R156" i="5"/>
  <c r="W195" i="5"/>
  <c r="O197" i="5"/>
  <c r="E200" i="5"/>
  <c r="B160" i="5"/>
  <c r="V160" i="5"/>
  <c r="F82" i="5"/>
  <c r="H45" i="5"/>
  <c r="D136" i="5"/>
  <c r="G59" i="5"/>
  <c r="B16" i="5"/>
  <c r="W86" i="5"/>
  <c r="G142" i="5"/>
  <c r="F198" i="5"/>
  <c r="S52" i="5"/>
  <c r="I156" i="5"/>
  <c r="A195" i="5"/>
  <c r="G146" i="5"/>
  <c r="P179" i="5"/>
  <c r="H152" i="5"/>
  <c r="E199" i="5"/>
  <c r="V78" i="5"/>
  <c r="O145" i="5"/>
  <c r="S11" i="5"/>
  <c r="Q202" i="5"/>
  <c r="B176" i="5"/>
  <c r="G19" i="5"/>
  <c r="J82" i="5"/>
  <c r="W119" i="5"/>
  <c r="P95" i="5"/>
  <c r="R23" i="5"/>
  <c r="Q191" i="5"/>
  <c r="F158" i="5"/>
  <c r="D50" i="5"/>
  <c r="J21" i="5"/>
  <c r="O149" i="5"/>
  <c r="L201" i="5"/>
  <c r="E64" i="5"/>
  <c r="H180" i="5"/>
  <c r="A166" i="5"/>
  <c r="O23" i="5"/>
  <c r="C111" i="5"/>
  <c r="B96" i="5"/>
  <c r="A87" i="5"/>
  <c r="Q23" i="5"/>
  <c r="Q151" i="5"/>
  <c r="U135" i="5"/>
  <c r="D43" i="5"/>
  <c r="K152" i="5"/>
  <c r="C201" i="5"/>
  <c r="M90" i="5"/>
  <c r="I51" i="5"/>
  <c r="G166" i="5"/>
  <c r="B84" i="5"/>
  <c r="B120" i="5"/>
  <c r="D96" i="5"/>
  <c r="H48" i="5"/>
  <c r="A97" i="5"/>
  <c r="W135" i="5"/>
  <c r="T134" i="5"/>
  <c r="H44" i="5"/>
  <c r="R133" i="5"/>
  <c r="G76" i="5"/>
  <c r="L191" i="5"/>
  <c r="W180" i="5"/>
  <c r="P176" i="5"/>
  <c r="D23" i="5"/>
  <c r="Q76" i="5"/>
  <c r="J73" i="5"/>
  <c r="A64" i="5"/>
  <c r="E156" i="5"/>
  <c r="E135" i="5"/>
  <c r="S15" i="5"/>
  <c r="Q120" i="5"/>
  <c r="D177" i="5"/>
  <c r="Q58" i="5"/>
  <c r="S96" i="5"/>
  <c r="R78" i="5"/>
  <c r="A96" i="5"/>
  <c r="O96" i="5"/>
  <c r="U22" i="5"/>
  <c r="E149" i="5"/>
  <c r="A135" i="5"/>
  <c r="N21" i="5"/>
  <c r="T80" i="5"/>
  <c r="J178" i="5"/>
  <c r="W179" i="5"/>
  <c r="G90" i="5"/>
  <c r="J141" i="5"/>
  <c r="G120" i="5"/>
  <c r="E109" i="5"/>
  <c r="U95" i="5"/>
  <c r="B73" i="5"/>
  <c r="N64" i="5"/>
  <c r="E191" i="5"/>
  <c r="A82" i="5"/>
  <c r="L56" i="5"/>
  <c r="R96" i="5"/>
  <c r="U190" i="5"/>
  <c r="F110" i="5"/>
  <c r="C10" i="5"/>
  <c r="K157" i="5"/>
  <c r="O120" i="5"/>
  <c r="N12" i="5"/>
  <c r="A49" i="5"/>
  <c r="O157" i="5"/>
  <c r="T75" i="5"/>
  <c r="H159" i="5"/>
  <c r="V180" i="5"/>
  <c r="O202" i="5"/>
  <c r="K15" i="5"/>
  <c r="C96" i="5"/>
  <c r="K150" i="5"/>
  <c r="U140" i="5"/>
  <c r="S57" i="5"/>
  <c r="S191" i="5"/>
  <c r="O55" i="5"/>
  <c r="I175" i="5"/>
  <c r="Q146" i="5"/>
  <c r="I149" i="5"/>
  <c r="U12" i="5"/>
  <c r="F122" i="5"/>
  <c r="D91" i="5"/>
  <c r="N172" i="5"/>
  <c r="H77" i="5"/>
  <c r="C104" i="5"/>
  <c r="R164" i="5"/>
  <c r="M6" i="5"/>
  <c r="M186" i="5"/>
  <c r="O131" i="5"/>
  <c r="T29" i="5"/>
  <c r="Q99" i="5"/>
  <c r="U141" i="5"/>
  <c r="B48" i="5"/>
  <c r="D57" i="5"/>
  <c r="O54" i="5"/>
  <c r="L174" i="5"/>
  <c r="L63" i="5"/>
  <c r="Q42" i="5"/>
  <c r="L37" i="5"/>
  <c r="C183" i="5"/>
  <c r="O50" i="5"/>
  <c r="S89" i="5"/>
  <c r="B7" i="5"/>
  <c r="S10" i="5"/>
  <c r="M12" i="5"/>
  <c r="J144" i="5"/>
  <c r="R147" i="5"/>
  <c r="U159" i="5"/>
  <c r="O138" i="5"/>
  <c r="K139" i="5"/>
  <c r="J20" i="5"/>
  <c r="S179" i="5"/>
  <c r="T140" i="5"/>
  <c r="A186" i="5"/>
  <c r="B125" i="5"/>
  <c r="Q80" i="5"/>
  <c r="N182" i="5"/>
  <c r="B100" i="5"/>
  <c r="L159" i="5"/>
  <c r="G40" i="5"/>
  <c r="D5" i="5"/>
  <c r="O29" i="5"/>
  <c r="S170" i="5"/>
  <c r="B99" i="5"/>
  <c r="A40" i="5"/>
  <c r="Q111" i="5"/>
  <c r="Q127" i="5"/>
  <c r="F102" i="5"/>
  <c r="T138" i="5"/>
  <c r="J8" i="5"/>
  <c r="T143" i="5"/>
  <c r="P6" i="5"/>
  <c r="U191" i="5"/>
  <c r="V10" i="5"/>
  <c r="O7" i="5"/>
  <c r="L19" i="5"/>
  <c r="D139" i="5"/>
  <c r="F7" i="5"/>
  <c r="D144" i="5"/>
  <c r="V6" i="5"/>
  <c r="C139" i="5"/>
  <c r="P109" i="5"/>
  <c r="G79" i="5"/>
  <c r="L43" i="5"/>
  <c r="H10" i="5"/>
  <c r="I56" i="5"/>
  <c r="Q53" i="5"/>
  <c r="G51" i="5"/>
  <c r="M46" i="5"/>
  <c r="P44" i="5"/>
  <c r="M20" i="5"/>
  <c r="B13" i="5"/>
  <c r="M48" i="5"/>
  <c r="C54" i="5"/>
  <c r="L16" i="5"/>
  <c r="U155" i="5"/>
  <c r="M150" i="5"/>
  <c r="K87" i="5"/>
  <c r="E99" i="5"/>
  <c r="M159" i="5"/>
  <c r="L152" i="5"/>
  <c r="V87" i="5"/>
  <c r="P20" i="5"/>
  <c r="F193" i="5"/>
  <c r="K30" i="5"/>
  <c r="N199" i="5"/>
  <c r="Q157" i="5"/>
  <c r="Q5" i="5"/>
  <c r="O190" i="5"/>
  <c r="K190" i="5"/>
  <c r="R134" i="5"/>
  <c r="G56" i="5"/>
  <c r="H138" i="5"/>
  <c r="V143" i="5"/>
  <c r="B190" i="5"/>
  <c r="W189" i="5"/>
  <c r="U189" i="5"/>
  <c r="S189" i="5"/>
  <c r="Q189" i="5"/>
  <c r="O189" i="5"/>
  <c r="M189" i="5"/>
  <c r="J189" i="5"/>
  <c r="H189" i="5"/>
  <c r="F189" i="5"/>
  <c r="D189" i="5"/>
  <c r="A189" i="5"/>
  <c r="V188" i="5"/>
  <c r="T188" i="5"/>
  <c r="R188" i="5"/>
  <c r="P188" i="5"/>
  <c r="N188" i="5"/>
  <c r="L188" i="5"/>
  <c r="J188" i="5"/>
  <c r="O199" i="5"/>
  <c r="S198" i="5"/>
  <c r="E198" i="5"/>
  <c r="P197" i="5"/>
  <c r="B197" i="5"/>
  <c r="R195" i="5"/>
  <c r="P195" i="5"/>
  <c r="N195" i="5"/>
  <c r="L195" i="5"/>
  <c r="J195" i="5"/>
  <c r="H195" i="5"/>
  <c r="F195" i="5"/>
  <c r="D195" i="5"/>
  <c r="B195" i="5"/>
  <c r="W194" i="5"/>
  <c r="U194" i="5"/>
  <c r="N56" i="5"/>
  <c r="J28" i="5"/>
  <c r="S7" i="5"/>
  <c r="O74" i="5"/>
  <c r="O192" i="5"/>
  <c r="L6" i="5"/>
  <c r="I17" i="5"/>
  <c r="H19" i="5"/>
  <c r="B10" i="5"/>
  <c r="J140" i="5"/>
  <c r="R10" i="5"/>
  <c r="M197" i="5"/>
  <c r="E12" i="5"/>
  <c r="G144" i="5"/>
  <c r="E42" i="5"/>
  <c r="V137" i="5"/>
  <c r="L22" i="5"/>
  <c r="W9" i="5"/>
  <c r="F137" i="5"/>
  <c r="I28" i="5"/>
  <c r="K7" i="5"/>
  <c r="Q192" i="5"/>
  <c r="F86" i="5"/>
  <c r="E77" i="5"/>
  <c r="S48" i="5"/>
  <c r="F15" i="5"/>
  <c r="G57" i="5"/>
  <c r="H54" i="5"/>
  <c r="L52" i="5"/>
  <c r="O49" i="5"/>
  <c r="D13" i="5"/>
  <c r="D192" i="5"/>
  <c r="A200" i="5"/>
  <c r="V11" i="5"/>
  <c r="K88" i="5"/>
  <c r="C23" i="5"/>
  <c r="K21" i="5"/>
  <c r="D158" i="5"/>
  <c r="B27" i="5"/>
  <c r="P96" i="5"/>
  <c r="A138" i="5"/>
  <c r="E139" i="5"/>
  <c r="V106" i="5"/>
  <c r="I14" i="5"/>
  <c r="M170" i="5"/>
  <c r="K59" i="5"/>
  <c r="L61" i="5"/>
  <c r="Q81" i="5"/>
  <c r="S139" i="5"/>
  <c r="W85" i="5"/>
  <c r="O139" i="5"/>
  <c r="M22" i="5"/>
  <c r="J54" i="5"/>
  <c r="W88" i="5"/>
  <c r="D39" i="5"/>
  <c r="W91" i="5"/>
  <c r="C52" i="5"/>
  <c r="V183" i="5"/>
  <c r="O69" i="5"/>
  <c r="V204" i="5"/>
  <c r="W185" i="5"/>
  <c r="Q142" i="5"/>
  <c r="O56" i="5"/>
  <c r="L49" i="5"/>
  <c r="H185" i="5"/>
  <c r="A92" i="5"/>
  <c r="Q131" i="5"/>
  <c r="M44" i="5"/>
  <c r="L139" i="5"/>
  <c r="E16" i="5"/>
  <c r="T136" i="5"/>
  <c r="H155" i="5"/>
  <c r="Q8" i="5"/>
  <c r="I6" i="5"/>
  <c r="F6" i="5"/>
  <c r="K137" i="5"/>
  <c r="Q75" i="5"/>
  <c r="P108" i="5"/>
  <c r="H183" i="5"/>
  <c r="G118" i="5"/>
  <c r="D52" i="5"/>
  <c r="E15" i="5"/>
  <c r="N191" i="5"/>
  <c r="E155" i="5"/>
  <c r="L41" i="5"/>
  <c r="H53" i="5"/>
  <c r="T98" i="5"/>
  <c r="J190" i="5"/>
  <c r="Q171" i="5"/>
  <c r="N41" i="5"/>
  <c r="O41" i="5"/>
  <c r="W65" i="5"/>
  <c r="G43" i="5"/>
  <c r="V104" i="5"/>
  <c r="V8" i="5"/>
  <c r="M139" i="5"/>
  <c r="U137" i="5"/>
  <c r="J165" i="5"/>
  <c r="V159" i="5"/>
  <c r="Q19" i="5"/>
  <c r="N57" i="5"/>
  <c r="U49" i="5"/>
  <c r="T42" i="5"/>
  <c r="R45" i="5"/>
  <c r="C153" i="5"/>
  <c r="U110" i="5"/>
  <c r="L76" i="5"/>
  <c r="H98" i="5"/>
  <c r="K155" i="5"/>
  <c r="O150" i="5"/>
  <c r="W110" i="5"/>
  <c r="N75" i="5"/>
  <c r="B41" i="5"/>
  <c r="W192" i="5"/>
  <c r="V29" i="5"/>
  <c r="P135" i="5"/>
  <c r="M154" i="5"/>
  <c r="J75" i="5"/>
  <c r="E158" i="5"/>
  <c r="P83" i="5"/>
</calcChain>
</file>

<file path=xl/sharedStrings.xml><?xml version="1.0" encoding="utf-8"?>
<sst xmlns="http://schemas.openxmlformats.org/spreadsheetml/2006/main" count="10398" uniqueCount="10191">
  <si>
    <t>组件/零件清单下单台账模板（最终版）</t>
  </si>
  <si>
    <t>每张订单第一行选择“订单头”，下面填写该订单的组件/零件。复制新订单时复制“订单头+明细行”，粘贴后自动从 1、C001 重新开始。</t>
  </si>
  <si>
    <t>ERP 后续上传建议读取“ERP导入清单”工作表；清单台账用于日常录入和复制。蓝色列为公式结果，尽量不要手改。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</si>
  <si>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</si>
  <si>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</si>
  <si>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</si>
  <si>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</si>
  <si>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</si>
  <si>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</si>
  <si>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</si>
  <si>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</si>
  <si>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</si>
  <si>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</si>
  <si>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</si>
  <si>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</si>
  <si>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</si>
  <si>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</si>
  <si>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</si>
  <si>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</si>
  <si>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</si>
  <si>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</si>
  <si>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</si>
  <si>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</si>
  <si>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</si>
  <si>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</si>
  <si>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</si>
  <si>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helperTopNoInBlock</t>
  </si>
  <si>
    <t>helperTopNoForSeq</t>
  </si>
  <si>
    <t>helperChildNo</t>
  </si>
  <si>
    <t>helperOrderNo</t>
  </si>
  <si>
    <t>helperOrderDate</t>
  </si>
  <si>
    <t>helperCustomer</t>
  </si>
  <si>
    <t>helperProject</t>
  </si>
  <si>
    <t>helperExportFlag</t>
  </si>
  <si>
    <t>RSD-20260510-001</t>
  </si>
  <si>
    <t>合肥荣事达太阳能有限公司</t>
  </si>
  <si>
    <t>C型15P</t>
  </si>
  <si>
    <t>订单头</t>
  </si>
  <si>
    <t>零件</t>
  </si>
  <si>
    <t>通用件</t>
  </si>
  <si>
    <t>RS10703010033</t>
  </si>
  <si>
    <t>RBKS-300DBII-10-50-01</t>
  </si>
  <si>
    <t>顶盖</t>
  </si>
  <si>
    <t>1mm</t>
  </si>
  <si>
    <t>件</t>
  </si>
  <si>
    <t>百胜样机款</t>
  </si>
  <si>
    <t>旧图</t>
  </si>
  <si>
    <t>RS10701050458</t>
  </si>
  <si>
    <t>RBKS-300DBII-10-01</t>
  </si>
  <si>
    <t>左侧封板</t>
  </si>
  <si>
    <t>激光切割&gt;折弯</t>
  </si>
  <si>
    <t>RS10701050459</t>
  </si>
  <si>
    <t>RBKS-300DBII-10-03</t>
  </si>
  <si>
    <t>前风机板（钢丝网）</t>
  </si>
  <si>
    <t>增冷凝器孔</t>
  </si>
  <si>
    <t>组件</t>
  </si>
  <si>
    <t>RS10701020216</t>
  </si>
  <si>
    <t>RBKS-300DBII-10-30</t>
  </si>
  <si>
    <t>风机支架组件</t>
  </si>
  <si>
    <t>2mm</t>
  </si>
  <si>
    <t>套</t>
  </si>
  <si>
    <t>装配</t>
  </si>
  <si>
    <t>螺丝组装，百胜样机款</t>
  </si>
  <si>
    <t>RLKS-300DBII-10-30-B</t>
  </si>
  <si>
    <t>风机支架折弯件</t>
  </si>
  <si>
    <t>组件 C001 的子件</t>
  </si>
  <si>
    <t>RBKS-300DBII-10-30-05</t>
  </si>
  <si>
    <t>机架加强板</t>
  </si>
  <si>
    <t>激光切割</t>
  </si>
  <si>
    <t>模具成型，百胜样机款</t>
  </si>
  <si>
    <t>定制件</t>
  </si>
  <si>
    <t>RS10701010142</t>
  </si>
  <si>
    <t>RBKS-300DBII-10-00</t>
  </si>
  <si>
    <t>底盘组件（激光割）</t>
  </si>
  <si>
    <t>激光切割&gt;焊接&gt;装配</t>
  </si>
  <si>
    <t>点5个电热丝固定卡，割孔，焊螺丝</t>
  </si>
  <si>
    <t>RBKS-300DBII-10-00-A</t>
  </si>
  <si>
    <t>底盘板</t>
  </si>
  <si>
    <t>小孔，割3-Φ3.2孔</t>
  </si>
  <si>
    <t>待确认</t>
  </si>
  <si>
    <t>RBKS-300DBII-10-00-B</t>
  </si>
  <si>
    <t>底盘加强片</t>
  </si>
  <si>
    <t>1.5mm</t>
  </si>
  <si>
    <t>焊2-M8x20螺丝</t>
  </si>
  <si>
    <t>外协件</t>
  </si>
  <si>
    <t>RS10707010049</t>
  </si>
  <si>
    <t>RBKS-300DBII-10-04</t>
  </si>
  <si>
    <t>网罩</t>
  </si>
  <si>
    <t>钢丝网</t>
  </si>
  <si>
    <t>RSD-20260601-002</t>
  </si>
  <si>
    <t>B型5P</t>
  </si>
  <si>
    <t>RS10703222</t>
  </si>
  <si>
    <t>B5机型物料号-10-50-01</t>
  </si>
  <si>
    <t>RS1070103</t>
  </si>
  <si>
    <t>B5机型物料号-10-01</t>
  </si>
  <si>
    <t>RS1071123</t>
  </si>
  <si>
    <t>B5机型物料号-10-30</t>
  </si>
  <si>
    <t>组件本体 90 套，每套用 2 件</t>
  </si>
  <si>
    <t>B5机型物料号-10-30-B</t>
  </si>
  <si>
    <t>按父组件需求数量×2</t>
  </si>
  <si>
    <t>B5机型物料号-10-30-05</t>
  </si>
  <si>
    <t>按父组件需求数量×1</t>
  </si>
  <si>
    <t>RS103</t>
  </si>
  <si>
    <t>B5机型物料号-10-00</t>
  </si>
  <si>
    <t>B5机型物料号-10-00-A</t>
  </si>
  <si>
    <t>B5机型物料号-10-00-B</t>
  </si>
  <si>
    <t>RS107023</t>
  </si>
  <si>
    <t>B5机型物料号-10-04</t>
  </si>
  <si>
    <t>RSD-20260615-003</t>
  </si>
  <si>
    <t>D型8P</t>
  </si>
  <si>
    <t>RS20703010033</t>
  </si>
  <si>
    <t>D8-10-50-01</t>
  </si>
  <si>
    <t>样机款</t>
  </si>
  <si>
    <t>新图</t>
  </si>
  <si>
    <t>RS20701020216</t>
  </si>
  <si>
    <t>D8-10-30</t>
  </si>
  <si>
    <t>电控支架组件</t>
  </si>
  <si>
    <t>螺丝组装</t>
  </si>
  <si>
    <t>D8-10-30-A</t>
  </si>
  <si>
    <t>支架主板</t>
  </si>
  <si>
    <t>D8-10-30-B</t>
  </si>
  <si>
    <t>支架加强片</t>
  </si>
  <si>
    <t>每套组件 2 件</t>
  </si>
  <si>
    <t>RS20707010049</t>
  </si>
  <si>
    <t>D8-10-04</t>
  </si>
  <si>
    <t>黑色</t>
  </si>
  <si>
    <t>ERP导入清单（自动生成，不手填）</t>
  </si>
  <si>
    <t>上传 ERP 时读取本表；筛选“行类型”不为空的行。字段顺序已与清单台账保持一致，订单头行不会导入。</t>
  </si>
  <si>
    <t>helperUploadSeq</t>
  </si>
  <si>
    <t>最终版使用说明</t>
  </si>
  <si>
    <t>问题</t>
  </si>
  <si>
    <t>建议做法</t>
  </si>
  <si>
    <t>公式逻辑</t>
  </si>
  <si>
    <t>注意</t>
  </si>
  <si>
    <t>能否上传 ERP</t>
  </si>
  <si>
    <t>建议以后 ERP 上传读取“ERP导入清单”</t>
  </si>
  <si>
    <t>ERP导入清单自动继承订单头信息，每条组件/零件都有完整订单字段</t>
  </si>
  <si>
    <t>不要让 ERP 直接解析截图格式或合并单元格</t>
  </si>
  <si>
    <t>如何新建订单</t>
  </si>
  <si>
    <t>复制一整块：订单头 + 下面所有组件/零件行</t>
  </si>
  <si>
    <t>订单块按“订单头”重新计算</t>
  </si>
  <si>
    <t>复制后先修改订单编号、制单日期、客户名称、项目型号</t>
  </si>
  <si>
    <t>为什么组件重新 C001</t>
  </si>
  <si>
    <t>每个订单块内单独统计组件数量</t>
  </si>
  <si>
    <t>组件编号=当前订单块内第 N 个组件</t>
  </si>
  <si>
    <t>组件编号列是公式，不手填；当前支持到 C9999</t>
  </si>
  <si>
    <t>子零件怎么挂组件</t>
  </si>
  <si>
    <t>子零件必须紧跟在所属组件下面，订单数留空，只填单套用量</t>
  </si>
  <si>
    <t>所属组件编号会自动继承上方最近组件，连续子件会继续继承</t>
  </si>
  <si>
    <t>普通零件必须填写订单数；如需手动改，仍可用下拉选择 C001-C9999</t>
  </si>
  <si>
    <t>普通零件</t>
  </si>
  <si>
    <t>所属组件编号自动为空，填写订单数；单套用量可空或填 1</t>
  </si>
  <si>
    <t>需求数量=订单数×单套用量</t>
  </si>
  <si>
    <t>普通零件不要放在组件子件中间</t>
  </si>
  <si>
    <t>组件行</t>
  </si>
  <si>
    <t>行类型选组件，填写订单数和单套用量</t>
  </si>
  <si>
    <t>例如 90×2=180</t>
  </si>
  <si>
    <t>组件子零件</t>
  </si>
  <si>
    <t>订单数留空，只填单套用量</t>
  </si>
  <si>
    <t>需求数量=父组件需求数量×子零件单套用量</t>
  </si>
  <si>
    <t>例如父组件 180，子件单套用量 2，则子件 360</t>
  </si>
  <si>
    <t>库存和生产计划</t>
  </si>
  <si>
    <t>不要在 Excel 里填</t>
  </si>
  <si>
    <t>进入 ERP 后再做库存核对、履约方式、生产计划数量</t>
  </si>
  <si>
    <t>Excel 只负责清单事实</t>
  </si>
  <si>
    <t>蓝色列</t>
  </si>
  <si>
    <t>不要手改</t>
  </si>
  <si>
    <t>公式自动生成</t>
  </si>
  <si>
    <t>包括订单块、自动序号、组件编号、所属组件编号、需求数量</t>
  </si>
  <si>
    <t>选项范围</t>
  </si>
  <si>
    <t>所属组件编号支持 C001-C9999</t>
  </si>
  <si>
    <t>选项表提供下拉来源</t>
  </si>
  <si>
    <t>一般订单用不到这么多，但可长期扩展</t>
  </si>
  <si>
    <t>ERP上传净表</t>
  </si>
  <si>
    <t>ERP 正式上传建议读取此表</t>
  </si>
  <si>
    <t>用 AGGREGATE 自动抽取 ERP导入清单 中行类型不为空的有效行</t>
  </si>
  <si>
    <t>有效行连续排列，后面空白行可忽略</t>
  </si>
  <si>
    <t>预留</t>
  </si>
  <si>
    <t>常用工艺</t>
  </si>
  <si>
    <t>可选组件编号</t>
  </si>
  <si>
    <t>C001</t>
  </si>
  <si>
    <t>C002</t>
  </si>
  <si>
    <t>数控件</t>
  </si>
  <si>
    <t>张</t>
  </si>
  <si>
    <t>图纸变更</t>
  </si>
  <si>
    <t>激光切割&gt;折弯&gt;冲压</t>
  </si>
  <si>
    <t>C003</t>
  </si>
  <si>
    <t>个</t>
  </si>
  <si>
    <t>C004</t>
  </si>
  <si>
    <t>根</t>
  </si>
  <si>
    <t>激光折弯</t>
  </si>
  <si>
    <t>C005</t>
  </si>
  <si>
    <t>米</t>
  </si>
  <si>
    <t>C006</t>
  </si>
  <si>
    <t>外协</t>
  </si>
  <si>
    <t>C007</t>
  </si>
  <si>
    <t>包装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</si>
  <si>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</si>
  <si>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</si>
  <si>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</si>
  <si>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</si>
  <si>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</si>
  <si>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</si>
  <si>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</si>
  <si>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</si>
  <si>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</si>
  <si>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</si>
  <si>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</si>
  <si>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</si>
  <si>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</si>
  <si>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</si>
  <si>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</si>
  <si>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</si>
  <si>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</si>
  <si>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</si>
  <si>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</si>
  <si>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</si>
  <si>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</si>
  <si>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</si>
  <si>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</si>
  <si>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</si>
  <si>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</si>
  <si>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</si>
  <si>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</si>
  <si>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</si>
  <si>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</si>
  <si>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</si>
  <si>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</si>
  <si>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</si>
  <si>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</si>
  <si>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</si>
  <si>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</si>
  <si>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</si>
  <si>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</si>
  <si>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</si>
  <si>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</si>
  <si>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</si>
  <si>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</si>
  <si>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</si>
  <si>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</si>
  <si>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</si>
  <si>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</si>
  <si>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</si>
  <si>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</si>
  <si>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</si>
  <si>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</si>
  <si>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</si>
  <si>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</si>
  <si>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</si>
  <si>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</si>
  <si>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</si>
  <si>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</si>
  <si>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</si>
  <si>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</si>
  <si>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</si>
  <si>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</si>
  <si>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</si>
  <si>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</si>
  <si>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</si>
  <si>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</si>
  <si>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</si>
  <si>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</si>
  <si>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</si>
  <si>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</si>
  <si>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</si>
  <si>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</si>
  <si>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</si>
  <si>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</si>
  <si>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</si>
  <si>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</si>
  <si>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</si>
  <si>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</si>
  <si>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</si>
  <si>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</si>
  <si>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</si>
  <si>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</si>
  <si>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</si>
  <si>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</si>
  <si>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</si>
  <si>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</si>
  <si>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</si>
  <si>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</si>
  <si>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</si>
  <si>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</si>
  <si>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</si>
  <si>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</si>
  <si>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</si>
  <si>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</si>
  <si>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</si>
  <si>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</si>
  <si>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</si>
  <si>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</si>
  <si>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</si>
  <si>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</si>
  <si>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</si>
  <si>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</si>
  <si>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</si>
  <si>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</si>
  <si>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</si>
  <si>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</si>
  <si>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</si>
  <si>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</si>
  <si>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</si>
  <si>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</si>
  <si>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</si>
  <si>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</si>
  <si>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</si>
  <si>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</si>
  <si>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</si>
  <si>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</si>
  <si>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</si>
  <si>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</si>
  <si>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</si>
  <si>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</si>
  <si>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</si>
  <si>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</si>
  <si>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</si>
  <si>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</si>
  <si>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</si>
  <si>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</si>
  <si>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</si>
  <si>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</si>
  <si>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</si>
  <si>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</si>
  <si>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</si>
  <si>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</si>
  <si>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</si>
  <si>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</si>
  <si>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</si>
  <si>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</si>
  <si>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</si>
  <si>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</si>
  <si>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</si>
  <si>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</si>
  <si>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</si>
  <si>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</si>
  <si>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</si>
  <si>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</si>
  <si>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</si>
  <si>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</si>
  <si>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</si>
  <si>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</si>
  <si>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</si>
  <si>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</si>
  <si>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</si>
  <si>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</si>
  <si>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</si>
  <si>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</si>
  <si>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</si>
  <si>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</si>
  <si>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</si>
  <si>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</si>
  <si>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</si>
  <si>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</si>
  <si>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</si>
  <si>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</si>
  <si>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</si>
  <si>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</si>
  <si>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</si>
  <si>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</si>
  <si>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</si>
  <si>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</si>
  <si>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</si>
  <si>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</si>
  <si>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</si>
  <si>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</si>
  <si>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</si>
  <si>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</si>
  <si>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</si>
  <si>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</si>
  <si>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</si>
  <si>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</si>
  <si>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</si>
  <si>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</si>
  <si>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</si>
  <si>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</si>
  <si>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</si>
  <si>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</si>
  <si>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</si>
  <si>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</si>
  <si>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</si>
  <si>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</si>
  <si>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</si>
  <si>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</si>
  <si>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</si>
  <si>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</si>
  <si>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</si>
  <si>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</si>
  <si>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</si>
  <si>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</si>
  <si>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</si>
  <si>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</si>
  <si>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</si>
  <si>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</si>
  <si>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</si>
  <si>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</si>
  <si>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</si>
  <si>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</si>
  <si>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</si>
  <si>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</si>
  <si>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</si>
  <si>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</si>
  <si>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</si>
  <si>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</si>
  <si>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</si>
  <si>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</si>
  <si>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</si>
  <si>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</si>
  <si>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</si>
  <si>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</si>
  <si>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</si>
  <si>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</si>
  <si>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</si>
  <si>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</si>
  <si>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</si>
  <si>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</si>
  <si>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</si>
  <si>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</si>
  <si>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</si>
  <si>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</si>
  <si>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</si>
  <si>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</si>
  <si>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</si>
  <si>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</si>
  <si>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</si>
  <si>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</si>
  <si>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</si>
  <si>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</si>
  <si>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</si>
  <si>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</si>
  <si>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</si>
  <si>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</si>
  <si>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</si>
  <si>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</si>
  <si>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</si>
  <si>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</si>
  <si>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</si>
  <si>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</si>
  <si>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</si>
  <si>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</si>
  <si>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</si>
  <si>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</si>
  <si>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</si>
  <si>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</si>
  <si>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</si>
  <si>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</si>
  <si>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</si>
  <si>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</si>
  <si>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</si>
  <si>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</si>
  <si>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</si>
  <si>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</si>
  <si>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</si>
  <si>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</si>
  <si>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</si>
  <si>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</si>
  <si>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</si>
  <si>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</si>
  <si>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</si>
  <si>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</si>
  <si>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</si>
  <si>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</si>
  <si>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</si>
  <si>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</si>
  <si>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</si>
  <si>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</si>
  <si>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</si>
  <si>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</si>
  <si>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</si>
  <si>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</si>
  <si>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</si>
  <si>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</si>
  <si>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</si>
  <si>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</si>
  <si>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</si>
  <si>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</si>
  <si>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</si>
  <si>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</si>
  <si>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</si>
  <si>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</si>
  <si>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</si>
  <si>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</si>
  <si>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</si>
  <si>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</si>
  <si>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</si>
  <si>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</si>
  <si>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</si>
  <si>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</si>
  <si>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</si>
  <si>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</si>
  <si>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</si>
  <si>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</si>
  <si>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</si>
  <si>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</si>
  <si>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</si>
  <si>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</si>
  <si>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</si>
  <si>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</si>
  <si>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</si>
  <si>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</si>
  <si>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</si>
  <si>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</si>
  <si>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</si>
  <si>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</si>
  <si>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</si>
  <si>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</si>
  <si>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</si>
  <si>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</si>
  <si>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</si>
  <si>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</si>
  <si>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</si>
  <si>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</si>
  <si>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</si>
  <si>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</si>
  <si>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</si>
  <si>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</si>
  <si>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</si>
  <si>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</si>
  <si>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</si>
  <si>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</si>
  <si>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</si>
  <si>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</si>
  <si>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</si>
  <si>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</si>
  <si>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</si>
  <si>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</si>
  <si>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</si>
  <si>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</si>
  <si>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</si>
  <si>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</si>
  <si>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</si>
  <si>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</si>
  <si>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</si>
  <si>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</si>
  <si>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</si>
  <si>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</si>
  <si>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</si>
  <si>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</si>
  <si>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</si>
  <si>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</si>
  <si>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</si>
  <si>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</si>
  <si>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</si>
  <si>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</si>
  <si>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</si>
  <si>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</si>
  <si>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</si>
  <si>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</si>
  <si>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</si>
  <si>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</si>
  <si>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</si>
  <si>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</si>
  <si>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</si>
  <si>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</si>
  <si>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</si>
  <si>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</si>
  <si>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</si>
  <si>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</si>
  <si>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</si>
  <si>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</si>
  <si>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</si>
  <si>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</si>
  <si>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</si>
  <si>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</si>
  <si>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</si>
  <si>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</si>
  <si>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</si>
  <si>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</si>
  <si>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</si>
  <si>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</si>
  <si>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</si>
  <si>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</si>
  <si>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</si>
  <si>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</si>
  <si>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</si>
  <si>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</si>
  <si>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</si>
  <si>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</si>
  <si>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</si>
  <si>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</si>
  <si>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</si>
  <si>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</si>
  <si>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</si>
  <si>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</si>
  <si>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</si>
  <si>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</si>
  <si>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</si>
  <si>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</si>
  <si>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</si>
  <si>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</si>
  <si>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</si>
  <si>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</si>
  <si>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</si>
  <si>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</si>
  <si>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</si>
  <si>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</si>
  <si>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</si>
  <si>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</si>
  <si>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</si>
  <si>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</si>
  <si>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</si>
  <si>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</si>
  <si>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</si>
  <si>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</si>
  <si>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</si>
  <si>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</si>
  <si>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</si>
  <si>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</si>
  <si>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</si>
  <si>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</si>
  <si>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</si>
  <si>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</si>
  <si>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</si>
  <si>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</si>
  <si>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</si>
  <si>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</si>
  <si>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</si>
  <si>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</si>
  <si>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</si>
  <si>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</si>
  <si>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</si>
  <si>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</si>
  <si>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</si>
  <si>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</si>
  <si>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</si>
  <si>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</si>
  <si>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</si>
  <si>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</si>
  <si>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</si>
  <si>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</si>
  <si>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</si>
  <si>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</si>
  <si>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</si>
  <si>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</si>
  <si>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</si>
  <si>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</si>
  <si>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</si>
  <si>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</si>
  <si>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</si>
  <si>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</si>
  <si>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</si>
  <si>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</si>
  <si>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</si>
  <si>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</si>
  <si>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</si>
  <si>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</si>
  <si>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</si>
  <si>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</si>
  <si>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</si>
  <si>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</si>
  <si>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</si>
  <si>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</si>
  <si>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</si>
  <si>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</si>
  <si>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</si>
  <si>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</si>
  <si>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</si>
  <si>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</si>
  <si>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</si>
  <si>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</si>
  <si>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</si>
  <si>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</si>
  <si>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</si>
  <si>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</si>
  <si>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</si>
  <si>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</si>
  <si>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</si>
  <si>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</si>
  <si>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</si>
  <si>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</si>
  <si>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</si>
  <si>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</si>
  <si>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</si>
  <si>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</si>
  <si>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</si>
  <si>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</si>
  <si>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</si>
  <si>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</si>
  <si>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</si>
  <si>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</si>
  <si>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</si>
  <si>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</si>
  <si>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</si>
  <si>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</si>
  <si>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</si>
  <si>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</si>
  <si>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</si>
  <si>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</si>
  <si>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</si>
  <si>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</si>
  <si>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</si>
  <si>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</si>
  <si>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</si>
  <si>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</si>
  <si>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</si>
  <si>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</si>
  <si>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</si>
  <si>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</si>
  <si>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</si>
  <si>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</si>
  <si>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</si>
  <si>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</si>
  <si>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</si>
  <si>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</si>
  <si>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</si>
  <si>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</si>
  <si>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</si>
  <si>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</si>
  <si>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</si>
  <si>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</si>
  <si>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</si>
  <si>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</si>
  <si>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</si>
  <si>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</si>
  <si>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</si>
  <si>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</si>
  <si>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</si>
  <si>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</si>
  <si>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</si>
  <si>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</si>
  <si>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</si>
  <si>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</si>
  <si>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</si>
  <si>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</si>
  <si>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</si>
  <si>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</si>
  <si>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</si>
  <si>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</si>
  <si>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</si>
  <si>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</si>
  <si>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</si>
  <si>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</si>
  <si>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</si>
  <si>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</si>
  <si>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</si>
  <si>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</si>
  <si>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</si>
  <si>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</si>
  <si>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</si>
  <si>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</si>
  <si>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</si>
  <si>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</si>
  <si>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</si>
  <si>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</si>
  <si>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</si>
  <si>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</si>
  <si>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</si>
  <si>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</si>
  <si>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</si>
  <si>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</si>
  <si>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</si>
  <si>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</si>
  <si>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</si>
  <si>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</si>
  <si>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</si>
  <si>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</si>
  <si>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</si>
  <si>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</si>
  <si>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</si>
  <si>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</si>
  <si>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</si>
  <si>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</si>
  <si>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</si>
  <si>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</si>
  <si>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</si>
  <si>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</si>
  <si>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</si>
  <si>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</si>
  <si>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</si>
  <si>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</si>
  <si>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</si>
  <si>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</si>
  <si>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</si>
  <si>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</si>
  <si>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</si>
  <si>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</si>
  <si>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</si>
  <si>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</si>
  <si>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</si>
  <si>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</si>
  <si>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</si>
  <si>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</si>
  <si>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</si>
  <si>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</si>
  <si>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</si>
  <si>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</si>
  <si>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</si>
  <si>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</si>
  <si>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</si>
  <si>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</si>
  <si>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</si>
  <si>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</si>
  <si>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</si>
  <si>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</si>
  <si>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</si>
  <si>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</si>
  <si>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</si>
  <si>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</si>
  <si>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</si>
  <si>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</si>
  <si>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</si>
  <si>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</si>
  <si>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</si>
  <si>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</si>
  <si>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</si>
  <si>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</si>
  <si>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</si>
  <si>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</si>
  <si>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</si>
  <si>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</si>
  <si>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</si>
  <si>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</si>
  <si>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</si>
  <si>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</si>
  <si>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</si>
  <si>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</si>
  <si>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</si>
  <si>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</si>
  <si>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</si>
  <si>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</si>
  <si>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</si>
  <si>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</si>
  <si>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</si>
  <si>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</si>
  <si>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</si>
  <si>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</si>
  <si>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</si>
  <si>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</si>
  <si>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</si>
  <si>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</si>
  <si>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</si>
  <si>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</si>
  <si>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</si>
  <si>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</si>
  <si>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</si>
  <si>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</si>
  <si>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</si>
  <si>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</si>
  <si>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</si>
  <si>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</si>
  <si>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</si>
  <si>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</si>
  <si>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</si>
  <si>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</si>
  <si>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</si>
  <si>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</si>
  <si>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</si>
  <si>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</si>
  <si>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</si>
  <si>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</si>
  <si>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</si>
  <si>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</si>
  <si>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</si>
  <si>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</si>
  <si>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</si>
  <si>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</si>
  <si>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</si>
  <si>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</si>
  <si>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</si>
  <si>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</si>
  <si>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</si>
  <si>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</si>
  <si>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</si>
  <si>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</si>
  <si>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</si>
  <si>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</si>
  <si>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</si>
  <si>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</si>
  <si>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</si>
  <si>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</si>
  <si>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</si>
  <si>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</si>
  <si>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</si>
  <si>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</si>
  <si>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</si>
  <si>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</si>
  <si>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</si>
  <si>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</si>
  <si>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</si>
  <si>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</si>
  <si>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</si>
  <si>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</si>
  <si>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</si>
  <si>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</si>
  <si>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</si>
  <si>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</si>
  <si>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</si>
  <si>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</si>
  <si>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</si>
  <si>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</si>
  <si>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</si>
  <si>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</si>
  <si>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</si>
  <si>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</si>
  <si>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</si>
  <si>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</si>
  <si>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</si>
  <si>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</si>
  <si>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</si>
  <si>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</si>
  <si>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</si>
  <si>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</si>
  <si>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</si>
  <si>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</si>
  <si>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</si>
  <si>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</si>
  <si>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</si>
  <si>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</si>
  <si>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</si>
  <si>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</si>
  <si>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</si>
  <si>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</si>
  <si>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</si>
  <si>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</si>
  <si>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</si>
  <si>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</si>
  <si>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</si>
  <si>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</si>
  <si>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</si>
  <si>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</si>
  <si>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</si>
  <si>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</si>
  <si>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</si>
  <si>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</si>
  <si>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</si>
  <si>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</si>
  <si>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</si>
  <si>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</si>
  <si>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</si>
  <si>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</si>
  <si>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</si>
  <si>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</si>
  <si>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</si>
  <si>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</si>
  <si>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</si>
  <si>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</si>
  <si>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</si>
  <si>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</si>
  <si>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</si>
  <si>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</si>
  <si>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</si>
  <si>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</si>
  <si>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</si>
  <si>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</si>
  <si>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</si>
  <si>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</si>
  <si>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</si>
  <si>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</si>
  <si>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</si>
  <si>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</si>
  <si>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</si>
  <si>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</si>
  <si>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</si>
  <si>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</si>
  <si>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</si>
  <si>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</si>
  <si>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</si>
  <si>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</si>
  <si>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</si>
  <si>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</si>
  <si>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</si>
  <si>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</si>
  <si>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</si>
  <si>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</si>
  <si>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</si>
  <si>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</si>
  <si>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</si>
  <si>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</si>
  <si>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</si>
  <si>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</si>
  <si>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</si>
  <si>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</si>
  <si>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</si>
  <si>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</si>
  <si>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</si>
  <si>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</si>
  <si>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</si>
  <si>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</si>
  <si>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</si>
  <si>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</si>
  <si>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</si>
  <si>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</si>
  <si>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</si>
  <si>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</si>
  <si>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</si>
  <si>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</si>
  <si>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</si>
  <si>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</si>
  <si>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</si>
  <si>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</si>
  <si>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</si>
  <si>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</si>
  <si>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</si>
  <si>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</si>
  <si>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</si>
  <si>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</si>
  <si>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</si>
  <si>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</si>
  <si>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</si>
  <si>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</si>
  <si>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</si>
  <si>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</si>
  <si>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</si>
  <si>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</si>
  <si>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</si>
  <si>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</si>
  <si>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</si>
  <si>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</si>
  <si>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</si>
  <si>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</si>
  <si>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</si>
  <si>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</si>
  <si>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</si>
  <si>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</si>
  <si>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</si>
  <si>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</si>
  <si>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</si>
  <si>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</si>
  <si>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</si>
  <si>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</si>
  <si>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</si>
  <si>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</si>
  <si>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</si>
  <si>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</si>
  <si>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</si>
  <si>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</si>
  <si>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</si>
  <si>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</si>
  <si>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</si>
  <si>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</si>
  <si>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</si>
  <si>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</si>
  <si>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</si>
  <si>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</si>
  <si>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</si>
  <si>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</si>
  <si>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</si>
  <si>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</si>
  <si>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</si>
  <si>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</si>
  <si>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</si>
  <si>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</si>
  <si>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</si>
  <si>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</si>
  <si>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</si>
  <si>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</si>
  <si>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</si>
  <si>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</si>
  <si>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</si>
  <si>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</si>
  <si>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</si>
  <si>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</si>
  <si>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</si>
  <si>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</si>
  <si>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</si>
  <si>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</si>
  <si>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</si>
  <si>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</si>
  <si>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</si>
  <si>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</si>
  <si>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</si>
  <si>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</si>
  <si>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</si>
  <si>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</si>
  <si>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</si>
  <si>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</si>
  <si>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</si>
  <si>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</si>
  <si>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</si>
  <si>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</si>
  <si>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</si>
  <si>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</si>
  <si>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</si>
  <si>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</si>
  <si>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</si>
  <si>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</si>
  <si>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</si>
  <si>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</si>
  <si>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</si>
  <si>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</si>
  <si>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</si>
  <si>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</si>
  <si>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</si>
  <si>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</si>
  <si>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</si>
  <si>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</si>
  <si>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</si>
  <si>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</si>
  <si>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</si>
  <si>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</si>
  <si>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</si>
  <si>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</si>
  <si>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</si>
  <si>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</si>
  <si>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</si>
  <si>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</si>
  <si>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</si>
  <si>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</si>
  <si>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</si>
  <si>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</si>
  <si>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</si>
  <si>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</si>
  <si>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</si>
  <si>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</si>
  <si>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</si>
  <si>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</si>
  <si>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</si>
  <si>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</si>
  <si>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</si>
  <si>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</si>
  <si>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</si>
  <si>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</si>
  <si>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</si>
  <si>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</si>
  <si>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</si>
  <si>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</si>
  <si>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</si>
  <si>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</si>
  <si>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</si>
  <si>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</si>
  <si>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</si>
  <si>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</si>
  <si>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</si>
  <si>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</si>
  <si>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</si>
  <si>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</si>
  <si>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</si>
  <si>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</si>
  <si>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</si>
  <si>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</si>
  <si>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</si>
  <si>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</si>
  <si>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</si>
  <si>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</si>
  <si>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</si>
  <si>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</si>
  <si>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</si>
  <si>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</si>
  <si>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</si>
  <si>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</si>
  <si>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</si>
  <si>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</si>
  <si>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</si>
  <si>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</si>
  <si>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</si>
  <si>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</si>
  <si>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</si>
  <si>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</si>
  <si>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</si>
  <si>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</si>
  <si>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</si>
  <si>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</si>
  <si>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</si>
  <si>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</si>
  <si>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</si>
  <si>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</si>
  <si>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</si>
  <si>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</si>
  <si>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</si>
  <si>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</si>
  <si>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</si>
  <si>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</si>
  <si>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</si>
  <si>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</si>
  <si>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</si>
  <si>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</si>
  <si>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</si>
  <si>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</si>
  <si>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</si>
  <si>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</si>
  <si>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</si>
  <si>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</si>
  <si>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</si>
  <si>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</si>
  <si>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</si>
  <si>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</si>
  <si>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</si>
  <si>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</si>
  <si>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</si>
  <si>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</si>
  <si>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</si>
  <si>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</si>
  <si>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</si>
  <si>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</si>
  <si>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</si>
  <si>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</si>
  <si>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</si>
  <si>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</si>
  <si>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</si>
  <si>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</si>
  <si>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</si>
  <si>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</si>
  <si>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</si>
  <si>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</si>
  <si>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</si>
  <si>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</si>
  <si>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</si>
  <si>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</si>
  <si>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</si>
  <si>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</si>
  <si>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</si>
  <si>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</si>
  <si>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</si>
  <si>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</si>
  <si>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</si>
  <si>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</si>
  <si>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</si>
  <si>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</si>
  <si>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</si>
  <si>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</si>
  <si>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</si>
  <si>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</si>
  <si>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</si>
  <si>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</si>
  <si>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</si>
  <si>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</si>
  <si>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</si>
  <si>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</si>
  <si>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</si>
  <si>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</si>
  <si>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</si>
  <si>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</si>
  <si>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</si>
  <si>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</si>
  <si>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</si>
  <si>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</si>
  <si>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</si>
  <si>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</si>
  <si>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</si>
  <si>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</si>
  <si>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</si>
  <si>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</si>
  <si>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</si>
  <si>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</si>
  <si>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</si>
  <si>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</si>
  <si>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</si>
  <si>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</si>
  <si>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</si>
  <si>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</si>
  <si>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</si>
  <si>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</si>
  <si>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</si>
  <si>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</si>
  <si>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</si>
  <si>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</si>
  <si>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</si>
  <si>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</si>
  <si>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</si>
  <si>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</si>
  <si>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</si>
  <si>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</si>
  <si>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</si>
  <si>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</si>
  <si>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</si>
  <si>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</si>
  <si>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</si>
  <si>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</si>
  <si>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</si>
  <si>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</si>
  <si>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</si>
  <si>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</si>
  <si>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</si>
  <si>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</si>
  <si>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</si>
  <si>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</si>
  <si>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</si>
  <si>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</si>
  <si>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</si>
  <si>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</si>
  <si>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</si>
  <si>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</si>
  <si>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</si>
  <si>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</si>
  <si>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</si>
  <si>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</si>
  <si>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</si>
  <si>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</si>
  <si>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</si>
  <si>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</si>
  <si>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</si>
  <si>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</si>
  <si>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</si>
  <si>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</si>
  <si>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</si>
  <si>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</si>
  <si>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</si>
  <si>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</si>
  <si>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</si>
  <si>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</si>
  <si>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</si>
  <si>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</si>
  <si>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</si>
  <si>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</si>
  <si>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</si>
  <si>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</si>
  <si>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</si>
  <si>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</si>
  <si>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</si>
  <si>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</si>
  <si>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</si>
  <si>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</si>
  <si>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</si>
  <si>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</si>
  <si>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</si>
  <si>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</si>
  <si>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</si>
  <si>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</si>
  <si>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</si>
  <si>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</si>
  <si>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</si>
  <si>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</si>
  <si>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</si>
  <si>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</si>
  <si>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</si>
  <si>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</si>
  <si>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</si>
  <si>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</si>
  <si>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</si>
  <si>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</si>
  <si>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</si>
  <si>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</si>
  <si>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</si>
  <si>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</si>
  <si>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</si>
  <si>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</si>
  <si>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</si>
  <si>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</si>
  <si>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</si>
  <si>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</si>
  <si>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</si>
  <si>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</si>
  <si>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</si>
  <si>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</si>
  <si>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</si>
  <si>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</si>
  <si>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</si>
  <si>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</si>
  <si>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</si>
  <si>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</si>
  <si>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</si>
  <si>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</si>
  <si>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</si>
  <si>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</si>
  <si>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</si>
  <si>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</si>
  <si>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</si>
  <si>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</si>
  <si>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</si>
  <si>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</si>
  <si>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</si>
  <si>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</si>
  <si>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</si>
  <si>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</si>
  <si>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</si>
  <si>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</si>
  <si>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</si>
  <si>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</si>
  <si>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</si>
  <si>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</si>
  <si>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</si>
  <si>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</si>
  <si>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</si>
  <si>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</si>
  <si>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</si>
  <si>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</si>
  <si>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</si>
  <si>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</si>
  <si>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</si>
  <si>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</si>
  <si>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</si>
  <si>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</si>
  <si>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</si>
  <si>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</si>
  <si>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</si>
  <si>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</si>
  <si>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</si>
  <si>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</si>
  <si>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</si>
  <si>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</si>
  <si>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</si>
  <si>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</si>
  <si>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</si>
  <si>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</si>
  <si>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</si>
  <si>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</si>
  <si>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</si>
  <si>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</si>
  <si>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</si>
  <si>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</si>
  <si>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</si>
  <si>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</si>
  <si>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</si>
  <si>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</si>
  <si>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</si>
  <si>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</si>
  <si>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</si>
  <si>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</si>
  <si>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</si>
  <si>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</si>
  <si>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</si>
  <si>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</si>
  <si>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</si>
  <si>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</si>
  <si>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</si>
  <si>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</si>
  <si>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</si>
  <si>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</si>
  <si>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</si>
  <si>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</si>
  <si>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</si>
  <si>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</si>
  <si>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</si>
  <si>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</si>
  <si>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</si>
  <si>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</si>
  <si>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</si>
  <si>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</si>
  <si>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</si>
  <si>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</si>
  <si>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</si>
  <si>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</si>
  <si>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</si>
  <si>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</si>
  <si>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</si>
  <si>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</si>
  <si>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</si>
  <si>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</si>
  <si>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</si>
  <si>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</si>
  <si>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</si>
  <si>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</si>
  <si>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</si>
  <si>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</si>
  <si>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</si>
  <si>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</si>
  <si>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</si>
  <si>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</si>
  <si>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</si>
  <si>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</si>
  <si>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</si>
  <si>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</si>
  <si>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</si>
  <si>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</si>
  <si>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</si>
  <si>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</si>
  <si>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</si>
  <si>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</si>
  <si>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</si>
  <si>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</si>
  <si>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</si>
  <si>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</si>
  <si>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</si>
  <si>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</si>
  <si>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</si>
  <si>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</si>
  <si>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</si>
  <si>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</si>
  <si>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</si>
  <si>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</si>
  <si>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</si>
  <si>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</si>
  <si>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</si>
  <si>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</si>
  <si>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</si>
  <si>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</si>
  <si>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</si>
  <si>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</si>
  <si>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</si>
  <si>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</si>
  <si>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</si>
  <si>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</si>
  <si>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</si>
  <si>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</si>
  <si>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</si>
  <si>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</si>
  <si>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</si>
  <si>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</si>
  <si>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</si>
  <si>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</si>
  <si>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</si>
  <si>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</si>
  <si>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</si>
  <si>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</si>
  <si>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</si>
  <si>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</si>
  <si>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</si>
  <si>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</si>
  <si>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</si>
  <si>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</si>
  <si>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</si>
  <si>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</si>
  <si>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</si>
  <si>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</si>
  <si>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</si>
  <si>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</si>
  <si>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</si>
  <si>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</si>
  <si>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</si>
  <si>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</si>
  <si>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</si>
  <si>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</si>
  <si>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</si>
  <si>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</si>
  <si>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</si>
  <si>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</si>
  <si>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</si>
  <si>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</si>
  <si>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</si>
  <si>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</si>
  <si>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</si>
  <si>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</si>
  <si>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</si>
  <si>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</si>
  <si>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</si>
  <si>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</si>
  <si>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</si>
  <si>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</si>
  <si>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</si>
  <si>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</si>
  <si>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</si>
  <si>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</si>
  <si>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</si>
  <si>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</si>
  <si>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</si>
  <si>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</si>
  <si>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</si>
  <si>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</si>
  <si>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</si>
  <si>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</si>
  <si>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</si>
  <si>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</si>
  <si>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</si>
  <si>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</si>
  <si>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</si>
  <si>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</si>
  <si>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</si>
  <si>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</si>
  <si>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</si>
  <si>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</si>
  <si>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</si>
  <si>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</si>
  <si>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</si>
  <si>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</si>
  <si>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</si>
  <si>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</si>
  <si>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</si>
  <si>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</si>
  <si>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</si>
  <si>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</si>
  <si>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</si>
  <si>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</si>
  <si>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</si>
  <si>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</si>
  <si>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</si>
  <si>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</si>
  <si>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</si>
  <si>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</si>
  <si>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</si>
  <si>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</si>
  <si>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</si>
  <si>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</si>
  <si>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</si>
  <si>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</si>
  <si>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</si>
  <si>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</si>
  <si>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</si>
  <si>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</si>
  <si>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</si>
  <si>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</si>
  <si>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</si>
  <si>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</si>
  <si>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</si>
  <si>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</si>
  <si>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</si>
  <si>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</si>
  <si>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</si>
  <si>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</si>
  <si>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</si>
  <si>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</si>
  <si>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</si>
  <si>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</si>
  <si>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</si>
  <si>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</si>
  <si>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</si>
  <si>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</si>
  <si>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</si>
  <si>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</si>
  <si>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</si>
  <si>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</si>
  <si>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</si>
  <si>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</si>
  <si>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</si>
  <si>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</si>
  <si>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</si>
  <si>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</si>
  <si>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</si>
  <si>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</si>
  <si>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</si>
  <si>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</si>
  <si>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</si>
  <si>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</si>
  <si>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</si>
  <si>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</si>
  <si>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</si>
  <si>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</si>
  <si>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</si>
  <si>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</si>
  <si>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</si>
  <si>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</si>
  <si>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</si>
  <si>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</si>
  <si>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</si>
  <si>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</si>
  <si>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</si>
  <si>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</si>
  <si>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</si>
  <si>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</si>
  <si>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</si>
  <si>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</si>
  <si>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</si>
  <si>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</si>
  <si>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</si>
  <si>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</si>
  <si>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</si>
  <si>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</si>
  <si>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</si>
  <si>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</si>
  <si>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</si>
  <si>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</si>
  <si>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</si>
  <si>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</si>
  <si>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</si>
  <si>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</si>
  <si>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</si>
  <si>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</si>
  <si>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</si>
  <si>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</si>
  <si>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</si>
  <si>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</si>
  <si>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</si>
  <si>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</si>
  <si>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</si>
  <si>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</si>
  <si>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</si>
  <si>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</si>
  <si>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</si>
  <si>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</si>
  <si>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</si>
  <si>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</si>
  <si>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</si>
  <si>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</si>
  <si>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</si>
  <si>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</si>
  <si>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</si>
  <si>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</si>
  <si>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</si>
  <si>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</si>
  <si>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</si>
  <si>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</si>
  <si>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</si>
  <si>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</si>
  <si>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</si>
  <si>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</si>
  <si>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</si>
  <si>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</si>
  <si>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</si>
  <si>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</si>
  <si>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</si>
  <si>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</si>
  <si>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</si>
  <si>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</si>
  <si>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</si>
  <si>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</si>
  <si>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</si>
  <si>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</si>
  <si>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</si>
  <si>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</si>
  <si>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</si>
  <si>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</si>
  <si>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</si>
  <si>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</si>
  <si>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</si>
  <si>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</si>
  <si>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</si>
  <si>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</si>
  <si>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</si>
  <si>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</si>
  <si>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</si>
  <si>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</si>
  <si>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</si>
  <si>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</si>
  <si>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</si>
  <si>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</si>
  <si>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</si>
  <si>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</si>
  <si>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</si>
  <si>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</si>
  <si>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</si>
  <si>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</si>
  <si>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</si>
  <si>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</si>
  <si>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</si>
  <si>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</si>
  <si>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</si>
  <si>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</si>
  <si>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</si>
  <si>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</si>
  <si>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</si>
  <si>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</si>
  <si>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</si>
  <si>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</si>
  <si>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</si>
  <si>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</si>
  <si>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</si>
  <si>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</si>
  <si>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</si>
  <si>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</si>
  <si>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</si>
  <si>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</si>
  <si>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</si>
  <si>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</si>
  <si>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</si>
  <si>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</si>
  <si>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</si>
  <si>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</si>
  <si>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</si>
  <si>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</si>
  <si>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</si>
  <si>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</si>
  <si>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</si>
  <si>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</si>
  <si>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</si>
  <si>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</si>
  <si>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</si>
  <si>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</si>
  <si>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</si>
  <si>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</si>
  <si>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</si>
  <si>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</si>
  <si>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</si>
  <si>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</si>
  <si>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</si>
  <si>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</si>
  <si>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</si>
  <si>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</si>
  <si>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</si>
  <si>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</si>
  <si>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</si>
  <si>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</si>
  <si>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</si>
  <si>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</si>
  <si>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</si>
  <si>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</si>
  <si>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</si>
  <si>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</si>
  <si>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</si>
  <si>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</si>
  <si>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</si>
  <si>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</si>
  <si>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</si>
  <si>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</si>
  <si>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</si>
  <si>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</si>
  <si>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</si>
  <si>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</si>
  <si>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</si>
  <si>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</si>
  <si>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</si>
  <si>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</si>
  <si>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</si>
  <si>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</si>
  <si>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</si>
  <si>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</si>
  <si>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</si>
  <si>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</si>
  <si>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</si>
  <si>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</si>
  <si>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</si>
  <si>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</si>
  <si>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</si>
  <si>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</si>
  <si>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</si>
  <si>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</si>
  <si>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</si>
  <si>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</si>
  <si>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</si>
  <si>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</si>
  <si>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</si>
  <si>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</si>
  <si>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</si>
  <si>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</si>
  <si>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</si>
  <si>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</si>
  <si>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</si>
  <si>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</si>
  <si>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</si>
  <si>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</si>
  <si>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</si>
  <si>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</si>
  <si>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</si>
  <si>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</si>
  <si>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</si>
  <si>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</si>
  <si>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</si>
  <si>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</si>
  <si>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</si>
  <si>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</si>
  <si>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</si>
  <si>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</si>
  <si>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</si>
  <si>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</si>
  <si>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</si>
  <si>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</si>
  <si>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</si>
  <si>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</si>
  <si>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</si>
  <si>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</si>
  <si>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</si>
  <si>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</si>
  <si>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</si>
  <si>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</si>
  <si>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</si>
  <si>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</si>
  <si>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</si>
  <si>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</si>
  <si>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</si>
  <si>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</si>
  <si>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</si>
  <si>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</si>
  <si>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</si>
  <si>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</si>
  <si>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</si>
  <si>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</si>
  <si>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</si>
  <si>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</si>
  <si>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</si>
  <si>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</si>
  <si>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</si>
  <si>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</si>
  <si>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</si>
  <si>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</si>
  <si>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</si>
  <si>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</si>
  <si>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</si>
  <si>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</si>
  <si>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</si>
  <si>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</si>
  <si>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</si>
  <si>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</si>
  <si>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</si>
  <si>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</si>
  <si>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</si>
  <si>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</si>
  <si>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</si>
  <si>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</si>
  <si>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</si>
  <si>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</si>
  <si>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</si>
  <si>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</si>
  <si>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</si>
  <si>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</si>
  <si>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</si>
  <si>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</si>
  <si>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</si>
  <si>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</si>
  <si>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</si>
  <si>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</si>
  <si>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</si>
  <si>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</si>
  <si>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</si>
  <si>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</si>
  <si>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</si>
  <si>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</si>
  <si>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</si>
  <si>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</si>
  <si>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</si>
  <si>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</si>
  <si>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</si>
  <si>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</si>
  <si>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</si>
  <si>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</si>
  <si>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</si>
  <si>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</si>
  <si>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</si>
  <si>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</si>
  <si>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</si>
  <si>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</si>
  <si>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</si>
  <si>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</si>
  <si>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</si>
  <si>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</si>
  <si>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</si>
  <si>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</si>
  <si>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</si>
  <si>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</si>
  <si>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</si>
  <si>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</si>
  <si>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</si>
  <si>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</si>
  <si>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</si>
  <si>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</si>
  <si>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</si>
  <si>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</si>
  <si>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</si>
  <si>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</si>
  <si>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</si>
  <si>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</si>
  <si>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</si>
  <si>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</si>
  <si>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</si>
  <si>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</si>
  <si>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</si>
  <si>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</si>
  <si>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</si>
  <si>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</si>
  <si>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</si>
  <si>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</si>
  <si>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</si>
  <si>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</si>
  <si>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</si>
  <si>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</si>
  <si>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</si>
  <si>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</si>
  <si>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</si>
  <si>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</si>
  <si>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</si>
  <si>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</si>
  <si>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</si>
  <si>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</si>
  <si>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</si>
  <si>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</si>
  <si>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</si>
  <si>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</si>
  <si>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</si>
  <si>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</si>
  <si>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</si>
  <si>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</si>
  <si>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</si>
  <si>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</si>
  <si>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</si>
  <si>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</si>
  <si>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</si>
  <si>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</si>
  <si>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</si>
  <si>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</si>
  <si>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</si>
  <si>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</si>
  <si>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</si>
  <si>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</si>
  <si>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</si>
  <si>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</si>
  <si>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</si>
  <si>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</si>
  <si>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</si>
  <si>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</si>
  <si>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</si>
  <si>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</si>
  <si>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</si>
  <si>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</si>
  <si>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</si>
  <si>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</si>
  <si>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</si>
  <si>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</si>
  <si>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</si>
  <si>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</si>
  <si>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</si>
  <si>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</si>
  <si>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</si>
  <si>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</si>
  <si>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</si>
  <si>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</si>
  <si>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</si>
  <si>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</si>
  <si>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</si>
  <si>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</si>
  <si>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</si>
  <si>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</si>
  <si>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</si>
  <si>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</si>
  <si>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</si>
  <si>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</si>
  <si>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</si>
  <si>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</si>
  <si>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</si>
  <si>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</si>
  <si>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</si>
  <si>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</si>
  <si>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</si>
  <si>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</si>
  <si>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</si>
  <si>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</si>
  <si>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</si>
  <si>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</si>
  <si>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</si>
  <si>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</si>
  <si>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</si>
  <si>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</si>
  <si>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</si>
  <si>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</si>
  <si>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</si>
  <si>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</si>
  <si>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</si>
  <si>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</si>
  <si>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</si>
  <si>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</si>
  <si>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</si>
  <si>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</si>
  <si>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</si>
  <si>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</si>
  <si>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</si>
  <si>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</si>
  <si>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</si>
  <si>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</si>
  <si>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</si>
  <si>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</si>
  <si>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</si>
  <si>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</si>
  <si>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</si>
  <si>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</si>
  <si>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</si>
  <si>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</si>
  <si>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</si>
  <si>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</si>
  <si>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</si>
  <si>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</si>
  <si>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</si>
  <si>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</si>
  <si>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</si>
  <si>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</si>
  <si>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</si>
  <si>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</si>
  <si>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</si>
  <si>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</si>
  <si>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</si>
  <si>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</si>
  <si>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</si>
  <si>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</si>
  <si>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</si>
  <si>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</si>
  <si>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</si>
  <si>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</si>
  <si>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</si>
  <si>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</si>
  <si>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</si>
  <si>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</si>
  <si>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</si>
  <si>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</si>
  <si>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</si>
  <si>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</si>
  <si>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</si>
  <si>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</si>
  <si>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</si>
  <si>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</si>
  <si>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</si>
  <si>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</si>
  <si>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</si>
  <si>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</si>
  <si>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</si>
  <si>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</si>
  <si>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</si>
  <si>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</si>
  <si>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</si>
  <si>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</si>
  <si>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</si>
  <si>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</si>
  <si>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</si>
  <si>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</si>
  <si>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</si>
  <si>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</si>
  <si>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</si>
  <si>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</si>
  <si>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</si>
  <si>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</si>
  <si>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</si>
  <si>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</si>
  <si>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</si>
  <si>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</si>
  <si>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</si>
  <si>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</si>
  <si>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</si>
  <si>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</si>
  <si>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</si>
  <si>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</si>
  <si>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</si>
  <si>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</si>
  <si>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</si>
  <si>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</si>
  <si>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</si>
  <si>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</si>
  <si>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</si>
  <si>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</si>
  <si>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</si>
  <si>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</si>
  <si>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</si>
  <si>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</si>
  <si>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</si>
  <si>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</si>
  <si>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</si>
  <si>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</si>
  <si>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</si>
  <si>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</si>
  <si>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</si>
  <si>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</si>
  <si>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</si>
  <si>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</si>
  <si>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</si>
  <si>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</si>
  <si>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</si>
  <si>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</si>
  <si>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</si>
  <si>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</si>
  <si>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</si>
  <si>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</si>
  <si>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</si>
  <si>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</si>
  <si>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</si>
  <si>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</si>
  <si>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</si>
  <si>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</si>
  <si>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</si>
  <si>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</si>
  <si>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</si>
  <si>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</si>
  <si>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</si>
  <si>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</si>
  <si>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</si>
  <si>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</si>
  <si>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</si>
  <si>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</si>
  <si>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</si>
  <si>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</si>
  <si>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</si>
  <si>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</si>
  <si>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</si>
  <si>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</si>
  <si>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</si>
  <si>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</si>
  <si>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</si>
  <si>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</si>
  <si>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</si>
  <si>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</si>
  <si>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</si>
  <si>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</si>
  <si>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</si>
  <si>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</si>
  <si>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</si>
  <si>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</si>
  <si>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</si>
  <si>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</si>
  <si>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</si>
  <si>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</si>
  <si>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</si>
  <si>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</si>
  <si>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</si>
  <si>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</si>
  <si>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</si>
  <si>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</si>
  <si>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</si>
  <si>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</si>
  <si>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</si>
  <si>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</si>
  <si>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</si>
  <si>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</si>
  <si>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</si>
  <si>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</si>
  <si>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</si>
  <si>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</si>
  <si>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</si>
  <si>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</si>
  <si>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</si>
  <si>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</si>
  <si>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</si>
  <si>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</si>
  <si>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</si>
  <si>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</si>
  <si>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</si>
  <si>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</si>
  <si>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</si>
  <si>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</si>
  <si>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</si>
  <si>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</si>
  <si>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</si>
  <si>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</si>
  <si>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</si>
  <si>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</si>
  <si>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</si>
  <si>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</si>
  <si>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</si>
  <si>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</si>
  <si>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</si>
  <si>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</si>
  <si>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</si>
  <si>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</si>
  <si>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</si>
  <si>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</si>
  <si>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</si>
  <si>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</si>
  <si>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</si>
  <si>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</si>
  <si>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</si>
  <si>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</si>
  <si>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</si>
  <si>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</si>
  <si>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</si>
  <si>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</si>
  <si>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</si>
  <si>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</si>
  <si>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</si>
  <si>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</si>
  <si>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</si>
  <si>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</si>
  <si>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</si>
  <si>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</si>
  <si>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</si>
  <si>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</si>
  <si>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</si>
  <si>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</si>
  <si>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</si>
  <si>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</si>
  <si>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</si>
  <si>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</si>
  <si>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</si>
  <si>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</si>
  <si>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</si>
  <si>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</si>
  <si>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</si>
  <si>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</si>
  <si>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</si>
  <si>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</si>
  <si>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</si>
  <si>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</si>
  <si>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</si>
  <si>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</si>
  <si>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</si>
  <si>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</si>
  <si>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</si>
  <si>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</si>
  <si>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</si>
  <si>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</si>
  <si>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</si>
  <si>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</si>
  <si>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</si>
  <si>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</si>
  <si>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</si>
  <si>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</si>
  <si>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</si>
  <si>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</si>
  <si>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</si>
  <si>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</si>
  <si>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</si>
  <si>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</si>
  <si>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</si>
  <si>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</si>
  <si>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</si>
  <si>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</si>
  <si>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</si>
  <si>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</si>
  <si>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</si>
  <si>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</si>
  <si>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</si>
  <si>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</si>
  <si>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</si>
  <si>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</si>
  <si>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</si>
  <si>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</si>
  <si>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</si>
  <si>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</si>
  <si>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</si>
  <si>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</si>
  <si>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</si>
  <si>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</si>
  <si>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</si>
  <si>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</si>
  <si>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</si>
  <si>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</si>
  <si>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</si>
  <si>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</si>
  <si>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</si>
  <si>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</si>
  <si>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</si>
  <si>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</si>
  <si>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</si>
  <si>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</si>
  <si>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</si>
  <si>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</si>
  <si>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</si>
  <si>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</si>
  <si>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</si>
  <si>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</si>
  <si>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</si>
  <si>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</si>
  <si>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</si>
  <si>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</si>
  <si>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</si>
  <si>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</si>
  <si>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</si>
  <si>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</si>
  <si>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</si>
  <si>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</si>
  <si>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</si>
  <si>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</si>
  <si>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</si>
  <si>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</si>
  <si>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</si>
  <si>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</si>
  <si>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</si>
  <si>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</si>
  <si>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</si>
  <si>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</si>
  <si>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</si>
  <si>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</si>
  <si>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</si>
  <si>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</si>
  <si>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</si>
  <si>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</si>
  <si>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</si>
  <si>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</si>
  <si>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</si>
  <si>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</si>
  <si>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</si>
  <si>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</si>
  <si>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</si>
  <si>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</si>
  <si>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</si>
  <si>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</si>
  <si>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</si>
  <si>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</si>
  <si>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</si>
  <si>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</si>
  <si>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</si>
  <si>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</si>
  <si>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</si>
  <si>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</si>
  <si>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</si>
  <si>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</si>
  <si>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</si>
  <si>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</si>
  <si>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</si>
  <si>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</si>
  <si>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</si>
  <si>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</si>
  <si>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</si>
  <si>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</si>
  <si>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</si>
  <si>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</si>
  <si>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</si>
  <si>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</si>
  <si>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</si>
  <si>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</si>
  <si>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</si>
  <si>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</si>
  <si>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</si>
  <si>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</si>
  <si>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</si>
  <si>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</si>
  <si>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</si>
  <si>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</si>
  <si>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</si>
  <si>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</si>
  <si>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</si>
  <si>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</si>
  <si>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</si>
  <si>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</si>
  <si>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</si>
  <si>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</si>
  <si>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</si>
  <si>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</si>
  <si>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</si>
  <si>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</si>
  <si>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</si>
  <si>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</si>
  <si>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</si>
  <si>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</si>
  <si>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</si>
  <si>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</si>
  <si>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</si>
  <si>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</si>
  <si>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</si>
  <si>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</si>
  <si>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</si>
  <si>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</si>
  <si>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</si>
  <si>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</si>
  <si>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</si>
  <si>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</si>
  <si>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</si>
  <si>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</si>
  <si>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</si>
  <si>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</si>
  <si>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</si>
  <si>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</si>
  <si>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</si>
  <si>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</si>
  <si>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</si>
  <si>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</si>
  <si>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</si>
  <si>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</si>
  <si>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</si>
  <si>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</si>
  <si>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</si>
  <si>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</si>
  <si>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</si>
  <si>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</si>
  <si>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</si>
  <si>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</si>
  <si>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</si>
  <si>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</si>
  <si>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</si>
  <si>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</si>
  <si>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</si>
  <si>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</si>
  <si>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</si>
  <si>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</si>
  <si>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</si>
  <si>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</si>
  <si>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</si>
  <si>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</si>
  <si>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</si>
  <si>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</si>
  <si>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</si>
  <si>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</si>
  <si>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</si>
  <si>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</si>
  <si>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</si>
  <si>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</si>
  <si>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</si>
  <si>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</si>
  <si>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</si>
  <si>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</si>
  <si>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</si>
  <si>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</si>
  <si>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</si>
  <si>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</si>
  <si>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</si>
  <si>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</si>
  <si>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</si>
  <si>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</si>
  <si>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</si>
  <si>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</si>
  <si>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</si>
  <si>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</si>
  <si>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</si>
  <si>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</si>
  <si>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</si>
  <si>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</si>
  <si>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</si>
  <si>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</si>
  <si>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</si>
  <si>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</si>
  <si>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</si>
  <si>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</si>
  <si>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</si>
  <si>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</si>
  <si>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</si>
  <si>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</si>
  <si>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</si>
  <si>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</si>
  <si>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</si>
  <si>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</si>
  <si>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</si>
  <si>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</si>
  <si>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</si>
  <si>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</si>
  <si>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</si>
  <si>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</si>
  <si>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</si>
  <si>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</si>
  <si>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</si>
  <si>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</si>
  <si>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</si>
  <si>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</si>
  <si>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</si>
  <si>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</si>
  <si>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</si>
  <si>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</si>
  <si>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</si>
  <si>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</si>
  <si>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</si>
  <si>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</si>
  <si>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</si>
  <si>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</si>
  <si>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</si>
  <si>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</si>
  <si>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</si>
  <si>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</si>
  <si>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</si>
  <si>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</si>
  <si>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</si>
  <si>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</si>
  <si>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</si>
  <si>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</si>
  <si>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</si>
  <si>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</si>
  <si>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</si>
  <si>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</si>
  <si>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</si>
  <si>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</si>
  <si>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</si>
  <si>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</si>
  <si>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</si>
  <si>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</si>
  <si>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</si>
  <si>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</si>
  <si>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</si>
  <si>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</si>
  <si>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</si>
  <si>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</si>
  <si>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</si>
  <si>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</si>
  <si>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</si>
  <si>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</si>
  <si>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</si>
  <si>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</si>
  <si>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</si>
  <si>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</si>
  <si>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</si>
  <si>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</si>
  <si>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</si>
  <si>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</si>
  <si>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</si>
  <si>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</si>
  <si>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</si>
  <si>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</si>
  <si>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</si>
  <si>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</si>
  <si>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</si>
  <si>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</si>
  <si>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</si>
  <si>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</si>
  <si>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</si>
  <si>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</si>
  <si>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</si>
  <si>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</si>
  <si>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</si>
  <si>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</si>
  <si>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</si>
  <si>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</si>
  <si>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</si>
  <si>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</si>
  <si>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</si>
  <si>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</si>
  <si>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</si>
  <si>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</si>
  <si>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</si>
  <si>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</si>
  <si>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</si>
  <si>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</si>
  <si>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</si>
  <si>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</si>
  <si>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</si>
  <si>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</si>
  <si>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</si>
  <si>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</si>
  <si>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</si>
  <si>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</si>
  <si>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</si>
  <si>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</si>
  <si>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</si>
  <si>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</si>
  <si>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</si>
  <si>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</si>
  <si>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</si>
  <si>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</si>
  <si>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</si>
  <si>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</si>
  <si>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</si>
  <si>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</si>
  <si>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</si>
  <si>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</si>
  <si>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</si>
  <si>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</si>
  <si>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</si>
  <si>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</si>
  <si>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</si>
  <si>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</si>
  <si>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</si>
  <si>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</si>
  <si>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</si>
  <si>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</si>
  <si>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</si>
  <si>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</si>
  <si>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</si>
  <si>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</si>
  <si>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</si>
  <si>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</si>
  <si>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</si>
  <si>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</si>
  <si>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</si>
  <si>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</si>
  <si>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</si>
  <si>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</si>
  <si>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</si>
  <si>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</si>
  <si>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</si>
  <si>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</si>
  <si>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</si>
  <si>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</si>
  <si>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</si>
  <si>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</si>
  <si>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</si>
  <si>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</si>
  <si>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</si>
  <si>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</si>
  <si>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</si>
  <si>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</si>
  <si>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</si>
  <si>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</si>
  <si>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</si>
  <si>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</si>
  <si>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</si>
  <si>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</si>
  <si>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</si>
  <si>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</si>
  <si>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</si>
  <si>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</si>
  <si>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</si>
  <si>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</si>
  <si>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</si>
  <si>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</si>
  <si>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</si>
  <si>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</si>
  <si>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</si>
  <si>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</si>
  <si>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</si>
  <si>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</si>
  <si>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</si>
  <si>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</si>
  <si>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</si>
  <si>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</si>
  <si>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</si>
  <si>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</si>
  <si>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</si>
  <si>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</si>
  <si>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</si>
  <si>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</si>
  <si>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</si>
  <si>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</si>
  <si>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</si>
  <si>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</si>
  <si>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</si>
  <si>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</si>
  <si>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</si>
  <si>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</si>
  <si>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</si>
  <si>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</si>
  <si>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</si>
  <si>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</si>
  <si>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</si>
  <si>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</si>
  <si>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</si>
  <si>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</si>
  <si>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</si>
  <si>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</si>
  <si>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</si>
  <si>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</si>
  <si>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</si>
  <si>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</si>
  <si>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</si>
  <si>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</si>
  <si>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</si>
  <si>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</si>
  <si>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</si>
  <si>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</si>
  <si>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</si>
  <si>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</si>
  <si>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</si>
  <si>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</si>
  <si>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</si>
  <si>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</si>
  <si>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</si>
  <si>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</si>
  <si>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</si>
  <si>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</si>
  <si>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</si>
  <si>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</si>
  <si>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</si>
  <si>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</si>
  <si>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</si>
  <si>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</si>
  <si>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</si>
  <si>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</si>
  <si>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</si>
  <si>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</si>
  <si>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</si>
  <si>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</si>
  <si>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</si>
  <si>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</si>
  <si>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</si>
  <si>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</si>
  <si>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</si>
  <si>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</si>
  <si>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</si>
  <si>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</si>
  <si>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</si>
  <si>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</si>
  <si>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</si>
  <si>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</si>
  <si>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</si>
  <si>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</si>
  <si>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</si>
  <si>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</si>
  <si>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</si>
  <si>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</si>
  <si>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</si>
  <si>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</si>
  <si>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</si>
  <si>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</si>
  <si>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</si>
  <si>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</si>
  <si>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</si>
  <si>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</si>
  <si>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</si>
  <si>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</si>
  <si>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</si>
  <si>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</si>
  <si>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</si>
  <si>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</si>
  <si>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</si>
  <si>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</si>
  <si>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</si>
  <si>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</si>
  <si>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</si>
  <si>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</si>
  <si>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</si>
  <si>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</si>
  <si>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</si>
  <si>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</si>
  <si>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</si>
  <si>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</si>
  <si>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</si>
  <si>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</si>
  <si>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</si>
  <si>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</si>
  <si>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</si>
  <si>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</si>
  <si>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</si>
  <si>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</si>
  <si>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</si>
  <si>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</si>
  <si>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</si>
  <si>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</si>
  <si>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</si>
  <si>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</si>
  <si>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</si>
  <si>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</si>
  <si>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</si>
  <si>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</si>
  <si>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</si>
  <si>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</si>
  <si>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</si>
  <si>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</si>
  <si>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</si>
  <si>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</si>
  <si>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</si>
  <si>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</si>
  <si>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</si>
  <si>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</si>
  <si>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</si>
  <si>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</si>
  <si>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</si>
  <si>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</si>
  <si>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</si>
  <si>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</si>
  <si>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</si>
  <si>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</si>
  <si>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</si>
  <si>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</si>
  <si>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</si>
  <si>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</si>
  <si>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</si>
  <si>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</si>
  <si>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</si>
  <si>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</si>
  <si>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</si>
  <si>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</si>
  <si>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</si>
  <si>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</si>
  <si>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</si>
  <si>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</si>
  <si>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</si>
  <si>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</si>
  <si>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</si>
  <si>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</si>
  <si>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</si>
  <si>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</si>
  <si>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</si>
  <si>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</si>
  <si>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</si>
  <si>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</si>
  <si>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</si>
  <si>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</si>
  <si>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</si>
  <si>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</si>
  <si>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</si>
  <si>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</si>
  <si>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</si>
  <si>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</si>
  <si>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</si>
  <si>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</si>
  <si>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</si>
  <si>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</si>
  <si>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</si>
  <si>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</si>
  <si>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</si>
  <si>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</si>
  <si>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</si>
  <si>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</si>
  <si>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</si>
  <si>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</si>
  <si>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</si>
  <si>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</si>
  <si>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</si>
  <si>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</si>
  <si>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</si>
  <si>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</si>
  <si>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</si>
  <si>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</si>
  <si>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</si>
  <si>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</si>
  <si>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</si>
  <si>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</si>
  <si>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</si>
  <si>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</si>
  <si>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</si>
  <si>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</si>
  <si>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</si>
  <si>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</si>
  <si>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</si>
  <si>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</si>
  <si>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</si>
  <si>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</si>
  <si>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</si>
  <si>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</si>
  <si>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</si>
  <si>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</si>
  <si>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</si>
  <si>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</si>
  <si>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</si>
  <si>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</si>
  <si>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</si>
  <si>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</si>
  <si>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</si>
  <si>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</si>
  <si>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</si>
  <si>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</si>
  <si>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</si>
  <si>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</si>
  <si>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</si>
  <si>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</si>
  <si>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</si>
  <si>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</si>
  <si>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</si>
  <si>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</si>
  <si>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</si>
  <si>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</si>
  <si>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</si>
  <si>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</si>
  <si>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</si>
  <si>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</si>
  <si>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</si>
  <si>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</si>
  <si>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</si>
  <si>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</si>
  <si>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</si>
  <si>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</si>
  <si>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</si>
  <si>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</si>
  <si>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</si>
  <si>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</si>
  <si>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</si>
  <si>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</si>
  <si>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</si>
  <si>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</si>
  <si>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</si>
  <si>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</si>
  <si>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</si>
  <si>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</si>
  <si>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</si>
  <si>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</si>
  <si>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</si>
  <si>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</si>
  <si>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</si>
  <si>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</si>
  <si>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</si>
  <si>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</si>
  <si>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</si>
  <si>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</si>
  <si>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</si>
  <si>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</si>
  <si>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</si>
  <si>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</si>
  <si>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</si>
  <si>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</si>
  <si>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</si>
  <si>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</si>
  <si>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</si>
  <si>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</si>
  <si>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</si>
  <si>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</si>
  <si>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</si>
  <si>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</si>
  <si>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</si>
  <si>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</si>
  <si>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</si>
  <si>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</si>
  <si>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</si>
  <si>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</si>
  <si>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</si>
  <si>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</si>
  <si>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</si>
  <si>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</si>
  <si>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</si>
  <si>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</si>
  <si>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</si>
  <si>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</si>
  <si>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</si>
  <si>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</si>
  <si>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</si>
  <si>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</si>
  <si>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</si>
  <si>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</si>
  <si>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</si>
  <si>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</si>
  <si>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</si>
  <si>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</si>
  <si>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</si>
  <si>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</si>
  <si>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</si>
  <si>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</si>
  <si>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</si>
  <si>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</si>
  <si>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</si>
  <si>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</si>
  <si>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</si>
  <si>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</si>
  <si>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</si>
  <si>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</si>
  <si>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</si>
  <si>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</si>
  <si>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</si>
  <si>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</si>
  <si>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</si>
  <si>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</si>
  <si>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</si>
  <si>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</si>
  <si>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</si>
  <si>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</si>
  <si>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</si>
  <si>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</si>
  <si>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</si>
  <si>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</si>
  <si>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</si>
  <si>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</si>
  <si>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</si>
  <si>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</si>
  <si>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</si>
  <si>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</si>
  <si>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</si>
  <si>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</si>
  <si>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</si>
  <si>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</si>
  <si>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</si>
  <si>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</si>
  <si>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</si>
  <si>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</si>
  <si>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</si>
  <si>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</si>
  <si>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</si>
  <si>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</si>
  <si>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</si>
  <si>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</si>
  <si>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</si>
  <si>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</si>
  <si>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</si>
  <si>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</si>
  <si>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</si>
  <si>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</si>
  <si>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</si>
  <si>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</si>
  <si>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</si>
  <si>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</si>
  <si>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</si>
  <si>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</si>
  <si>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</si>
  <si>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</si>
  <si>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</si>
  <si>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</si>
  <si>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</si>
  <si>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</si>
  <si>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</si>
  <si>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</si>
  <si>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</si>
  <si>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</si>
  <si>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</si>
  <si>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</si>
  <si>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</si>
  <si>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</si>
  <si>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</si>
  <si>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</si>
  <si>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</si>
  <si>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</si>
  <si>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</si>
  <si>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</si>
  <si>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</si>
  <si>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</si>
  <si>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</si>
  <si>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</si>
  <si>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</si>
  <si>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</si>
  <si>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</si>
  <si>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</si>
  <si>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</si>
  <si>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</si>
  <si>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</si>
  <si>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</si>
  <si>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</si>
  <si>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</si>
  <si>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</si>
  <si>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</si>
  <si>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</si>
  <si>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</si>
  <si>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</si>
  <si>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</si>
  <si>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</si>
  <si>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</si>
  <si>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</si>
  <si>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</si>
  <si>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</si>
  <si>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</si>
  <si>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</si>
  <si>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</si>
  <si>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</si>
  <si>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</si>
  <si>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</si>
  <si>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</si>
  <si>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</si>
  <si>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</si>
  <si>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</si>
  <si>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</si>
  <si>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</si>
  <si>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</si>
  <si>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</si>
  <si>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</si>
  <si>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</si>
  <si>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</si>
  <si>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</si>
  <si>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</si>
  <si>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</si>
  <si>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</si>
  <si>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</si>
  <si>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</si>
  <si>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</si>
  <si>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</si>
  <si>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</si>
  <si>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</si>
  <si>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</si>
  <si>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</si>
  <si>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</si>
  <si>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</si>
  <si>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</si>
  <si>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</si>
  <si>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</si>
  <si>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</si>
  <si>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</si>
  <si>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</si>
  <si>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</si>
  <si>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</si>
  <si>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</si>
  <si>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</si>
  <si>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</si>
  <si>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</si>
  <si>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</si>
  <si>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</si>
  <si>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</si>
  <si>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</si>
  <si>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</si>
  <si>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</si>
  <si>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</si>
  <si>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</si>
  <si>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</si>
  <si>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</si>
  <si>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</si>
  <si>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</si>
  <si>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</si>
  <si>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</si>
  <si>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</si>
  <si>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</si>
  <si>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</si>
  <si>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</si>
  <si>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</si>
  <si>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</si>
  <si>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</si>
  <si>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</si>
  <si>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</si>
  <si>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</si>
  <si>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</si>
  <si>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</si>
  <si>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</si>
  <si>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</si>
  <si>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</si>
  <si>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</si>
  <si>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</si>
  <si>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</si>
  <si>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</si>
  <si>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</si>
  <si>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</si>
  <si>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</si>
  <si>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</si>
  <si>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</si>
  <si>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</si>
  <si>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</si>
  <si>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</si>
  <si>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</si>
  <si>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</si>
  <si>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</si>
  <si>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</si>
  <si>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</si>
  <si>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</si>
  <si>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</si>
  <si>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</si>
  <si>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</si>
  <si>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</si>
  <si>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</si>
  <si>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</si>
  <si>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</si>
  <si>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</si>
  <si>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</si>
  <si>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</si>
  <si>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</si>
  <si>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</si>
  <si>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</si>
  <si>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</si>
  <si>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</si>
  <si>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</si>
  <si>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</si>
  <si>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</si>
  <si>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</si>
  <si>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</si>
  <si>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</si>
  <si>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</si>
  <si>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</si>
  <si>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</si>
  <si>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</si>
  <si>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</si>
  <si>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</si>
  <si>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</si>
  <si>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</si>
  <si>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</si>
  <si>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</si>
  <si>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</si>
  <si>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</si>
  <si>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</si>
  <si>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</si>
  <si>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</si>
  <si>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</si>
  <si>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</si>
  <si>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</si>
  <si>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</si>
  <si>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</si>
  <si>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</si>
  <si>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</si>
  <si>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</si>
  <si>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</si>
  <si>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</si>
  <si>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</si>
  <si>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</si>
  <si>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</si>
  <si>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</si>
  <si>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</si>
  <si>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</si>
  <si>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</si>
  <si>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</si>
  <si>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</si>
  <si>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</si>
  <si>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</si>
  <si>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</si>
  <si>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</si>
  <si>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</si>
  <si>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</si>
  <si>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</si>
  <si>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</si>
  <si>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</si>
  <si>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</si>
  <si>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</si>
  <si>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</si>
  <si>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</si>
  <si>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</si>
  <si>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</si>
  <si>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</si>
  <si>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</si>
  <si>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</si>
  <si>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</si>
  <si>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</si>
  <si>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</si>
  <si>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</si>
  <si>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</si>
  <si>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</si>
  <si>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</si>
  <si>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</si>
  <si>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</si>
  <si>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</si>
  <si>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</si>
  <si>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</si>
  <si>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</si>
  <si>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</si>
  <si>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</si>
  <si>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</si>
  <si>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</si>
  <si>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</si>
  <si>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</si>
  <si>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</si>
  <si>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</si>
  <si>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</si>
  <si>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</si>
  <si>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</si>
  <si>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</si>
  <si>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</si>
  <si>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</si>
  <si>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</si>
  <si>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</si>
  <si>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</si>
  <si>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</si>
  <si>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</si>
  <si>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</si>
  <si>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</si>
  <si>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</si>
  <si>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</si>
  <si>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</si>
  <si>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</si>
  <si>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</si>
  <si>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</si>
  <si>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</si>
  <si>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</si>
  <si>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</si>
  <si>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</si>
  <si>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</si>
  <si>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</si>
  <si>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</si>
  <si>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</si>
  <si>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</si>
  <si>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</si>
  <si>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</si>
  <si>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</si>
  <si>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</si>
  <si>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</si>
  <si>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</si>
  <si>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</si>
  <si>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</si>
  <si>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</si>
  <si>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</si>
  <si>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</si>
  <si>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</si>
  <si>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</si>
  <si>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</si>
  <si>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</si>
  <si>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</si>
  <si>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</si>
  <si>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</si>
  <si>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</si>
  <si>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</si>
  <si>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</si>
  <si>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</si>
  <si>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</si>
  <si>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</si>
  <si>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</si>
  <si>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</si>
  <si>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</si>
  <si>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</si>
  <si>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</si>
  <si>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</si>
  <si>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</si>
  <si>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</si>
  <si>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</si>
  <si>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</si>
  <si>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</si>
  <si>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</si>
  <si>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</si>
  <si>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</si>
  <si>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</si>
  <si>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</si>
  <si>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</si>
  <si>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</si>
  <si>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</si>
  <si>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</si>
  <si>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</si>
  <si>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</si>
  <si>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</si>
  <si>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</si>
  <si>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</si>
  <si>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</si>
  <si>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</si>
  <si>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</si>
  <si>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</si>
  <si>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</si>
  <si>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</si>
  <si>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</si>
  <si>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</si>
  <si>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</si>
  <si>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</si>
  <si>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</si>
  <si>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</si>
  <si>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</si>
  <si>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</si>
  <si>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</si>
  <si>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</si>
  <si>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</si>
  <si>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</si>
  <si>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</si>
  <si>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</si>
  <si>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</si>
  <si>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</si>
  <si>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</si>
  <si>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</si>
  <si>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</si>
  <si>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</si>
  <si>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</si>
  <si>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</si>
  <si>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</si>
  <si>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</si>
  <si>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</si>
  <si>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</si>
  <si>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</si>
  <si>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</si>
  <si>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</si>
  <si>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</si>
  <si>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</si>
  <si>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</si>
  <si>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</si>
  <si>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</si>
  <si>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</si>
  <si>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</si>
  <si>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</si>
  <si>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</si>
  <si>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</si>
  <si>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</si>
  <si>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</si>
  <si>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</si>
  <si>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</si>
  <si>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</si>
  <si>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</si>
  <si>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</si>
  <si>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</si>
  <si>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</si>
  <si>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</si>
  <si>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</si>
  <si>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</si>
  <si>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</si>
  <si>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</si>
  <si>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</si>
  <si>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</si>
  <si>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</si>
  <si>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</si>
  <si>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</si>
  <si>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</si>
  <si>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</si>
  <si>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</si>
  <si>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</si>
  <si>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</si>
  <si>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</si>
  <si>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</si>
  <si>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</si>
  <si>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</si>
  <si>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</si>
  <si>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</si>
  <si>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</si>
  <si>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</si>
  <si>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</si>
  <si>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</si>
  <si>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</si>
  <si>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</si>
  <si>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</si>
  <si>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</si>
  <si>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</si>
  <si>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</si>
  <si>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</si>
  <si>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</si>
  <si>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</si>
  <si>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</si>
  <si>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</si>
  <si>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</si>
  <si>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</si>
  <si>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</si>
  <si>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</si>
  <si>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</si>
  <si>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</si>
  <si>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</si>
  <si>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</si>
  <si>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</si>
  <si>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</si>
  <si>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</si>
  <si>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</si>
  <si>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</si>
  <si>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</si>
  <si>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</si>
  <si>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</si>
  <si>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</si>
  <si>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</si>
  <si>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</si>
  <si>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</si>
  <si>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</si>
  <si>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</si>
  <si>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</si>
  <si>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</si>
  <si>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</si>
  <si>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</si>
  <si>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</si>
  <si>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</si>
  <si>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</si>
  <si>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</si>
  <si>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</si>
  <si>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</si>
  <si>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</si>
  <si>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</si>
  <si>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</si>
  <si>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</si>
  <si>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</si>
  <si>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</si>
  <si>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</si>
  <si>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</si>
  <si>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</si>
  <si>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</si>
  <si>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</si>
  <si>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</si>
  <si>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</si>
  <si>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</si>
  <si>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</si>
  <si>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</si>
  <si>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</si>
  <si>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</si>
  <si>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</si>
  <si>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</si>
  <si>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</si>
  <si>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</si>
  <si>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</si>
  <si>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</si>
  <si>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</si>
  <si>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</si>
  <si>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</si>
  <si>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</si>
  <si>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</si>
  <si>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</si>
  <si>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</si>
  <si>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</si>
  <si>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</si>
  <si>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</si>
  <si>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</si>
  <si>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</si>
  <si>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</si>
  <si>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</si>
  <si>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</si>
  <si>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</si>
  <si>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</si>
  <si>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</si>
  <si>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</si>
  <si>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</si>
  <si>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</si>
  <si>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</si>
  <si>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</si>
  <si>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</si>
  <si>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</si>
  <si>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</si>
  <si>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</si>
  <si>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</si>
  <si>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</si>
  <si>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</si>
  <si>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</si>
  <si>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</si>
  <si>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</si>
  <si>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</si>
  <si>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</si>
  <si>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</si>
  <si>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</si>
  <si>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</si>
  <si>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</si>
  <si>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</si>
  <si>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</si>
  <si>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</si>
  <si>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</si>
  <si>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</si>
  <si>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</si>
  <si>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</si>
  <si>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</si>
  <si>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</si>
  <si>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</si>
  <si>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</si>
  <si>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</si>
  <si>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</si>
  <si>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</si>
  <si>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</si>
  <si>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</si>
  <si>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</si>
  <si>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</si>
  <si>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</si>
  <si>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</si>
  <si>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</si>
  <si>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</si>
  <si>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</si>
  <si>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</si>
  <si>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</si>
  <si>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</si>
  <si>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</si>
  <si>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</si>
  <si>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</si>
  <si>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</si>
  <si>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</si>
  <si>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</si>
  <si>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</si>
  <si>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</si>
  <si>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</si>
  <si>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</si>
  <si>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</si>
  <si>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</si>
  <si>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</si>
  <si>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</si>
  <si>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</si>
  <si>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</si>
  <si>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</si>
  <si>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</si>
  <si>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</si>
  <si>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</si>
  <si>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</si>
  <si>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</si>
  <si>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</si>
  <si>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</si>
  <si>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</si>
  <si>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</si>
  <si>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</si>
  <si>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</si>
  <si>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</si>
  <si>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</si>
  <si>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</si>
  <si>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</si>
  <si>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</si>
  <si>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</si>
  <si>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</si>
  <si>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</si>
  <si>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</si>
  <si>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</si>
  <si>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</si>
  <si>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</si>
  <si>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</si>
  <si>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</si>
  <si>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</si>
  <si>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</si>
  <si>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</si>
  <si>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</si>
  <si>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</si>
  <si>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</si>
  <si>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</si>
  <si>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</si>
  <si>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</si>
  <si>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</si>
  <si>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</si>
  <si>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</si>
  <si>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</si>
  <si>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</si>
  <si>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</si>
  <si>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</si>
  <si>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</si>
  <si>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</si>
  <si>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</si>
  <si>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</si>
  <si>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</si>
  <si>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</si>
  <si>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</si>
  <si>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</si>
  <si>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</si>
  <si>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</si>
  <si>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</si>
  <si>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</si>
  <si>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</si>
  <si>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</si>
  <si>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</si>
  <si>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</si>
  <si>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</si>
  <si>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</si>
  <si>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</si>
  <si>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</si>
  <si>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</si>
  <si>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</si>
  <si>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</si>
  <si>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</si>
  <si>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</si>
  <si>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</si>
  <si>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</si>
  <si>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</si>
  <si>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</si>
  <si>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</si>
  <si>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</si>
  <si>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</si>
  <si>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</si>
  <si>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</si>
  <si>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</si>
  <si>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</si>
  <si>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</si>
  <si>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</si>
  <si>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</si>
  <si>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</si>
  <si>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</si>
  <si>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</si>
  <si>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</si>
  <si>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</si>
  <si>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</si>
  <si>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</si>
  <si>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</si>
  <si>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</si>
  <si>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</si>
  <si>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</si>
  <si>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</si>
  <si>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</si>
  <si>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</si>
  <si>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</si>
  <si>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</si>
  <si>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</si>
  <si>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</si>
  <si>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</si>
  <si>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</si>
  <si>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</si>
  <si>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</si>
  <si>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</si>
  <si>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</si>
  <si>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</si>
  <si>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</si>
  <si>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</si>
  <si>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</si>
  <si>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</si>
  <si>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</si>
  <si>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</si>
  <si>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</si>
  <si>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</si>
  <si>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</si>
  <si>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</si>
  <si>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</si>
  <si>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</si>
  <si>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</si>
  <si>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</si>
  <si>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</si>
  <si>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</si>
  <si>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</si>
  <si>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</si>
  <si>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</si>
  <si>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</si>
  <si>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</si>
  <si>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</si>
  <si>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</si>
  <si>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</si>
  <si>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</si>
  <si>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</si>
  <si>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</si>
  <si>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</si>
  <si>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</si>
  <si>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</si>
  <si>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</si>
  <si>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</si>
  <si>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</si>
  <si>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</si>
  <si>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</si>
  <si>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</si>
  <si>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</si>
  <si>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</si>
  <si>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</si>
  <si>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</si>
  <si>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</si>
  <si>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</si>
  <si>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</si>
  <si>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</si>
  <si>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</si>
  <si>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</si>
  <si>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</si>
  <si>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</si>
  <si>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</si>
  <si>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</si>
  <si>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</si>
  <si>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</si>
  <si>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</si>
  <si>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</si>
  <si>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</si>
  <si>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</si>
  <si>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</si>
  <si>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</si>
  <si>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</si>
  <si>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</si>
  <si>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</si>
  <si>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</si>
  <si>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</si>
  <si>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</si>
  <si>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</si>
  <si>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</si>
  <si>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</si>
  <si>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</si>
  <si>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</si>
  <si>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</si>
  <si>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</si>
  <si>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</si>
  <si>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</si>
  <si>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</si>
  <si>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</si>
  <si>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</si>
  <si>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</si>
  <si>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</si>
  <si>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</si>
  <si>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</si>
  <si>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</si>
  <si>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</si>
  <si>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</si>
  <si>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</si>
  <si>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</si>
  <si>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</si>
  <si>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</si>
  <si>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</si>
  <si>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</si>
  <si>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</si>
  <si>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</si>
  <si>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</si>
  <si>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</si>
  <si>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</si>
  <si>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</si>
  <si>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</si>
  <si>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</si>
  <si>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</si>
  <si>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</si>
  <si>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</si>
  <si>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</si>
  <si>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</si>
  <si>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</si>
  <si>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</si>
  <si>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</si>
  <si>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</si>
  <si>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</si>
  <si>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</si>
  <si>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</si>
  <si>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</si>
  <si>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</si>
  <si>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</si>
  <si>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</si>
  <si>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</si>
  <si>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</si>
  <si>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</si>
  <si>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</si>
  <si>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</si>
  <si>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</si>
  <si>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</si>
  <si>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</si>
  <si>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</si>
  <si>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</si>
  <si>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</si>
  <si>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</si>
  <si>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</si>
  <si>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</si>
  <si>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</si>
  <si>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</si>
  <si>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</si>
  <si>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</si>
  <si>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</si>
  <si>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</si>
  <si>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</si>
  <si>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</si>
  <si>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</si>
  <si>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</si>
  <si>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</si>
  <si>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</si>
  <si>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</si>
  <si>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</si>
  <si>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</si>
  <si>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</si>
  <si>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</si>
  <si>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</si>
  <si>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</si>
  <si>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</si>
  <si>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</si>
  <si>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</si>
  <si>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</si>
  <si>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</si>
  <si>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</si>
  <si>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</si>
  <si>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</si>
  <si>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</si>
  <si>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</si>
  <si>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</si>
  <si>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</si>
  <si>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</si>
  <si>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</si>
  <si>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</si>
  <si>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</si>
  <si>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</si>
  <si>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</si>
  <si>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</si>
  <si>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</si>
  <si>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</si>
  <si>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</si>
  <si>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</si>
  <si>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</si>
  <si>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</si>
  <si>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</si>
  <si>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</si>
  <si>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</si>
  <si>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</si>
  <si>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</si>
  <si>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</si>
  <si>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</si>
  <si>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</si>
  <si>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</si>
  <si>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</si>
  <si>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</si>
  <si>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</si>
  <si>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</si>
  <si>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</si>
  <si>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</si>
  <si>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</si>
  <si>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</si>
  <si>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</si>
  <si>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</si>
  <si>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</si>
  <si>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</si>
  <si>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</si>
  <si>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</si>
  <si>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</si>
  <si>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</si>
  <si>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</si>
  <si>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</si>
  <si>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</si>
  <si>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</si>
  <si>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</si>
  <si>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</si>
  <si>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</si>
  <si>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</si>
  <si>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</si>
  <si>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</si>
  <si>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</si>
  <si>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</si>
  <si>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</si>
  <si>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</si>
  <si>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</si>
  <si>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</si>
  <si>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</si>
  <si>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</si>
  <si>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</si>
  <si>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</si>
  <si>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</si>
  <si>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</si>
  <si>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</si>
  <si>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</si>
  <si>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</si>
  <si>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</si>
  <si>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</si>
  <si>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</si>
  <si>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</si>
  <si>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</si>
  <si>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</si>
  <si>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</si>
  <si>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</si>
  <si>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</si>
  <si>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</si>
  <si>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</si>
  <si>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</si>
  <si>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</si>
  <si>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</si>
  <si>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</si>
  <si>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</si>
  <si>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</si>
  <si>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</si>
  <si>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</si>
  <si>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</si>
  <si>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</si>
  <si>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</si>
  <si>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</si>
  <si>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</si>
  <si>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</si>
  <si>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</si>
  <si>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</si>
  <si>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</si>
  <si>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</si>
  <si>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</si>
  <si>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</si>
  <si>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</si>
  <si>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</si>
  <si>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</si>
  <si>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</si>
  <si>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</si>
  <si>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</si>
  <si>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</si>
  <si>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</si>
  <si>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</si>
  <si>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</si>
  <si>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</si>
  <si>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</si>
  <si>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</si>
  <si>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</si>
  <si>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</si>
  <si>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</si>
  <si>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</si>
  <si>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</si>
  <si>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</si>
  <si>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</si>
  <si>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</si>
  <si>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</si>
  <si>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</si>
  <si>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</si>
  <si>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</si>
  <si>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</si>
  <si>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</si>
  <si>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</si>
  <si>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</si>
  <si>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</si>
  <si>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</si>
  <si>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</si>
  <si>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</si>
  <si>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</si>
  <si>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</si>
  <si>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</si>
  <si>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</si>
  <si>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</si>
  <si>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</si>
  <si>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</si>
  <si>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</si>
  <si>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</si>
  <si>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</si>
  <si>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</si>
  <si>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</si>
  <si>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</si>
  <si>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</si>
  <si>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</si>
  <si>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</si>
  <si>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</si>
  <si>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</si>
  <si>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</si>
  <si>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</si>
  <si>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</si>
  <si>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</si>
  <si>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</si>
  <si>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</si>
  <si>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</si>
  <si>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</si>
  <si>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</si>
  <si>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</si>
  <si>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</si>
  <si>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</si>
  <si>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</si>
  <si>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</si>
  <si>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</si>
  <si>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</si>
  <si>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</si>
  <si>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</si>
  <si>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</si>
  <si>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</si>
  <si>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</si>
  <si>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</si>
  <si>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</si>
  <si>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</si>
  <si>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</si>
  <si>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</si>
  <si>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</si>
  <si>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</si>
  <si>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</si>
  <si>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</si>
  <si>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</si>
  <si>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</si>
  <si>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</si>
  <si>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</si>
  <si>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</si>
  <si>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</si>
  <si>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</si>
  <si>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</si>
  <si>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</si>
  <si>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</si>
  <si>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</si>
  <si>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</si>
  <si>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</si>
  <si>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</si>
  <si>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</si>
  <si>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</si>
  <si>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</si>
  <si>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</si>
  <si>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</si>
  <si>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</si>
  <si>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</si>
  <si>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</si>
  <si>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</si>
  <si>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</si>
  <si>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</si>
  <si>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</si>
  <si>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</si>
  <si>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</si>
  <si>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</si>
  <si>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</si>
  <si>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</si>
  <si>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</si>
  <si>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</si>
  <si>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</si>
  <si>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</si>
  <si>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</si>
  <si>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</si>
  <si>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</si>
  <si>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</si>
  <si>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</si>
  <si>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</si>
  <si>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</si>
  <si>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</si>
  <si>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</si>
  <si>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</si>
  <si>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</si>
  <si>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</si>
  <si>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</si>
  <si>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</si>
  <si>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</si>
  <si>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</si>
  <si>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</si>
  <si>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</si>
  <si>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</si>
  <si>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</si>
  <si>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</si>
  <si>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</si>
  <si>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</si>
  <si>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</si>
  <si>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</si>
  <si>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</si>
  <si>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</si>
  <si>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</si>
  <si>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</si>
  <si>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</si>
  <si>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</si>
  <si>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</si>
  <si>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</si>
  <si>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</si>
  <si>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</si>
  <si>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</si>
  <si>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</si>
  <si>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</si>
  <si>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</si>
  <si>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</si>
  <si>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</si>
  <si>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</si>
  <si>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</si>
  <si>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</si>
  <si>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</si>
  <si>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</si>
  <si>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</si>
  <si>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</si>
  <si>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</si>
  <si>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</si>
  <si>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</si>
  <si>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</si>
  <si>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</si>
  <si>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</si>
  <si>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</si>
  <si>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</si>
  <si>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</si>
  <si>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</si>
  <si>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</si>
  <si>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</si>
  <si>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</si>
  <si>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</si>
  <si>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</si>
  <si>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</si>
  <si>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</si>
  <si>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</si>
  <si>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</si>
  <si>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</si>
  <si>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</si>
  <si>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</si>
  <si>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</si>
  <si>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</si>
  <si>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</si>
  <si>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</si>
  <si>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</si>
  <si>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</si>
  <si>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</si>
  <si>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</si>
  <si>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</si>
  <si>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</si>
  <si>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</si>
  <si>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</si>
  <si>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</si>
  <si>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</si>
  <si>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</si>
  <si>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</si>
  <si>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</si>
  <si>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</si>
  <si>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</si>
  <si>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</si>
  <si>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</si>
  <si>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</si>
  <si>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</si>
  <si>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</si>
  <si>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</si>
  <si>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</si>
  <si>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</si>
  <si>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</si>
  <si>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</si>
  <si>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</si>
  <si>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</si>
  <si>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</si>
  <si>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</si>
  <si>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</si>
  <si>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</si>
  <si>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</si>
  <si>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</si>
  <si>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</si>
  <si>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</si>
  <si>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</si>
  <si>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</si>
  <si>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</si>
  <si>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</si>
  <si>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</si>
  <si>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</si>
  <si>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</si>
  <si>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</si>
  <si>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</si>
  <si>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</si>
  <si>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</si>
  <si>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</si>
  <si>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</si>
  <si>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</si>
  <si>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</si>
  <si>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</si>
  <si>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</si>
  <si>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</si>
  <si>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</si>
  <si>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</si>
  <si>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</si>
  <si>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</si>
  <si>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</si>
  <si>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</si>
  <si>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</si>
  <si>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</si>
  <si>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</si>
  <si>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</si>
  <si>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</si>
  <si>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</si>
  <si>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</si>
  <si>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</si>
  <si>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</si>
  <si>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</si>
  <si>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</si>
  <si>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</si>
  <si>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</si>
  <si>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</si>
  <si>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</si>
  <si>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</si>
  <si>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</si>
  <si>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</si>
  <si>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</si>
  <si>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</si>
  <si>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</si>
  <si>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</si>
  <si>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</si>
  <si>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</si>
  <si>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</si>
  <si>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</si>
  <si>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</si>
  <si>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</si>
  <si>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</si>
  <si>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</si>
  <si>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</si>
  <si>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</si>
  <si>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</si>
  <si>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</si>
  <si>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</si>
  <si>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</si>
  <si>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</si>
  <si>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</si>
  <si>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</si>
  <si>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</si>
  <si>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</si>
  <si>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</si>
  <si>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</si>
  <si>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</si>
  <si>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</si>
  <si>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</si>
  <si>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</si>
  <si>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</si>
  <si>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</si>
  <si>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</si>
  <si>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</si>
  <si>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</si>
  <si>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</si>
  <si>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</si>
  <si>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</si>
  <si>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</si>
  <si>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</si>
  <si>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</si>
  <si>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</si>
  <si>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</si>
  <si>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</si>
  <si>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</si>
  <si>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</si>
  <si>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</si>
  <si>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</si>
  <si>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</si>
  <si>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</si>
  <si>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</si>
  <si>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</si>
  <si>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</si>
  <si>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</si>
  <si>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</si>
  <si>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</si>
  <si>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</si>
  <si>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</si>
  <si>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</si>
  <si>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</si>
  <si>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</si>
  <si>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</si>
  <si>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</si>
  <si>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</si>
  <si>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</si>
  <si>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</si>
  <si>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</si>
  <si>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</si>
  <si>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</si>
  <si>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</si>
  <si>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</si>
  <si>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</si>
  <si>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</si>
  <si>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</si>
  <si>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</si>
  <si>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</si>
  <si>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</si>
  <si>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</si>
  <si>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</si>
  <si>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</si>
  <si>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</si>
  <si>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</si>
  <si>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</si>
  <si>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</si>
  <si>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</si>
  <si>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</si>
  <si>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</si>
  <si>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</si>
  <si>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</si>
  <si>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</si>
  <si>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</si>
  <si>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</si>
  <si>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</si>
  <si>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</si>
  <si>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</si>
  <si>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</si>
  <si>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</si>
  <si>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</si>
  <si>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</si>
  <si>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</si>
  <si>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</si>
  <si>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</si>
  <si>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</si>
  <si>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</si>
  <si>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</si>
  <si>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</si>
  <si>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</si>
  <si>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</si>
  <si>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</si>
  <si>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</si>
  <si>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</si>
  <si>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</si>
  <si>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</si>
  <si>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</si>
  <si>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</si>
  <si>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</si>
  <si>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</si>
  <si>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</si>
  <si>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</si>
  <si>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</si>
  <si>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</si>
  <si>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</si>
  <si>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</si>
  <si>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</si>
  <si>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</si>
  <si>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</si>
  <si>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</si>
  <si>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</si>
  <si>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</si>
  <si>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</si>
  <si>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</si>
  <si>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</si>
  <si>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</si>
  <si>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</si>
  <si>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</si>
  <si>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</si>
  <si>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</si>
  <si>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</si>
  <si>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</si>
  <si>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</si>
  <si>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</si>
  <si>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</si>
  <si>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</si>
  <si>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</si>
  <si>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</si>
  <si>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</si>
  <si>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</si>
  <si>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</si>
  <si>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</si>
  <si>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</si>
  <si>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</si>
  <si>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</si>
  <si>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</si>
  <si>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</si>
  <si>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</si>
  <si>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</si>
  <si>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</si>
  <si>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</si>
  <si>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</si>
  <si>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</si>
  <si>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</si>
  <si>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</si>
  <si>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</si>
  <si>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</si>
  <si>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</si>
  <si>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</si>
  <si>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</si>
  <si>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</si>
  <si>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</si>
  <si>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</si>
  <si>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</si>
  <si>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</si>
  <si>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</si>
  <si>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</si>
  <si>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</si>
  <si>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</si>
  <si>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</si>
  <si>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</si>
  <si>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</si>
  <si>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</si>
  <si>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</si>
  <si>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</si>
  <si>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</si>
  <si>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</si>
  <si>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</si>
  <si>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</si>
  <si>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</si>
  <si>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</si>
  <si>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</si>
  <si>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</si>
  <si>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</si>
  <si>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</si>
  <si>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</si>
  <si>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</si>
  <si>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</si>
  <si>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</si>
  <si>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</si>
  <si>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</si>
  <si>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</si>
  <si>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</si>
  <si>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</si>
  <si>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</si>
  <si>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</si>
  <si>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</si>
  <si>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</si>
  <si>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</si>
  <si>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</si>
  <si>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</si>
  <si>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</si>
  <si>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</si>
  <si>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</si>
  <si>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</si>
  <si>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</si>
  <si>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</si>
  <si>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</si>
  <si>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</si>
  <si>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</si>
  <si>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</si>
  <si>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</si>
  <si>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</si>
  <si>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</si>
  <si>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</si>
  <si>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</si>
  <si>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</si>
  <si>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</si>
  <si>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</si>
  <si>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</si>
  <si>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</si>
  <si>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</si>
  <si>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</si>
  <si>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</si>
  <si>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</si>
  <si>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</si>
  <si>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</si>
  <si>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</si>
  <si>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</si>
  <si>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</si>
  <si>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</si>
  <si>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</si>
  <si>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</si>
  <si>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</si>
  <si>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</si>
  <si>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</si>
  <si>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</si>
  <si>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</si>
  <si>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</si>
  <si>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</si>
  <si>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</si>
  <si>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</si>
  <si>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</si>
  <si>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</si>
  <si>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</si>
  <si>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</si>
  <si>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</si>
  <si>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</si>
  <si>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</si>
  <si>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</si>
  <si>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</si>
  <si>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</si>
  <si>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</si>
  <si>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</si>
  <si>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</si>
  <si>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</si>
  <si>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</si>
  <si>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</si>
  <si>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</si>
  <si>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</si>
  <si>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</si>
  <si>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</si>
  <si>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</si>
  <si>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</si>
  <si>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</si>
  <si>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</si>
  <si>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</si>
  <si>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</si>
  <si>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</si>
  <si>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</si>
  <si>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</si>
  <si>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</si>
  <si>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</si>
  <si>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</si>
  <si>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</si>
  <si>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</si>
  <si>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</si>
  <si>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</si>
  <si>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</si>
  <si>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</si>
  <si>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</si>
  <si>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</si>
  <si>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</si>
  <si>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</si>
  <si>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</si>
  <si>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</si>
  <si>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</si>
  <si>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</si>
  <si>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</si>
  <si>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</si>
  <si>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</si>
  <si>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</si>
  <si>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</si>
  <si>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</si>
  <si>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</si>
  <si>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</si>
  <si>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</si>
  <si>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</si>
  <si>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</si>
  <si>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</si>
  <si>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</si>
  <si>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</si>
  <si>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</si>
  <si>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</si>
  <si>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</si>
  <si>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</si>
  <si>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</si>
  <si>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</si>
  <si>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</si>
  <si>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</si>
  <si>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</si>
  <si>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</si>
  <si>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</si>
  <si>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</si>
  <si>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</si>
  <si>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</si>
  <si>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</si>
  <si>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</si>
  <si>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</si>
  <si>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</si>
  <si>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</si>
  <si>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</si>
  <si>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</si>
  <si>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</si>
  <si>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</si>
  <si>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</si>
  <si>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</si>
  <si>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</si>
  <si>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</si>
  <si>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</si>
  <si>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</si>
  <si>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</si>
  <si>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</si>
  <si>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</si>
  <si>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</si>
  <si>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</si>
  <si>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</si>
  <si>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</si>
  <si>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</si>
  <si>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</si>
  <si>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</si>
  <si>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</si>
  <si>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</si>
  <si>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</si>
  <si>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</si>
  <si>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</si>
  <si>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</si>
  <si>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</si>
  <si>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</si>
  <si>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</si>
  <si>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</si>
  <si>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</si>
  <si>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</si>
  <si>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</si>
  <si>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</si>
  <si>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</si>
  <si>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</si>
  <si>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</si>
  <si>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</si>
  <si>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</si>
  <si>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</si>
  <si>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</si>
  <si>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</si>
  <si>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</si>
  <si>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</si>
  <si>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</si>
  <si>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</si>
  <si>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</si>
  <si>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</si>
  <si>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</si>
  <si>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</si>
  <si>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</si>
  <si>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</si>
  <si>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</si>
  <si>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</si>
  <si>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</si>
  <si>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</si>
  <si>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</si>
  <si>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</si>
  <si>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</si>
  <si>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</si>
  <si>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</si>
  <si>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</si>
  <si>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</si>
  <si>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</si>
  <si>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</si>
  <si>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</si>
  <si>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</si>
  <si>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</si>
  <si>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</si>
  <si>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</si>
  <si>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</si>
  <si>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</si>
  <si>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</si>
  <si>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</si>
  <si>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</si>
  <si>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</si>
  <si>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</si>
  <si>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</si>
  <si>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</si>
  <si>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</si>
  <si>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</si>
  <si>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</si>
  <si>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</si>
  <si>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</si>
  <si>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</si>
  <si>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</si>
  <si>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</si>
  <si>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</si>
  <si>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</si>
  <si>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</si>
  <si>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</si>
  <si>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</si>
  <si>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</si>
  <si>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</si>
  <si>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</si>
  <si>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</si>
  <si>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</si>
  <si>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</si>
  <si>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</si>
  <si>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</si>
  <si>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</si>
  <si>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</si>
  <si>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</si>
  <si>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</si>
  <si>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</si>
  <si>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</si>
  <si>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</si>
  <si>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</si>
  <si>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</si>
  <si>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</si>
  <si>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</si>
  <si>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</si>
  <si>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</si>
  <si>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</si>
  <si>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</si>
  <si>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</si>
  <si>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</si>
  <si>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</si>
  <si>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</si>
  <si>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</si>
  <si>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</si>
  <si>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</si>
  <si>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</si>
  <si>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</si>
  <si>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</si>
  <si>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</si>
  <si>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</si>
  <si>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</si>
  <si>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</si>
  <si>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</si>
  <si>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</si>
  <si>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</si>
  <si>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</si>
  <si>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</si>
  <si>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</si>
  <si>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</si>
  <si>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</si>
  <si>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</si>
  <si>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</si>
  <si>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</si>
  <si>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</si>
  <si>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</si>
  <si>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</si>
  <si>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</si>
  <si>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</si>
  <si>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</si>
  <si>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</si>
  <si>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</si>
  <si>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</si>
  <si>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</si>
  <si>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</si>
  <si>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</si>
  <si>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</si>
  <si>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</si>
  <si>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</si>
  <si>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</si>
  <si>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</si>
  <si>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</si>
  <si>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</si>
  <si>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</si>
  <si>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</si>
  <si>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</si>
  <si>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</si>
  <si>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</si>
  <si>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</si>
  <si>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</si>
  <si>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</si>
  <si>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</si>
  <si>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</si>
  <si>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</si>
  <si>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</si>
  <si>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</si>
  <si>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</si>
  <si>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</si>
  <si>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</si>
  <si>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</si>
  <si>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</si>
  <si>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</si>
  <si>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</si>
  <si>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</si>
  <si>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</si>
  <si>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</si>
  <si>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</si>
  <si>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</si>
  <si>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</si>
  <si>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</si>
  <si>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</si>
  <si>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</si>
  <si>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</si>
  <si>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</si>
  <si>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</si>
  <si>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</si>
  <si>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</si>
  <si>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</si>
  <si>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</si>
  <si>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</si>
  <si>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</si>
  <si>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</si>
  <si>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</si>
  <si>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</si>
  <si>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</si>
  <si>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</si>
  <si>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</si>
  <si>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</si>
  <si>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</si>
  <si>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</si>
  <si>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</si>
  <si>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</si>
  <si>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</si>
  <si>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</si>
  <si>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</si>
  <si>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</si>
  <si>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</si>
  <si>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</si>
  <si>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</si>
  <si>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</si>
  <si>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</si>
  <si>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</si>
  <si>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</si>
  <si>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</si>
  <si>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</si>
  <si>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</si>
  <si>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</si>
  <si>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</si>
  <si>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</si>
  <si>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</si>
  <si>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</si>
  <si>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</si>
  <si>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</si>
  <si>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</si>
  <si>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</si>
  <si>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</si>
  <si>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</si>
  <si>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</si>
  <si>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</si>
  <si>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</si>
  <si>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</si>
  <si>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</si>
  <si>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</si>
  <si>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</si>
  <si>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</si>
  <si>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</si>
  <si>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</si>
  <si>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</si>
  <si>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</si>
  <si>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</si>
  <si>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</si>
  <si>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</si>
  <si>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</si>
  <si>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</si>
  <si>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</si>
  <si>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</si>
  <si>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</si>
  <si>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</si>
  <si>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</si>
  <si>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</si>
  <si>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</si>
  <si>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</si>
  <si>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</si>
  <si>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</si>
  <si>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</si>
  <si>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</si>
  <si>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</si>
  <si>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</si>
  <si>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</si>
  <si>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</si>
  <si>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</si>
  <si>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</si>
  <si>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</si>
  <si>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</si>
  <si>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</si>
  <si>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</si>
  <si>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</si>
  <si>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</si>
  <si>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</si>
  <si>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</si>
  <si>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</si>
  <si>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</si>
  <si>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</si>
  <si>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</si>
  <si>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</si>
  <si>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</si>
  <si>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</si>
  <si>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</si>
  <si>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</si>
  <si>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</si>
  <si>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</si>
  <si>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</si>
  <si>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</si>
  <si>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</si>
  <si>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</si>
  <si>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</si>
  <si>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</si>
  <si>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</si>
  <si>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</si>
  <si>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</si>
  <si>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</si>
  <si>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</si>
  <si>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</si>
  <si>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</si>
  <si>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</si>
  <si>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</si>
  <si>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</si>
  <si>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</si>
  <si>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</si>
  <si>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</si>
  <si>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</si>
  <si>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</si>
  <si>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</si>
  <si>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</si>
  <si>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</si>
  <si>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</si>
  <si>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</si>
  <si>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</si>
  <si>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</si>
  <si>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</si>
  <si>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</si>
  <si>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</si>
  <si>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</si>
  <si>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</si>
  <si>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</si>
  <si>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</si>
  <si>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</si>
  <si>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</si>
  <si>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</si>
  <si>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</si>
  <si>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</si>
  <si>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</si>
  <si>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</si>
  <si>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</si>
  <si>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</si>
  <si>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</si>
  <si>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</si>
  <si>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</si>
  <si>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</si>
  <si>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</si>
  <si>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</si>
  <si>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</si>
  <si>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</si>
  <si>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</si>
  <si>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</si>
  <si>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</si>
  <si>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</si>
  <si>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</si>
  <si>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</si>
  <si>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</si>
  <si>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</si>
  <si>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</si>
  <si>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</si>
  <si>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</si>
  <si>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</si>
  <si>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</si>
  <si>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</si>
  <si>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</si>
  <si>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</si>
  <si>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</si>
  <si>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</si>
  <si>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</si>
  <si>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</si>
  <si>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</si>
  <si>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</si>
  <si>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</si>
  <si>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</si>
  <si>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</si>
  <si>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</si>
  <si>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</si>
  <si>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</si>
  <si>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</si>
  <si>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</si>
  <si>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</si>
  <si>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</si>
  <si>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</si>
  <si>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</si>
  <si>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</si>
  <si>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</si>
  <si>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</si>
  <si>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</si>
  <si>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</si>
  <si>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</si>
  <si>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</si>
  <si>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</si>
  <si>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</si>
  <si>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</si>
  <si>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</si>
  <si>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</si>
  <si>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</si>
  <si>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</si>
  <si>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</si>
  <si>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</si>
  <si>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</si>
  <si>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</si>
  <si>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</si>
  <si>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</si>
  <si>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</si>
  <si>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</si>
  <si>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</si>
  <si>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</si>
  <si>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</si>
  <si>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</si>
  <si>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</si>
  <si>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</si>
  <si>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</si>
  <si>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</si>
  <si>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</si>
  <si>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</si>
  <si>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</si>
  <si>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</si>
  <si>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</si>
  <si>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</si>
  <si>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</si>
  <si>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</si>
  <si>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</si>
  <si>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</si>
  <si>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</si>
  <si>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</si>
  <si>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</si>
  <si>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</si>
  <si>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</si>
  <si>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</si>
  <si>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</si>
  <si>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</si>
  <si>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</si>
  <si>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</si>
  <si>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</si>
  <si>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</si>
  <si>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</si>
  <si>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</si>
  <si>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</si>
  <si>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</si>
  <si>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</si>
  <si>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</si>
  <si>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</si>
  <si>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</si>
  <si>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</si>
  <si>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</si>
  <si>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</si>
  <si>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</si>
  <si>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</si>
  <si>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</si>
  <si>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</si>
  <si>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</si>
  <si>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</si>
  <si>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</si>
  <si>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</si>
  <si>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</si>
  <si>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</si>
  <si>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</si>
  <si>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</si>
  <si>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</si>
  <si>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</si>
  <si>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</si>
  <si>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</si>
  <si>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</si>
  <si>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</si>
  <si>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</si>
  <si>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</si>
  <si>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</si>
  <si>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</si>
  <si>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</si>
  <si>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</si>
  <si>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</si>
  <si>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</si>
  <si>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</si>
  <si>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</si>
  <si>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</si>
  <si>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</si>
  <si>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</si>
  <si>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</si>
  <si>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</si>
  <si>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</si>
  <si>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</si>
  <si>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</si>
  <si>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</si>
  <si>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</si>
  <si>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</si>
  <si>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</si>
  <si>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</si>
  <si>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</si>
  <si>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</si>
  <si>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</si>
  <si>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</si>
  <si>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</si>
  <si>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</si>
  <si>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</si>
  <si>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</si>
  <si>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</si>
  <si>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</si>
  <si>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</si>
  <si>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</si>
  <si>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</si>
  <si>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</si>
  <si>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</si>
  <si>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</si>
  <si>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</si>
  <si>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</si>
  <si>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</si>
  <si>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</si>
  <si>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</si>
  <si>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</si>
  <si>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</si>
  <si>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</si>
  <si>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</si>
  <si>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</si>
  <si>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</si>
  <si>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</si>
  <si>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</si>
  <si>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</si>
  <si>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</si>
  <si>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</si>
  <si>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</si>
  <si>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</si>
  <si>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</si>
  <si>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</si>
  <si>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</si>
  <si>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</si>
  <si>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</si>
  <si>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</si>
  <si>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</si>
  <si>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</si>
  <si>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</si>
  <si>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</si>
  <si>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</si>
  <si>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</si>
  <si>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</si>
  <si>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</si>
  <si>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</si>
  <si>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</si>
  <si>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</si>
  <si>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</si>
  <si>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</si>
  <si>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</si>
  <si>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</si>
  <si>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</si>
  <si>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</si>
  <si>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</si>
  <si>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</si>
  <si>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</si>
  <si>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</si>
  <si>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</si>
  <si>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</si>
  <si>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</si>
  <si>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</si>
  <si>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</si>
  <si>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</si>
  <si>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</si>
  <si>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</si>
  <si>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</si>
  <si>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</si>
  <si>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</si>
  <si>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</si>
  <si>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</si>
  <si>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</si>
  <si>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</si>
  <si>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</si>
  <si>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</si>
  <si>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</si>
  <si>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</si>
  <si>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</si>
  <si>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</si>
  <si>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</si>
  <si>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</si>
  <si>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</si>
  <si>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</si>
  <si>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</si>
  <si>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</si>
  <si>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</si>
  <si>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</si>
  <si>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</si>
  <si>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</si>
  <si>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</si>
  <si>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</si>
  <si>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</si>
  <si>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</si>
  <si>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</si>
  <si>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</si>
  <si>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</si>
  <si>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</si>
  <si>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</si>
  <si>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</si>
  <si>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</si>
  <si>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</si>
  <si>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</si>
  <si>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</si>
  <si>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</si>
  <si>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</si>
  <si>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</si>
  <si>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</si>
  <si>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</si>
  <si>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</si>
  <si>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</si>
  <si>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</si>
  <si>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</si>
  <si>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</si>
  <si>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</si>
  <si>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</si>
  <si>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</si>
  <si>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</si>
  <si>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</si>
  <si>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</si>
  <si>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</si>
  <si>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</si>
  <si>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</si>
  <si>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</si>
  <si>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</si>
  <si>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</si>
  <si>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</si>
  <si>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</si>
  <si>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</si>
  <si>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</si>
  <si>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</si>
  <si>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</si>
  <si>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</si>
  <si>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</si>
  <si>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</si>
  <si>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</si>
  <si>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</si>
  <si>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</si>
  <si>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</si>
  <si>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</si>
  <si>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</si>
  <si>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</si>
  <si>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</si>
  <si>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</si>
  <si>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</si>
  <si>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</si>
  <si>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</si>
  <si>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</si>
  <si>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</si>
  <si>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</si>
  <si>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</si>
  <si>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</si>
  <si>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</si>
  <si>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</si>
  <si>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</si>
  <si>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</si>
  <si>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</si>
  <si>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</si>
  <si>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</si>
  <si>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</si>
  <si>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</si>
  <si>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</si>
  <si>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</si>
  <si>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</si>
  <si>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</si>
  <si>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</si>
  <si>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</si>
  <si>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</si>
  <si>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</si>
  <si>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</si>
  <si>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</si>
  <si>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</si>
  <si>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</si>
  <si>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</si>
  <si>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</si>
  <si>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</si>
  <si>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</si>
  <si>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</si>
  <si>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</si>
  <si>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</si>
  <si>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</si>
  <si>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</si>
  <si>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</si>
  <si>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</si>
  <si>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</si>
  <si>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</si>
  <si>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</si>
  <si>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</si>
  <si>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</si>
  <si>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</si>
  <si>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</si>
  <si>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</si>
  <si>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</si>
  <si>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</si>
  <si>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</si>
  <si>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</si>
  <si>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</si>
  <si>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</si>
  <si>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</si>
  <si>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</si>
  <si>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</si>
  <si>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</si>
  <si>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</si>
  <si>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</si>
  <si>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</si>
  <si>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</si>
  <si>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</si>
  <si>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</si>
  <si>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</si>
  <si>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</si>
  <si>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</si>
  <si>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</si>
  <si>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</si>
  <si>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</si>
  <si>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</si>
  <si>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</si>
  <si>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</si>
  <si>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</si>
  <si>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</si>
  <si>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</si>
  <si>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</si>
  <si>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</si>
  <si>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</si>
  <si>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</si>
  <si>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</si>
  <si>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</si>
  <si>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</si>
  <si>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</si>
  <si>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</si>
  <si>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</si>
  <si>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</si>
  <si>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</si>
  <si>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</si>
  <si>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</si>
  <si>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</si>
  <si>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</si>
  <si>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</si>
  <si>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</si>
  <si>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</si>
  <si>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</si>
  <si>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</si>
  <si>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</si>
  <si>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</si>
  <si>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</si>
  <si>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</si>
  <si>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</si>
  <si>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</si>
  <si>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</si>
  <si>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</si>
  <si>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</si>
  <si>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</si>
  <si>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</si>
  <si>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</si>
  <si>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</si>
  <si>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</si>
  <si>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</si>
  <si>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</si>
  <si>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</si>
  <si>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</si>
  <si>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</si>
  <si>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</si>
  <si>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</si>
  <si>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</si>
  <si>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</si>
  <si>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</si>
  <si>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</si>
  <si>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</si>
  <si>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</si>
  <si>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</si>
  <si>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</si>
  <si>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</si>
  <si>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</si>
  <si>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</si>
  <si>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</si>
  <si>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</si>
  <si>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</si>
  <si>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</si>
  <si>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</si>
  <si>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</si>
  <si>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</si>
  <si>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</si>
  <si>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</si>
  <si>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</si>
  <si>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</si>
  <si>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</si>
  <si>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</si>
  <si>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</si>
  <si>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</si>
  <si>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</si>
  <si>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</si>
  <si>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</si>
  <si>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</si>
  <si>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</si>
  <si>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</si>
  <si>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</si>
  <si>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</si>
  <si>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</si>
  <si>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</si>
  <si>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</si>
  <si>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</si>
  <si>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</si>
  <si>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</si>
  <si>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</si>
  <si>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</si>
  <si>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</si>
  <si>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</si>
  <si>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</si>
  <si>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</si>
  <si>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</si>
  <si>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</si>
  <si>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</si>
  <si>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</si>
  <si>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</si>
  <si>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</si>
  <si>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</si>
  <si>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</si>
  <si>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</si>
  <si>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</si>
  <si>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</si>
  <si>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</si>
  <si>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</si>
  <si>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</si>
  <si>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</si>
  <si>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</si>
  <si>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</si>
  <si>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</si>
  <si>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</si>
  <si>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</si>
  <si>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</si>
  <si>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</si>
  <si>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</si>
  <si>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</si>
  <si>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</si>
  <si>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</si>
  <si>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</si>
  <si>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</si>
  <si>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</si>
  <si>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</si>
  <si>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</si>
  <si>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</si>
  <si>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</si>
  <si>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</si>
  <si>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</si>
  <si>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</si>
  <si>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</si>
  <si>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</si>
  <si>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</si>
  <si>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</si>
  <si>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</si>
  <si>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</si>
  <si>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</si>
  <si>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</si>
  <si>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</si>
  <si>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</si>
  <si>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</si>
  <si>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</si>
  <si>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</si>
  <si>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</si>
  <si>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</si>
  <si>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</si>
  <si>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</si>
  <si>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</si>
  <si>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</si>
  <si>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</si>
  <si>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</si>
  <si>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</si>
  <si>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</si>
  <si>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</si>
  <si>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</si>
  <si>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</si>
  <si>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</si>
  <si>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</si>
  <si>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</si>
  <si>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</si>
  <si>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</si>
  <si>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</si>
  <si>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</si>
  <si>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</si>
  <si>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</si>
  <si>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</si>
  <si>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</si>
  <si>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</si>
  <si>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</si>
  <si>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</si>
  <si>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</si>
  <si>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</si>
  <si>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</si>
  <si>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</si>
  <si>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</si>
  <si>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</si>
  <si>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</si>
  <si>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</si>
  <si>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</si>
  <si>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</si>
  <si>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</si>
  <si>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</si>
  <si>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</si>
  <si>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</si>
  <si>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</si>
  <si>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</si>
  <si>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</si>
  <si>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</si>
  <si>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</si>
  <si>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</si>
  <si>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</si>
  <si>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</si>
  <si>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</si>
  <si>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</si>
  <si>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</si>
  <si>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</si>
  <si>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</si>
  <si>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</si>
  <si>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</si>
  <si>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</si>
  <si>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</si>
  <si>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</si>
  <si>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</si>
  <si>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</si>
  <si>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</si>
  <si>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</si>
  <si>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</si>
  <si>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</si>
  <si>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</si>
  <si>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</si>
  <si>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</si>
  <si>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</si>
  <si>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</si>
  <si>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</si>
  <si>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</si>
  <si>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</si>
  <si>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</si>
  <si>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</si>
  <si>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</si>
  <si>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</si>
  <si>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</si>
  <si>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</si>
  <si>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</si>
  <si>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</si>
  <si>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</si>
  <si>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</si>
  <si>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</si>
  <si>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</si>
  <si>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</si>
  <si>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</si>
  <si>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</si>
  <si>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</si>
  <si>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</si>
  <si>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</si>
  <si>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</si>
  <si>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</si>
  <si>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</si>
  <si>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</si>
  <si>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</si>
  <si>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</si>
  <si>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</si>
  <si>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</si>
  <si>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</si>
  <si>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</si>
  <si>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</si>
  <si>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</si>
  <si>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</si>
  <si>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</si>
  <si>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</si>
  <si>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</si>
  <si>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</si>
  <si>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</si>
  <si>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</si>
  <si>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</si>
  <si>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</si>
  <si>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</si>
  <si>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</si>
  <si>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</si>
  <si>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</si>
  <si>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</si>
  <si>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</si>
  <si>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</si>
  <si>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</si>
  <si>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</si>
  <si>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</si>
  <si>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</si>
  <si>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</si>
  <si>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</si>
  <si>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</si>
  <si>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</si>
  <si>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</si>
  <si>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</si>
  <si>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</si>
  <si>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</si>
  <si>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</si>
  <si>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</si>
  <si>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</si>
  <si>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</si>
  <si>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</si>
  <si>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</si>
  <si>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</si>
  <si>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</si>
  <si>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</si>
  <si>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</si>
  <si>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</si>
  <si>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</si>
  <si>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</si>
  <si>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</si>
  <si>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</si>
  <si>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</si>
  <si>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</si>
  <si>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</si>
  <si>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</si>
  <si>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</si>
  <si>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</si>
  <si>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</si>
  <si>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</si>
  <si>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</si>
  <si>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</si>
  <si>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</si>
  <si>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</si>
  <si>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</si>
  <si>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</si>
  <si>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</si>
  <si>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</si>
  <si>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</si>
  <si>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</si>
  <si>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</si>
  <si>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</si>
  <si>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</si>
  <si>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</si>
  <si>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</si>
  <si>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</si>
  <si>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</si>
  <si>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</si>
  <si>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</si>
  <si>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</si>
  <si>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</si>
  <si>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</si>
  <si>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</si>
  <si>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</si>
  <si>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</si>
  <si>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</si>
  <si>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</si>
  <si>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</si>
  <si>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</si>
  <si>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</si>
  <si>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</si>
  <si>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</si>
  <si>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</si>
  <si>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</si>
  <si>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</si>
  <si>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</si>
  <si>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</si>
  <si>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</si>
  <si>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</si>
  <si>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</si>
  <si>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</si>
  <si>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</si>
  <si>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</si>
  <si>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</si>
  <si>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</si>
  <si>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</si>
  <si>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</si>
  <si>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</si>
  <si>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</si>
  <si>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</si>
  <si>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</si>
  <si>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</si>
  <si>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</si>
  <si>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</si>
  <si>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</si>
  <si>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</si>
  <si>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</si>
  <si>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</si>
  <si>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</si>
  <si>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</si>
  <si>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</si>
  <si>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</si>
  <si>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</si>
  <si>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</si>
  <si>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</si>
  <si>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</si>
  <si>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</si>
  <si>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</si>
  <si>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</si>
  <si>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</si>
  <si>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</si>
  <si>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</si>
  <si>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</si>
  <si>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</si>
  <si>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</si>
  <si>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</si>
  <si>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</si>
  <si>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</si>
  <si>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</si>
  <si>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</si>
  <si>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</si>
  <si>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</si>
  <si>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</si>
  <si>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</si>
  <si>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</si>
  <si>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</si>
  <si>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</si>
  <si>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</si>
  <si>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</si>
  <si>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</si>
  <si>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</si>
  <si>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</si>
  <si>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</si>
  <si>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</si>
  <si>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</si>
  <si>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</si>
  <si>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</si>
  <si>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</si>
  <si>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</si>
  <si>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</si>
  <si>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</si>
  <si>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</si>
  <si>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</si>
  <si>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</si>
  <si>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</si>
  <si>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</si>
  <si>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</si>
  <si>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</si>
  <si>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</si>
  <si>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</si>
  <si>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</si>
  <si>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</si>
  <si>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</si>
  <si>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</si>
  <si>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</si>
  <si>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</si>
  <si>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</si>
  <si>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</si>
  <si>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</si>
  <si>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</si>
  <si>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</si>
  <si>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</si>
  <si>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</si>
  <si>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</si>
  <si>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</si>
  <si>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</si>
  <si>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</si>
  <si>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</si>
  <si>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</si>
  <si>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</si>
  <si>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</si>
  <si>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</si>
  <si>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</si>
  <si>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</si>
  <si>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</si>
  <si>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</si>
  <si>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</si>
  <si>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</si>
  <si>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</si>
  <si>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</si>
  <si>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</si>
  <si>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</si>
  <si>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</si>
  <si>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</si>
  <si>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</si>
  <si>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</si>
  <si>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</si>
  <si>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</si>
  <si>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</si>
  <si>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</si>
  <si>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</si>
  <si>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</si>
  <si>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</si>
  <si>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</si>
  <si>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</si>
  <si>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</si>
  <si>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</si>
  <si>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</si>
  <si>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</si>
  <si>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</si>
  <si>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</si>
  <si>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</si>
  <si>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</si>
  <si>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</si>
  <si>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</si>
  <si>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</si>
  <si>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</si>
  <si>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</si>
  <si>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</si>
  <si>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</si>
  <si>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</si>
  <si>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</si>
  <si>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</si>
  <si>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</si>
  <si>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</si>
  <si>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</si>
  <si>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</si>
  <si>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</si>
  <si>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</si>
  <si>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</si>
  <si>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</si>
  <si>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</si>
  <si>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</si>
  <si>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</si>
  <si>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</si>
  <si>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</si>
  <si>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</si>
  <si>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</si>
  <si>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</si>
  <si>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</si>
  <si>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</si>
  <si>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</si>
  <si>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</si>
  <si>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</si>
  <si>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</si>
  <si>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</si>
  <si>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</si>
  <si>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</si>
  <si>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</si>
  <si>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</si>
  <si>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</si>
  <si>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</si>
  <si>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</si>
  <si>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</si>
  <si>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</si>
  <si>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</si>
  <si>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</si>
  <si>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</si>
  <si>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</si>
  <si>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</si>
  <si>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</si>
  <si>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</si>
  <si>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</si>
  <si>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</si>
  <si>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</si>
  <si>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</si>
  <si>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</si>
  <si>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</si>
  <si>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</si>
  <si>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</si>
  <si>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</si>
  <si>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</si>
  <si>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</si>
  <si>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</si>
  <si>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</si>
  <si>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</si>
  <si>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</si>
  <si>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</si>
  <si>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</si>
  <si>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</si>
  <si>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</si>
  <si>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</si>
  <si>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</si>
  <si>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</si>
  <si>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</si>
  <si>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</si>
  <si>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</si>
  <si>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</si>
  <si>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</si>
  <si>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</si>
  <si>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</si>
  <si>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</si>
  <si>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</si>
  <si>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</si>
  <si>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</si>
  <si>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</si>
  <si>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</si>
  <si>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</si>
  <si>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</si>
  <si>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</si>
  <si>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</si>
  <si>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</si>
  <si>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</si>
  <si>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</si>
  <si>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</si>
  <si>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</si>
  <si>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</si>
  <si>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</si>
  <si>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</si>
  <si>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</si>
  <si>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</si>
  <si>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</si>
  <si>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</si>
  <si>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</si>
  <si>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</si>
  <si>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</si>
  <si>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</si>
  <si>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</si>
  <si>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</si>
  <si>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</si>
  <si>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</si>
  <si>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</si>
  <si>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</si>
  <si>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</si>
  <si>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</si>
  <si>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</si>
  <si>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</si>
  <si>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</si>
  <si>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</si>
  <si>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</si>
  <si>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</si>
  <si>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</si>
  <si>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</si>
  <si>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</si>
  <si>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</si>
  <si>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</si>
  <si>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</si>
  <si>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</si>
  <si>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</si>
  <si>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</si>
  <si>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</si>
  <si>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</si>
  <si>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</si>
  <si>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</si>
  <si>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</si>
  <si>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</si>
  <si>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</si>
  <si>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</si>
  <si>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</si>
  <si>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</si>
  <si>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</si>
  <si>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</si>
  <si>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</si>
  <si>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</si>
  <si>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</si>
  <si>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</si>
  <si>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</si>
  <si>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</si>
  <si>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</si>
  <si>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</si>
  <si>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</si>
  <si>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</si>
  <si>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</si>
  <si>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</si>
  <si>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</si>
  <si>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</si>
  <si>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</si>
  <si>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</si>
  <si>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</si>
  <si>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</si>
  <si>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</si>
  <si>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</si>
  <si>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</si>
  <si>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</si>
  <si>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</si>
  <si>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</si>
  <si>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</si>
  <si>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</si>
  <si>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</si>
  <si>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</si>
  <si>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</si>
  <si>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</si>
  <si>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</si>
  <si>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</si>
  <si>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</si>
  <si>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</si>
  <si>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</si>
  <si>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</si>
  <si>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</si>
  <si>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</si>
  <si>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</si>
  <si>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</si>
  <si>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</si>
  <si>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</si>
  <si>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</si>
  <si>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</si>
  <si>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</si>
  <si>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</si>
  <si>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</si>
  <si>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</si>
  <si>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</si>
  <si>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</si>
  <si>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</si>
  <si>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</si>
  <si>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</si>
  <si>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</si>
  <si>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</si>
  <si>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</si>
  <si>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</si>
  <si>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</si>
  <si>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</si>
  <si>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</si>
  <si>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</si>
  <si>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</si>
  <si>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</si>
  <si>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</si>
  <si>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</si>
  <si>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</si>
  <si>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</si>
  <si>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</si>
  <si>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</si>
  <si>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</si>
  <si>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</si>
  <si>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</si>
  <si>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</si>
  <si>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</si>
  <si>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</si>
  <si>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</si>
  <si>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</si>
  <si>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</si>
  <si>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</si>
  <si>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</si>
  <si>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</si>
  <si>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</si>
  <si>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</si>
  <si>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</si>
  <si>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</si>
  <si>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</si>
  <si>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</si>
  <si>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</si>
  <si>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</si>
  <si>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</si>
  <si>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</si>
  <si>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</si>
  <si>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</si>
  <si>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</si>
  <si>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</si>
  <si>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</si>
  <si>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</si>
  <si>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</si>
  <si>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</si>
  <si>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</si>
  <si>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</si>
  <si>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</si>
  <si>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</si>
  <si>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</si>
  <si>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</si>
  <si>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</si>
  <si>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</si>
  <si>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</si>
  <si>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</si>
  <si>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</si>
  <si>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</si>
  <si>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</si>
  <si>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</si>
  <si>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</si>
  <si>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</si>
  <si>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</si>
  <si>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</si>
  <si>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</si>
  <si>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</si>
  <si>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</si>
  <si>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</si>
  <si>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</si>
  <si>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</si>
  <si>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</si>
  <si>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</si>
  <si>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</si>
  <si>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</si>
  <si>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</si>
  <si>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</si>
  <si>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</si>
  <si>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</si>
  <si>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</si>
  <si>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</si>
  <si>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</si>
  <si>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</si>
  <si>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</si>
  <si>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</si>
  <si>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</si>
  <si>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</si>
  <si>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</si>
  <si>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</si>
  <si>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</si>
  <si>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</si>
  <si>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</si>
  <si>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</si>
  <si>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</si>
  <si>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</si>
  <si>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</si>
  <si>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</si>
  <si>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</si>
  <si>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</si>
  <si>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</si>
  <si>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</si>
  <si>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</si>
  <si>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</si>
  <si>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</si>
  <si>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</si>
  <si>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</si>
  <si>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</si>
  <si>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</si>
  <si>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</si>
  <si>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</si>
  <si>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</si>
  <si>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</si>
  <si>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</si>
  <si>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</si>
  <si>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</si>
  <si>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</si>
  <si>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</si>
  <si>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</si>
  <si>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</si>
  <si>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</si>
  <si>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</si>
  <si>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</si>
  <si>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</si>
  <si>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</si>
  <si>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</si>
  <si>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</si>
  <si>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</si>
  <si>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</si>
  <si>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</si>
  <si>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</si>
  <si>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</si>
  <si>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</si>
  <si>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</si>
  <si>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</si>
  <si>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</si>
  <si>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</si>
  <si>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</si>
  <si>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</si>
  <si>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</si>
  <si>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</si>
  <si>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</si>
  <si>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</si>
  <si>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</si>
  <si>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</si>
  <si>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</si>
  <si>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</si>
  <si>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</si>
  <si>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</si>
  <si>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</si>
  <si>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</si>
  <si>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</si>
  <si>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</si>
  <si>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</si>
  <si>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</si>
  <si>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</si>
  <si>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</si>
  <si>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</si>
  <si>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</si>
  <si>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</si>
  <si>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</si>
  <si>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</si>
  <si>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</si>
  <si>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</si>
  <si>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</si>
  <si>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</si>
  <si>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</si>
  <si>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</si>
  <si>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</si>
  <si>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</si>
  <si>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</si>
  <si>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</si>
  <si>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</si>
  <si>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</si>
  <si>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</si>
  <si>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</si>
  <si>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</si>
  <si>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</si>
  <si>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</si>
  <si>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</si>
  <si>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</si>
  <si>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</si>
  <si>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</si>
  <si>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</si>
  <si>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</si>
  <si>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</si>
  <si>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</si>
  <si>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</si>
  <si>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</si>
  <si>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</si>
  <si>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</si>
  <si>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</si>
  <si>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</si>
  <si>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</si>
  <si>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</si>
  <si>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</si>
  <si>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</si>
  <si>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</si>
  <si>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</si>
  <si>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</si>
  <si>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</si>
  <si>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</si>
  <si>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</si>
  <si>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</si>
  <si>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</si>
  <si>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</si>
  <si>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</si>
  <si>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</si>
  <si>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</si>
  <si>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</si>
  <si>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</si>
  <si>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</si>
  <si>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</si>
  <si>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</si>
  <si>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</si>
  <si>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</si>
  <si>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</si>
  <si>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</si>
  <si>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</si>
  <si>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</si>
  <si>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</si>
  <si>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</si>
  <si>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</si>
  <si>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</si>
  <si>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</si>
  <si>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</si>
  <si>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</si>
  <si>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</si>
  <si>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</si>
  <si>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</si>
  <si>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</si>
  <si>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</si>
  <si>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</si>
  <si>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</si>
  <si>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</si>
  <si>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</si>
  <si>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</si>
  <si>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</si>
  <si>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</si>
  <si>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</si>
  <si>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</si>
  <si>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</si>
  <si>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</si>
  <si>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</si>
  <si>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</si>
  <si>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</si>
  <si>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</si>
  <si>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</si>
  <si>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</si>
  <si>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</si>
  <si>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</si>
  <si>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</si>
  <si>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</si>
  <si>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</si>
  <si>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</si>
  <si>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</si>
  <si>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</si>
  <si>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</si>
  <si>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</si>
  <si>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</si>
  <si>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</si>
  <si>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</si>
  <si>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</si>
  <si>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</si>
  <si>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</si>
  <si>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</si>
  <si>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</si>
  <si>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</si>
  <si>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</si>
  <si>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</si>
  <si>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</si>
  <si>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</si>
  <si>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</si>
  <si>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</si>
  <si>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</si>
  <si>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</si>
  <si>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</si>
  <si>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</si>
  <si>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</si>
  <si>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</si>
  <si>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</si>
  <si>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</si>
  <si>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</si>
  <si>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</si>
  <si>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</si>
  <si>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</si>
  <si>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</si>
  <si>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</si>
  <si>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</si>
  <si>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</si>
  <si>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</si>
  <si>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</si>
  <si>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</si>
  <si>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</si>
  <si>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</si>
  <si>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</si>
  <si>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</si>
  <si>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</si>
  <si>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</si>
  <si>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</si>
  <si>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</si>
  <si>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</si>
  <si>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</si>
  <si>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</si>
  <si>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</si>
  <si>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</si>
  <si>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</si>
  <si>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</si>
  <si>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</si>
  <si>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</si>
  <si>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</si>
  <si>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</si>
  <si>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</si>
  <si>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</si>
  <si>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</si>
  <si>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</si>
  <si>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</si>
  <si>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</si>
  <si>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</si>
  <si>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</si>
  <si>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</si>
  <si>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</si>
  <si>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</si>
  <si>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</si>
  <si>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</si>
  <si>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</si>
  <si>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</si>
  <si>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</si>
  <si>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</si>
  <si>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</si>
  <si>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</si>
  <si>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</si>
  <si>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</si>
  <si>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</si>
  <si>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</si>
  <si>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</si>
  <si>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</si>
  <si>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</si>
  <si>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</si>
  <si>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</si>
  <si>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</si>
  <si>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</si>
  <si>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</si>
  <si>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</si>
  <si>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</si>
  <si>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</si>
  <si>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</si>
  <si>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</si>
  <si>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</si>
  <si>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</si>
  <si>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</si>
  <si>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</si>
  <si>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</si>
  <si>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</si>
  <si>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</si>
  <si>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</si>
  <si>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</si>
  <si>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</si>
  <si>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</si>
  <si>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</si>
  <si>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</si>
  <si>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</si>
  <si>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</si>
  <si>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</si>
  <si>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</si>
  <si>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</si>
  <si>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</si>
  <si>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</si>
  <si>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</si>
  <si>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</si>
  <si>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</si>
  <si>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</si>
  <si>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</si>
  <si>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</si>
  <si>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</si>
  <si>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</si>
  <si>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</si>
  <si>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</si>
  <si>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</si>
  <si>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</si>
  <si>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</si>
  <si>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</si>
  <si>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</si>
  <si>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</si>
  <si>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</si>
  <si>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</si>
  <si>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</si>
  <si>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</si>
  <si>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</si>
  <si>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</si>
  <si>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</si>
  <si>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</si>
  <si>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</si>
  <si>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</si>
  <si>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</si>
  <si>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</si>
  <si>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</si>
  <si>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</si>
  <si>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</si>
  <si>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</si>
  <si>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</si>
  <si>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</si>
  <si>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</si>
  <si>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</si>
  <si>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</si>
  <si>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</si>
  <si>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</si>
  <si>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</si>
  <si>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</si>
  <si>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</si>
  <si>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</si>
  <si>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</si>
  <si>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</si>
  <si>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</si>
  <si>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</si>
  <si>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</si>
  <si>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</si>
  <si>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</si>
  <si>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</si>
  <si>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</si>
  <si>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</si>
  <si>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</si>
  <si>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</si>
  <si>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</si>
  <si>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</si>
  <si>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</si>
  <si>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</si>
  <si>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</si>
  <si>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</si>
  <si>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</si>
  <si>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</si>
  <si>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</si>
  <si>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</si>
  <si>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</si>
  <si>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</si>
  <si>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</si>
  <si>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</si>
  <si>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</si>
  <si>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</si>
  <si>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</si>
  <si>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</si>
  <si>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</si>
  <si>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</si>
  <si>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</si>
  <si>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</si>
  <si>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</si>
  <si>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</si>
  <si>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</si>
  <si>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</si>
  <si>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</si>
  <si>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</si>
  <si>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</si>
  <si>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</si>
  <si>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</si>
  <si>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</si>
  <si>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</si>
  <si>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</si>
  <si>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</si>
  <si>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</si>
  <si>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</si>
  <si>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</si>
  <si>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</si>
  <si>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</si>
  <si>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</si>
  <si>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</si>
  <si>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</si>
  <si>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</si>
  <si>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</si>
  <si>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</si>
  <si>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</si>
  <si>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</si>
  <si>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</si>
  <si>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</si>
  <si>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</si>
  <si>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</si>
  <si>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</si>
  <si>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</si>
  <si>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</si>
  <si>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</si>
  <si>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</si>
  <si>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</si>
  <si>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</si>
  <si>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</si>
  <si>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</si>
  <si>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</si>
  <si>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</si>
  <si>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</si>
  <si>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</si>
  <si>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</si>
  <si>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</si>
  <si>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</si>
  <si>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</si>
  <si>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</si>
  <si>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</si>
  <si>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</si>
  <si>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</si>
  <si>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</si>
  <si>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</si>
  <si>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</si>
  <si>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</si>
  <si>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</si>
  <si>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</si>
  <si>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</si>
  <si>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</si>
  <si>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</si>
  <si>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</si>
  <si>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</si>
  <si>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</si>
  <si>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</si>
  <si>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</si>
  <si>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</si>
  <si>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</si>
  <si>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</si>
  <si>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</si>
  <si>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</si>
  <si>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</si>
  <si>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</si>
  <si>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</si>
  <si>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</si>
  <si>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</si>
  <si>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</si>
  <si>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</si>
  <si>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</si>
  <si>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</si>
  <si>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</si>
  <si>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</si>
  <si>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</si>
  <si>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</si>
  <si>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</si>
  <si>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</si>
  <si>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</si>
  <si>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</si>
  <si>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</si>
  <si>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</si>
  <si>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</si>
  <si>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</si>
  <si>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</si>
  <si>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</si>
  <si>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</si>
  <si>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</si>
  <si>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</si>
  <si>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</si>
  <si>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</si>
  <si>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</si>
  <si>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</si>
  <si>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</si>
  <si>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</si>
  <si>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</si>
  <si>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</si>
  <si>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</si>
  <si>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</si>
  <si>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</si>
  <si>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</si>
  <si>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</si>
  <si>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</si>
  <si>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</si>
  <si>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</si>
  <si>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</si>
  <si>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</si>
  <si>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</si>
  <si>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</si>
  <si>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</si>
  <si>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</si>
  <si>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</si>
  <si>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</si>
  <si>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</si>
  <si>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</si>
  <si>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</si>
  <si>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</si>
  <si>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</si>
  <si>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</si>
  <si>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</si>
  <si>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</si>
  <si>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</si>
  <si>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</si>
  <si>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</si>
  <si>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</si>
  <si>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</si>
  <si>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</si>
  <si>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</si>
  <si>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</si>
  <si>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</si>
  <si>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</si>
  <si>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</si>
  <si>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</si>
  <si>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</si>
  <si>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</si>
  <si>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</si>
  <si>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</si>
  <si>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</si>
  <si>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</si>
  <si>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</si>
  <si>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</si>
  <si>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</si>
  <si>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</si>
  <si>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</si>
  <si>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</si>
  <si>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</si>
  <si>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</si>
  <si>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</si>
  <si>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</si>
  <si>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</si>
  <si>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</si>
  <si>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</si>
  <si>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</si>
  <si>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</si>
  <si>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</si>
  <si>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</si>
  <si>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</si>
  <si>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</si>
  <si>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</si>
  <si>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</si>
  <si>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</si>
  <si>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</si>
  <si>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</si>
  <si>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</si>
  <si>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</si>
  <si>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</si>
  <si>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</si>
  <si>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</si>
  <si>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</si>
  <si>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</si>
  <si>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</si>
  <si>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</si>
  <si>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</si>
  <si>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</si>
  <si>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</si>
  <si>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</si>
  <si>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</si>
  <si>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</si>
  <si>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</si>
  <si>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</si>
  <si>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</si>
  <si>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</si>
  <si>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</si>
  <si>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</si>
  <si>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</si>
  <si>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</si>
  <si>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</si>
  <si>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</si>
  <si>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</si>
  <si>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</si>
  <si>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</si>
  <si>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</si>
  <si>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</si>
  <si>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</si>
  <si>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</si>
  <si>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</si>
  <si>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</si>
  <si>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</si>
  <si>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</si>
  <si>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</si>
  <si>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</si>
  <si>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</si>
  <si>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</si>
  <si>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</si>
  <si>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</si>
  <si>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</si>
  <si>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</si>
  <si>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</si>
  <si>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</si>
  <si>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</si>
  <si>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</si>
  <si>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</si>
  <si>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</si>
  <si>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</si>
  <si>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</si>
  <si>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</si>
  <si>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</si>
  <si>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</si>
  <si>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</si>
  <si>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</si>
  <si>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</si>
  <si>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</si>
  <si>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</si>
  <si>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</si>
  <si>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</si>
  <si>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</si>
  <si>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</si>
  <si>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</si>
  <si>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</si>
  <si>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</si>
  <si>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</si>
  <si>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</si>
  <si>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</si>
  <si>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</si>
  <si>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</si>
  <si>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</si>
  <si>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</si>
  <si>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</si>
  <si>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</si>
  <si>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</si>
  <si>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</si>
  <si>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</si>
  <si>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</si>
  <si>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</si>
  <si>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</si>
  <si>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</si>
  <si>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</si>
  <si>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</si>
  <si>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</si>
  <si>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</si>
  <si>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</si>
  <si>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</si>
  <si>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</si>
  <si>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</si>
  <si>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</si>
  <si>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</si>
  <si>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</si>
  <si>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</si>
  <si>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</si>
  <si>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</si>
  <si>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</si>
  <si>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</si>
  <si>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</si>
  <si>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</si>
  <si>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</si>
  <si>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</si>
  <si>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</si>
  <si>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</si>
  <si>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</si>
  <si>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</si>
  <si>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</si>
  <si>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</si>
  <si>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</si>
  <si>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</si>
  <si>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</si>
  <si>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</si>
  <si>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</si>
  <si>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</si>
  <si>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</si>
  <si>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</si>
  <si>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</si>
  <si>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</si>
  <si>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</si>
  <si>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</si>
  <si>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</si>
  <si>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</si>
  <si>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</si>
  <si>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</si>
  <si>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</si>
  <si>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</si>
  <si>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</si>
  <si>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</si>
  <si>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</si>
  <si>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</si>
  <si>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</si>
  <si>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</si>
  <si>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</si>
  <si>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</si>
  <si>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</si>
  <si>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</si>
  <si>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</si>
  <si>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</si>
  <si>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</si>
  <si>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</si>
  <si>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</si>
  <si>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</si>
  <si>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</si>
  <si>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</si>
  <si>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</si>
  <si>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</si>
  <si>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</si>
  <si>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</si>
  <si>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</si>
  <si>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</si>
  <si>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</si>
  <si>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</si>
  <si>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</si>
  <si>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</si>
  <si>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</si>
  <si>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</si>
  <si>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</si>
  <si>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</si>
  <si>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</si>
  <si>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</si>
  <si>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</si>
  <si>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</si>
  <si>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</si>
  <si>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</si>
  <si>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</si>
  <si>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</si>
  <si>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</si>
  <si>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</si>
  <si>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</si>
  <si>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</si>
  <si>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</si>
  <si>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</si>
  <si>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</si>
  <si>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</si>
  <si>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</si>
  <si>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</si>
  <si>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</si>
  <si>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</si>
  <si>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</si>
  <si>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</si>
  <si>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</si>
  <si>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</si>
  <si>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</si>
  <si>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</si>
  <si>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</si>
  <si>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</si>
  <si>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</si>
  <si>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</si>
  <si>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</si>
  <si>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</si>
  <si>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</si>
  <si>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</si>
  <si>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</si>
  <si>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</si>
  <si>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</si>
  <si>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</si>
  <si>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</si>
  <si>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</si>
  <si>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</si>
  <si>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</si>
  <si>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</si>
  <si>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</si>
  <si>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</si>
  <si>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</si>
  <si>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</si>
  <si>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</si>
  <si>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</si>
  <si>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</si>
  <si>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</si>
  <si>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</si>
  <si>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</si>
  <si>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</si>
  <si>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</si>
  <si>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</si>
  <si>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</si>
  <si>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</si>
  <si>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</si>
  <si>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</si>
  <si>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</si>
  <si>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</si>
  <si>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</si>
  <si>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</si>
  <si>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</si>
  <si>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</si>
  <si>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</si>
  <si>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</si>
  <si>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</si>
  <si>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</si>
  <si>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</si>
  <si>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</si>
  <si>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</si>
  <si>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</si>
  <si>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</si>
  <si>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</si>
  <si>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</si>
  <si>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</si>
  <si>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</si>
  <si>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</si>
  <si>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</si>
  <si>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</si>
  <si>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</si>
  <si>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</si>
  <si>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</si>
  <si>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</si>
  <si>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</si>
  <si>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</si>
  <si>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</si>
  <si>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</si>
  <si>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</si>
  <si>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</si>
  <si>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</si>
  <si>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</si>
  <si>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</si>
  <si>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</si>
  <si>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</si>
  <si>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</si>
  <si>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</si>
  <si>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</si>
  <si>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</si>
  <si>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</si>
  <si>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</si>
  <si>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</si>
  <si>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</si>
  <si>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</si>
  <si>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</si>
  <si>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</si>
  <si>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</si>
  <si>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</si>
  <si>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</si>
  <si>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</si>
  <si>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</si>
  <si>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</si>
  <si>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</si>
  <si>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</si>
  <si>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</si>
  <si>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</si>
  <si>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</si>
  <si>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</si>
  <si>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</si>
  <si>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</si>
  <si>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</si>
  <si>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</si>
  <si>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</si>
  <si>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</si>
  <si>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</si>
  <si>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</si>
  <si>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</si>
  <si>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</si>
  <si>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</si>
  <si>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</si>
  <si>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</si>
  <si>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</si>
  <si>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</si>
  <si>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</si>
  <si>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</si>
  <si>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</si>
  <si>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</si>
  <si>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</si>
  <si>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</si>
  <si>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</si>
  <si>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</si>
  <si>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</si>
  <si>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</si>
  <si>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</si>
  <si>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</si>
  <si>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</si>
  <si>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</si>
  <si>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</si>
  <si>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</si>
  <si>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</si>
  <si>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</si>
  <si>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</si>
  <si>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</si>
  <si>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</si>
  <si>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</si>
  <si>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</si>
  <si>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</si>
  <si>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</si>
  <si>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</si>
  <si>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</si>
  <si>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</si>
  <si>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</si>
  <si>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</si>
  <si>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</si>
  <si>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</si>
  <si>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</si>
  <si>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</si>
  <si>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</si>
  <si>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</si>
  <si>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</si>
  <si>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</si>
  <si>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</si>
  <si>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</si>
  <si>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</si>
  <si>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</si>
  <si>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</si>
  <si>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</si>
  <si>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</si>
  <si>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</si>
  <si>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</si>
  <si>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</si>
  <si>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</si>
  <si>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</si>
  <si>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</si>
  <si>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</si>
  <si>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</si>
  <si>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</si>
  <si>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</si>
  <si>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</si>
  <si>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</si>
  <si>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</si>
  <si>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</si>
  <si>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</si>
  <si>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</si>
  <si>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</si>
  <si>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</si>
  <si>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</si>
  <si>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</si>
  <si>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</si>
  <si>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</si>
  <si>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</si>
  <si>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</si>
  <si>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</si>
  <si>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</si>
  <si>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</si>
  <si>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</si>
  <si>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</si>
  <si>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</si>
  <si>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</si>
  <si>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</si>
  <si>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</si>
  <si>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</si>
  <si>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</si>
  <si>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</si>
  <si>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</si>
  <si>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</si>
  <si>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</si>
  <si>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</si>
  <si>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</si>
  <si>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</si>
  <si>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</si>
  <si>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</si>
  <si>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</si>
  <si>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</si>
  <si>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</si>
  <si>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</si>
  <si>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</si>
  <si>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</si>
  <si>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</si>
  <si>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</si>
  <si>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</si>
  <si>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</si>
  <si>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</si>
  <si>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</si>
  <si>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</si>
  <si>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</si>
  <si>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</si>
  <si>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</si>
  <si>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</si>
  <si>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</si>
  <si>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</si>
  <si>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</si>
  <si>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</si>
  <si>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</si>
  <si>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</si>
  <si>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</si>
  <si>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</si>
  <si>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</si>
  <si>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</si>
  <si>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</si>
  <si>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</si>
  <si>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</si>
  <si>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</si>
  <si>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</si>
  <si>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</si>
  <si>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</si>
  <si>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</si>
  <si>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</si>
  <si>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</si>
  <si>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</si>
  <si>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</si>
  <si>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</si>
  <si>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</si>
  <si>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</si>
  <si>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</si>
  <si>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</si>
  <si>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</si>
  <si>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</si>
  <si>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</si>
  <si>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</si>
  <si>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</si>
  <si>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</si>
  <si>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</si>
  <si>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</si>
  <si>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</si>
  <si>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</si>
  <si>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</si>
  <si>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</si>
  <si>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</si>
  <si>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</si>
  <si>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</si>
  <si>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</si>
  <si>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</si>
  <si>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</si>
  <si>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</si>
  <si>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</si>
  <si>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</si>
  <si>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</si>
  <si>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</si>
  <si>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</si>
  <si>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</si>
  <si>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</si>
  <si>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</si>
  <si>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</si>
  <si>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</si>
  <si>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</si>
  <si>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</si>
  <si>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</si>
  <si>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</si>
  <si>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</si>
  <si>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</si>
  <si>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</si>
  <si>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</si>
  <si>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</si>
  <si>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</si>
  <si>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</si>
  <si>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</si>
  <si>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</si>
  <si>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</si>
  <si>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</si>
  <si>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</si>
  <si>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</si>
  <si>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</si>
  <si>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</si>
  <si>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</si>
  <si>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</si>
  <si>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</si>
  <si>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</si>
  <si>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</si>
  <si>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</si>
  <si>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</si>
  <si>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</si>
  <si>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</si>
  <si>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</si>
  <si>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</si>
  <si>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</si>
  <si>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</si>
  <si>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</si>
  <si>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</si>
  <si>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</si>
  <si>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</si>
  <si>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</si>
  <si>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</si>
  <si>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</si>
  <si>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</si>
  <si>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</si>
  <si>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</si>
  <si>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</si>
  <si>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</si>
  <si>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</si>
  <si>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</si>
  <si>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</si>
  <si>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</si>
  <si>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</si>
  <si>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</si>
  <si>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</si>
  <si>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</si>
  <si>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</si>
  <si>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</si>
  <si>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</si>
  <si>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</si>
  <si>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</si>
  <si>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</si>
  <si>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</si>
  <si>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</si>
  <si>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</si>
  <si>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</si>
  <si>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</si>
  <si>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</si>
  <si>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</si>
  <si>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</si>
  <si>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</si>
  <si>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</si>
  <si>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</si>
  <si>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</si>
  <si>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</si>
  <si>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</si>
  <si>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</si>
  <si>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</si>
  <si>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</si>
  <si>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</si>
  <si>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</si>
  <si>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</si>
  <si>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</si>
  <si>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</si>
  <si>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</si>
  <si>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</si>
  <si>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</si>
  <si>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</si>
  <si>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</si>
  <si>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</si>
  <si>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</si>
  <si>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</si>
  <si>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</si>
  <si>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</si>
  <si>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</si>
  <si>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</si>
  <si>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</si>
  <si>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</si>
  <si>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</si>
  <si>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</si>
  <si>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</si>
  <si>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</si>
  <si>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</si>
  <si>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</si>
  <si>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</si>
  <si>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</si>
  <si>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</si>
  <si>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</si>
  <si>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</si>
  <si>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</si>
  <si>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</si>
  <si>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</si>
  <si>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</si>
  <si>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</si>
  <si>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</si>
  <si>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</si>
  <si>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</si>
  <si>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</si>
  <si>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</si>
  <si>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</si>
  <si>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</si>
  <si>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</si>
  <si>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</si>
  <si>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</si>
  <si>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</si>
  <si>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</si>
  <si>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</si>
  <si>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</si>
  <si>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</si>
  <si>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</si>
  <si>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</si>
  <si>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</si>
  <si>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</si>
  <si>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</si>
  <si>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</si>
  <si>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</si>
  <si>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</si>
  <si>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</si>
  <si>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</si>
  <si>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</si>
  <si>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</si>
  <si>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</si>
  <si>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</si>
  <si>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</si>
  <si>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</si>
  <si>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</si>
  <si>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</si>
  <si>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</si>
  <si>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</si>
  <si>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</si>
  <si>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</si>
  <si>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</si>
  <si>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</si>
  <si>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</si>
  <si>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</si>
  <si>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</si>
  <si>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</si>
  <si>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</si>
  <si>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</si>
  <si>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</si>
  <si>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</si>
  <si>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</si>
  <si>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</si>
  <si>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</si>
  <si>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</si>
  <si>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</si>
  <si>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</si>
  <si>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</si>
  <si>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</si>
  <si>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</si>
  <si>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</si>
  <si>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</si>
  <si>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</si>
  <si>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</si>
  <si>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</si>
  <si>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</si>
  <si>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</si>
  <si>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</si>
  <si>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</si>
  <si>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</si>
  <si>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</si>
  <si>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</si>
  <si>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</si>
  <si>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</si>
  <si>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</si>
  <si>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</si>
  <si>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</si>
  <si>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</si>
  <si>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</si>
  <si>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</si>
  <si>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</si>
  <si>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</si>
  <si>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</si>
  <si>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</si>
  <si>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</si>
  <si>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</si>
  <si>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</si>
  <si>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</si>
  <si>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</si>
  <si>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</si>
  <si>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</si>
  <si>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</si>
  <si>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</si>
  <si>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</si>
  <si>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</si>
  <si>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</si>
  <si>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</si>
  <si>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</si>
  <si>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</si>
  <si>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</si>
  <si>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</si>
  <si>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</si>
  <si>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</si>
  <si>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</si>
  <si>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</si>
  <si>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</si>
  <si>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</si>
  <si>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</si>
  <si>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</si>
  <si>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</si>
  <si>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</si>
  <si>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</si>
  <si>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</si>
  <si>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</si>
  <si>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</si>
  <si>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</si>
  <si>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</si>
  <si>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</si>
  <si>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</si>
  <si>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</si>
  <si>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</si>
  <si>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</si>
  <si>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</si>
  <si>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</si>
  <si>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</si>
  <si>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</si>
  <si>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</si>
  <si>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</si>
  <si>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</si>
  <si>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</si>
  <si>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</si>
  <si>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</si>
  <si>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</si>
  <si>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</si>
  <si>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</si>
  <si>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</si>
  <si>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</si>
  <si>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</si>
  <si>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</si>
  <si>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</si>
  <si>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</si>
  <si>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</si>
  <si>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</si>
  <si>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</si>
  <si>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</si>
  <si>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</si>
  <si>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</si>
  <si>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</si>
  <si>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</si>
  <si>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</si>
  <si>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</si>
  <si>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</si>
  <si>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</si>
  <si>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</si>
  <si>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</si>
  <si>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</si>
  <si>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</si>
  <si>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</si>
  <si>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</si>
  <si>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</si>
  <si>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</si>
  <si>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</si>
  <si>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</si>
  <si>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</si>
  <si>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</si>
  <si>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</si>
  <si>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</si>
  <si>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</si>
  <si>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</si>
  <si>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</si>
  <si>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</si>
  <si>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</si>
  <si>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</si>
  <si>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</si>
  <si>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</si>
  <si>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</si>
  <si>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</si>
  <si>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</si>
  <si>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</si>
  <si>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</si>
  <si>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</si>
  <si>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</si>
  <si>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</si>
  <si>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</si>
  <si>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</si>
  <si>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</si>
  <si>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</si>
  <si>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</si>
  <si>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</si>
  <si>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</si>
  <si>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</si>
  <si>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</si>
  <si>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</si>
  <si>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</si>
  <si>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</si>
  <si>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</si>
  <si>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</si>
  <si>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</si>
  <si>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</si>
  <si>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</si>
  <si>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</si>
  <si>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</si>
  <si>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</si>
  <si>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</si>
  <si>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</si>
  <si>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</si>
  <si>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</si>
  <si>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</si>
  <si>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</si>
  <si>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</si>
  <si>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</si>
  <si>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</si>
  <si>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</si>
  <si>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</si>
  <si>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</si>
  <si>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</si>
  <si>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</si>
  <si>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</si>
  <si>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</si>
  <si>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</si>
  <si>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</si>
  <si>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</si>
  <si>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</si>
  <si>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</si>
  <si>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</si>
  <si>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</si>
  <si>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</si>
  <si>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</si>
  <si>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</si>
  <si>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</si>
  <si>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</si>
  <si>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</si>
  <si>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</si>
  <si>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</si>
  <si>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</si>
  <si>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</si>
  <si>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</si>
  <si>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</si>
  <si>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</si>
  <si>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</si>
  <si>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</si>
  <si>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</si>
  <si>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</si>
  <si>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</si>
  <si>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</si>
  <si>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</si>
  <si>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</si>
  <si>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</si>
  <si>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</si>
  <si>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</si>
  <si>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</si>
  <si>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</si>
  <si>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</si>
  <si>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</si>
  <si>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</si>
  <si>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</si>
  <si>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</si>
  <si>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</si>
  <si>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</si>
  <si>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</si>
  <si>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</si>
  <si>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</si>
  <si>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</si>
  <si>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</si>
  <si>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</si>
  <si>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</si>
  <si>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</si>
  <si>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</si>
  <si>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</si>
  <si>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</si>
  <si>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</si>
  <si>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</si>
  <si>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</si>
  <si>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</si>
  <si>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</si>
  <si>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</si>
  <si>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</si>
  <si>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</si>
  <si>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</si>
  <si>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</si>
  <si>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</si>
  <si>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</si>
  <si>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</si>
  <si>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</si>
  <si>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</si>
  <si>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</si>
  <si>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</si>
  <si>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</si>
  <si>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</si>
  <si>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</si>
  <si>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</si>
  <si>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</si>
  <si>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</si>
  <si>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</si>
  <si>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</si>
  <si>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</si>
  <si>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</si>
  <si>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</si>
  <si>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</si>
  <si>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</si>
  <si>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</si>
  <si>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</si>
  <si>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</si>
  <si>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</si>
  <si>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</si>
  <si>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</si>
  <si>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</si>
  <si>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</si>
  <si>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</si>
  <si>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</si>
  <si>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</si>
  <si>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</si>
  <si>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</si>
  <si>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</si>
  <si>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</si>
  <si>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</si>
  <si>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</si>
  <si>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</si>
  <si>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</si>
  <si>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</si>
  <si>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</si>
  <si>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</si>
  <si>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</si>
  <si>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</si>
  <si>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</si>
  <si>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</si>
  <si>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</si>
  <si>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</si>
  <si>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</si>
  <si>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</si>
  <si>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</si>
  <si>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</si>
  <si>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</si>
  <si>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</si>
  <si>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</si>
  <si>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</si>
  <si>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</si>
  <si>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</si>
  <si>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</si>
  <si>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</si>
  <si>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</si>
  <si>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</si>
  <si>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</si>
  <si>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</si>
  <si>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</si>
  <si>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</si>
  <si>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</si>
  <si>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</si>
  <si>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</si>
  <si>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</si>
  <si>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</si>
  <si>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</si>
  <si>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</si>
  <si>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</si>
  <si>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</si>
  <si>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</si>
  <si>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</si>
  <si>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</si>
  <si>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</si>
  <si>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</si>
  <si>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</si>
  <si>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</si>
  <si>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</si>
  <si>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</si>
  <si>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</si>
  <si>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</si>
  <si>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</si>
  <si>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</si>
  <si>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</si>
  <si>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</si>
  <si>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</si>
  <si>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</si>
  <si>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</si>
  <si>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</si>
  <si>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</si>
  <si>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</si>
  <si>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</si>
  <si>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</si>
  <si>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</si>
  <si>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</si>
  <si>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</si>
  <si>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</si>
  <si>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</si>
  <si>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</si>
  <si>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</si>
  <si>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</si>
  <si>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</si>
  <si>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</si>
  <si>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</si>
  <si>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</si>
  <si>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</si>
  <si>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</si>
  <si>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</si>
  <si>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</si>
  <si>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</si>
  <si>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</si>
  <si>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</si>
  <si>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</si>
  <si>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</si>
  <si>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</si>
  <si>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</si>
  <si>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</si>
  <si>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</si>
  <si>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</si>
  <si>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</si>
  <si>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</si>
  <si>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</si>
  <si>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</si>
  <si>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</si>
  <si>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</si>
  <si>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</si>
  <si>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</si>
  <si>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</si>
  <si>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</si>
  <si>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</si>
  <si>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</si>
  <si>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</si>
  <si>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</si>
  <si>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</si>
  <si>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</si>
  <si>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</si>
  <si>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</si>
  <si>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</si>
  <si>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</si>
  <si>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</si>
  <si>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</si>
  <si>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</si>
  <si>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</si>
  <si>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</si>
  <si>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</si>
  <si>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</si>
  <si>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</si>
  <si>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</si>
  <si>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</si>
  <si>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</si>
  <si>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</si>
  <si>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</si>
  <si>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</si>
  <si>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</si>
  <si>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</si>
  <si>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</si>
  <si>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</si>
  <si>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</si>
  <si>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</si>
  <si>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</si>
  <si>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</si>
  <si>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</si>
  <si>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</si>
  <si>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</si>
  <si>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</si>
  <si>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</si>
  <si>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</si>
  <si>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</si>
  <si>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</si>
  <si>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</si>
  <si>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</si>
  <si>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</si>
  <si>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</si>
  <si>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</si>
  <si>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</si>
  <si>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</si>
  <si>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</si>
  <si>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</si>
  <si>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</si>
  <si>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</si>
  <si>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</si>
  <si>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</si>
  <si>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</si>
  <si>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</si>
  <si>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</si>
  <si>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</si>
  <si>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</si>
  <si>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</si>
  <si>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</si>
  <si>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</si>
  <si>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</si>
  <si>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</si>
  <si>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</si>
  <si>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</si>
  <si>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</si>
  <si>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</si>
  <si>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</si>
  <si>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</si>
  <si>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</si>
  <si>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</si>
  <si>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</si>
  <si>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</si>
  <si>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</si>
  <si>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</si>
  <si>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</si>
  <si>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</si>
  <si>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</si>
  <si>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</si>
  <si>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</si>
  <si>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</si>
  <si>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</si>
  <si>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</si>
  <si>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</si>
  <si>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</si>
  <si>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</si>
  <si>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</si>
  <si>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</si>
  <si>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</si>
  <si>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</si>
  <si>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</si>
  <si>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</si>
  <si>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</si>
  <si>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</si>
  <si>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</si>
  <si>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</si>
  <si>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</si>
  <si>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</si>
  <si>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</si>
  <si>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</si>
  <si>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</si>
  <si>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</si>
  <si>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</si>
  <si>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</si>
  <si>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</si>
  <si>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</si>
  <si>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</si>
  <si>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</si>
  <si>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</si>
  <si>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</si>
  <si>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</si>
  <si>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</si>
  <si>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</si>
  <si>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</si>
  <si>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</si>
  <si>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</si>
  <si>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</si>
  <si>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</si>
  <si>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</si>
  <si>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</si>
  <si>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</si>
  <si>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</si>
  <si>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</si>
  <si>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</si>
  <si>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</si>
  <si>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</si>
  <si>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</si>
  <si>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</si>
  <si>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</si>
  <si>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</si>
  <si>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</si>
  <si>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</si>
  <si>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</si>
  <si>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</si>
  <si>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</si>
  <si>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</si>
  <si>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</si>
  <si>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</si>
  <si>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</si>
  <si>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</si>
  <si>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</si>
  <si>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</si>
  <si>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</si>
  <si>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</si>
  <si>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</si>
  <si>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</si>
  <si>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</si>
  <si>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</si>
  <si>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</si>
  <si>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</si>
  <si>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</si>
  <si>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</si>
  <si>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</si>
  <si>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</si>
  <si>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</si>
  <si>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</si>
  <si>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</si>
  <si>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</si>
  <si>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</si>
  <si>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</si>
  <si>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</si>
  <si>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</si>
  <si>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</si>
  <si>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</si>
  <si>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</si>
  <si>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</si>
  <si>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</si>
  <si>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</si>
  <si>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</si>
  <si>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</si>
  <si>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</si>
  <si>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</si>
  <si>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</si>
  <si>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</si>
  <si>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</si>
  <si>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</si>
  <si>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</si>
  <si>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</si>
  <si>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</si>
  <si>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</si>
  <si>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</si>
  <si>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</si>
  <si>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</si>
  <si>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</si>
  <si>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</si>
  <si>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</si>
  <si>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</si>
  <si>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</si>
  <si>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</si>
  <si>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</si>
  <si>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</si>
  <si>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</si>
  <si>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</si>
  <si>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</si>
  <si>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</si>
  <si>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</si>
  <si>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</si>
  <si>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</si>
  <si>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</si>
  <si>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</si>
  <si>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</si>
  <si>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</si>
  <si>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</si>
  <si>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</si>
  <si>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</si>
  <si>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</si>
  <si>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</si>
  <si>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</si>
  <si>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</si>
  <si>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</si>
  <si>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</si>
  <si>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</si>
  <si>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</si>
  <si>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</si>
  <si>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</si>
  <si>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</si>
  <si>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</si>
  <si>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</si>
  <si>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</si>
  <si>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</si>
  <si>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</si>
  <si>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</si>
  <si>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</si>
  <si>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</si>
  <si>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</si>
  <si>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</si>
  <si>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</si>
  <si>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</si>
  <si>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</si>
  <si>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</si>
  <si>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</si>
  <si>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</si>
  <si>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</si>
  <si>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</si>
  <si>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</si>
  <si>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</si>
  <si>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</si>
  <si>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</si>
  <si>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</si>
  <si>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</si>
  <si>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</si>
  <si>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</si>
  <si>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</si>
  <si>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</si>
  <si>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</si>
  <si>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</si>
  <si>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</si>
  <si>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</si>
  <si>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</si>
  <si>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</si>
  <si>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</si>
  <si>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</si>
  <si>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</si>
  <si>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</si>
  <si>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</si>
  <si>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</si>
  <si>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</si>
  <si>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</si>
  <si>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</si>
  <si>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</si>
  <si>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</si>
  <si>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</si>
  <si>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</si>
  <si>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</si>
  <si>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</si>
  <si>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</si>
  <si>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</si>
  <si>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</si>
  <si>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</si>
  <si>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</si>
  <si>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</si>
  <si>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</si>
  <si>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</si>
  <si>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</si>
  <si>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</si>
  <si>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</si>
  <si>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</si>
  <si>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</si>
  <si>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</si>
  <si>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</si>
  <si>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</si>
  <si>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</si>
  <si>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</si>
  <si>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</si>
  <si>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</si>
  <si>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</si>
  <si>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</si>
  <si>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</si>
  <si>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</si>
  <si>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</si>
  <si>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</si>
  <si>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</si>
  <si>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</si>
  <si>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</si>
  <si>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</si>
  <si>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</si>
  <si>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</si>
  <si>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</si>
  <si>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</si>
  <si>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</si>
  <si>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</si>
  <si>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</si>
  <si>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</si>
  <si>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</si>
  <si>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</si>
  <si>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</si>
  <si>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</si>
  <si>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</si>
  <si>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</si>
  <si>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</si>
  <si>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</si>
  <si>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</si>
  <si>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</si>
  <si>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</si>
  <si>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</si>
  <si>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</si>
  <si>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</si>
  <si>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</si>
  <si>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</si>
  <si>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</si>
  <si>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</si>
  <si>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</si>
  <si>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</si>
  <si>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</si>
  <si>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</si>
  <si>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</si>
  <si>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</si>
  <si>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</si>
  <si>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</si>
  <si>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</si>
  <si>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</si>
  <si>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</si>
  <si>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</si>
  <si>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</si>
  <si>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</si>
  <si>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</si>
  <si>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</si>
  <si>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</si>
  <si>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</si>
  <si>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</si>
  <si>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</si>
  <si>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</si>
  <si>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</si>
  <si>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</si>
  <si>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</si>
  <si>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</si>
  <si>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</si>
  <si>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</si>
  <si>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</si>
  <si>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</si>
  <si>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</si>
  <si>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</si>
  <si>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</si>
  <si>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</si>
  <si>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</si>
  <si>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</si>
  <si>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</si>
  <si>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</si>
  <si>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</si>
  <si>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</si>
  <si>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</si>
  <si>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</si>
  <si>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</si>
  <si>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</si>
  <si>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</si>
  <si>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</si>
  <si>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</si>
  <si>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</si>
  <si>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</si>
  <si>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</si>
  <si>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</si>
  <si>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</si>
  <si>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</si>
  <si>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</si>
  <si>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</si>
  <si>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</si>
  <si>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</si>
  <si>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</si>
  <si>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</si>
  <si>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</si>
  <si>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</si>
  <si>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</si>
  <si>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</si>
  <si>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</si>
  <si>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</si>
  <si>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</si>
  <si>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</si>
  <si>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</si>
  <si>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</si>
  <si>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</si>
  <si>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</si>
  <si>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</si>
  <si>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</si>
  <si>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</si>
  <si>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</si>
  <si>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</si>
  <si>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</si>
  <si>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</si>
  <si>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</si>
  <si>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</si>
  <si>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</si>
  <si>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</si>
  <si>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</si>
  <si>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</si>
  <si>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</si>
  <si>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</si>
  <si>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</si>
  <si>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</si>
  <si>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</si>
  <si>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</si>
  <si>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</si>
  <si>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</si>
  <si>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</si>
  <si>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</si>
  <si>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</si>
  <si>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</si>
  <si>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</si>
  <si>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</si>
  <si>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</si>
  <si>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</si>
  <si>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</si>
  <si>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</si>
  <si>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</si>
  <si>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</si>
  <si>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</si>
  <si>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</si>
  <si>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</si>
  <si>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</si>
  <si>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</si>
  <si>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</si>
  <si>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</si>
  <si>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</si>
  <si>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</si>
  <si>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</si>
  <si>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</si>
  <si>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</si>
  <si>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</si>
  <si>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</si>
  <si>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</si>
  <si>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</si>
  <si>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</si>
  <si>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</si>
  <si>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</si>
  <si>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</si>
  <si>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</si>
  <si>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</si>
  <si>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</si>
  <si>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</si>
  <si>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</si>
  <si>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</si>
  <si>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</si>
  <si>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</si>
  <si>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</si>
  <si>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</si>
  <si>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</si>
  <si>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</si>
  <si>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</si>
  <si>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</si>
  <si>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</si>
  <si>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</si>
  <si>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</si>
  <si>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</si>
  <si>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</si>
  <si>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</si>
  <si>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</si>
  <si>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</si>
  <si>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</si>
  <si>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</si>
  <si>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</si>
  <si>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</si>
  <si>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</si>
  <si>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</si>
  <si>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</si>
  <si>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</si>
  <si>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</si>
  <si>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</si>
  <si>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</si>
  <si>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</si>
  <si>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</si>
  <si>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</si>
  <si>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</si>
  <si>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</si>
  <si>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</si>
  <si>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</si>
  <si>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</si>
  <si>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</si>
  <si>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</si>
  <si>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</si>
  <si>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</si>
  <si>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</si>
  <si>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</si>
  <si>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</si>
  <si>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</si>
  <si>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</si>
  <si>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</si>
  <si>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</si>
  <si>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</si>
  <si>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</si>
  <si>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</si>
  <si>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</si>
  <si>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</si>
  <si>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</si>
  <si>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</si>
  <si>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</si>
  <si>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</si>
  <si>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</si>
  <si>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</si>
  <si>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</si>
  <si>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</si>
  <si>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</si>
  <si>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</si>
  <si>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</si>
  <si>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</si>
  <si>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</si>
  <si>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</si>
  <si>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</si>
  <si>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</si>
  <si>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</si>
  <si>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</si>
  <si>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</si>
  <si>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</si>
  <si>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</si>
  <si>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</si>
  <si>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</si>
  <si>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</si>
  <si>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</si>
  <si>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</si>
  <si>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</si>
  <si>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</si>
  <si>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</si>
  <si>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</si>
  <si>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</si>
  <si>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</si>
  <si>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</si>
  <si>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</si>
  <si>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</si>
  <si>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</si>
  <si>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</si>
  <si>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</si>
  <si>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</si>
  <si>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</si>
  <si>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</si>
  <si>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</si>
  <si>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</si>
  <si>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</si>
  <si>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</si>
  <si>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</si>
  <si>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</si>
  <si>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</si>
  <si>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</si>
  <si>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</si>
  <si>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</si>
  <si>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</si>
  <si>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</si>
  <si>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</si>
  <si>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</si>
  <si>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</si>
  <si>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</si>
  <si>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</si>
  <si>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</si>
  <si>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</si>
  <si>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</si>
  <si>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</si>
  <si>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</si>
  <si>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</si>
  <si>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</si>
  <si>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</si>
  <si>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</si>
  <si>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</si>
  <si>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</si>
  <si>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</si>
  <si>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</si>
  <si>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</si>
  <si>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</si>
  <si>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</si>
  <si>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</si>
  <si>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</si>
  <si>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</si>
  <si>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</si>
  <si>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</si>
  <si>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</si>
  <si>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</si>
  <si>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</si>
  <si>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</si>
  <si>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</si>
  <si>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</si>
  <si>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</si>
  <si>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</si>
  <si>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</si>
  <si>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</si>
  <si>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</si>
  <si>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</si>
  <si>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</si>
  <si>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</si>
  <si>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</si>
  <si>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</si>
  <si>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</si>
  <si>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</si>
  <si>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</si>
  <si>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</si>
  <si>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</si>
  <si>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</si>
  <si>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</si>
  <si>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</si>
  <si>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</si>
  <si>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</si>
  <si>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</si>
  <si>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</si>
  <si>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</si>
  <si>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</si>
  <si>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</si>
  <si>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</si>
  <si>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</si>
  <si>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</si>
  <si>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</si>
  <si>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</si>
  <si>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</si>
  <si>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</si>
  <si>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</si>
  <si>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</si>
  <si>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</si>
  <si>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</si>
  <si>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</si>
  <si>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</si>
  <si>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</si>
  <si>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</si>
  <si>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</si>
  <si>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</si>
  <si>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</si>
  <si>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</si>
  <si>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</si>
  <si>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</si>
  <si>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</si>
  <si>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</si>
  <si>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</si>
  <si>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</si>
  <si>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</si>
  <si>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</si>
  <si>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</si>
  <si>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</si>
  <si>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</si>
  <si>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</si>
  <si>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</si>
  <si>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</si>
  <si>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</si>
  <si>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</si>
  <si>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</si>
  <si>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</si>
  <si>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</si>
  <si>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</si>
  <si>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</si>
  <si>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</si>
  <si>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</si>
  <si>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</si>
  <si>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</si>
  <si>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</si>
  <si>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</si>
  <si>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</si>
  <si>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</si>
  <si>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</si>
  <si>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</si>
  <si>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</si>
  <si>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</si>
  <si>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</si>
  <si>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</si>
  <si>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</si>
  <si>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</si>
  <si>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</si>
  <si>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</si>
  <si>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</si>
  <si>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</si>
  <si>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</si>
  <si>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</si>
  <si>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</si>
  <si>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</si>
  <si>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</si>
  <si>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</si>
  <si>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</si>
  <si>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</si>
  <si>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</si>
  <si>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</si>
  <si>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</si>
  <si>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</si>
  <si>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</si>
  <si>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</si>
  <si>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</si>
  <si>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</si>
  <si>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</si>
  <si>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</si>
  <si>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</si>
  <si>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</si>
  <si>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</si>
  <si>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</si>
  <si>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</si>
  <si>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</si>
  <si>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</si>
  <si>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</si>
  <si>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</si>
  <si>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</si>
  <si>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</si>
  <si>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</si>
  <si>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</si>
  <si>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</si>
  <si>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</si>
  <si>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</si>
  <si>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</si>
  <si>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</si>
  <si>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</si>
  <si>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</si>
  <si>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</si>
  <si>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</si>
  <si>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</si>
  <si>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</si>
  <si>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</si>
  <si>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</si>
  <si>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</si>
  <si>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</si>
  <si>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</si>
  <si>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</si>
  <si>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</si>
  <si>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</si>
  <si>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</si>
  <si>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</si>
  <si>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</si>
  <si>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</si>
  <si>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</si>
  <si>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</si>
  <si>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</si>
  <si>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</si>
  <si>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</si>
  <si>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</si>
  <si>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</si>
  <si>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</si>
  <si>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</si>
  <si>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</si>
  <si>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</si>
  <si>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</si>
  <si>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</si>
  <si>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</si>
  <si>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</si>
  <si>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</si>
  <si>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</si>
  <si>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</si>
  <si>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</si>
  <si>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</si>
  <si>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</si>
  <si>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</si>
  <si>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</si>
  <si>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</si>
  <si>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</si>
  <si>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</si>
  <si>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</si>
  <si>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</si>
  <si>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</si>
  <si>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</si>
  <si>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</si>
  <si>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</si>
  <si>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</si>
  <si>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</si>
  <si>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</si>
  <si>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</si>
  <si>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</si>
  <si>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</si>
  <si>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</si>
  <si>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</si>
  <si>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</si>
  <si>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</si>
  <si>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</si>
  <si>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</si>
  <si>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</si>
  <si>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</si>
  <si>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</si>
  <si>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</si>
  <si>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</si>
  <si>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</si>
  <si>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</si>
  <si>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</si>
  <si>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</si>
  <si>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</si>
  <si>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</si>
  <si>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</si>
  <si>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</si>
  <si>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</si>
  <si>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</si>
  <si>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</si>
  <si>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</si>
  <si>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</si>
  <si>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</si>
  <si>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</si>
  <si>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</si>
  <si>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</si>
  <si>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</si>
  <si>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</si>
  <si>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</si>
  <si>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</si>
  <si>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</si>
  <si>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</si>
  <si>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</si>
  <si>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</si>
  <si>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</si>
  <si>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</si>
  <si>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</si>
  <si>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</si>
  <si>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</si>
  <si>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</si>
  <si>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</si>
  <si>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</si>
  <si>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</si>
  <si>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</si>
  <si>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</si>
  <si>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</si>
  <si>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</si>
  <si>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</si>
  <si>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</si>
  <si>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</si>
  <si>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</si>
  <si>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</si>
  <si>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</si>
  <si>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</si>
  <si>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</si>
  <si>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</si>
  <si>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</si>
  <si>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</si>
  <si>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</si>
  <si>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</si>
  <si>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</si>
  <si>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</si>
  <si>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</si>
  <si>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</si>
  <si>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</si>
  <si>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</si>
  <si>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</si>
  <si>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</si>
  <si>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</si>
  <si>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</si>
  <si>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</si>
  <si>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</si>
  <si>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</si>
  <si>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</si>
  <si>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</si>
  <si>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</si>
  <si>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</si>
  <si>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</si>
  <si>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</si>
  <si>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</si>
  <si>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</si>
  <si>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</si>
  <si>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</si>
  <si>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</si>
  <si>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</si>
  <si>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</si>
  <si>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</si>
  <si>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</si>
  <si>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</si>
  <si>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</si>
  <si>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</si>
  <si>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</si>
  <si>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</si>
  <si>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</si>
  <si>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</si>
  <si>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</si>
  <si>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</si>
  <si>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</si>
  <si>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</si>
  <si>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</si>
  <si>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</si>
  <si>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</si>
  <si>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</si>
  <si>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</si>
  <si>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</si>
  <si>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</si>
  <si>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</si>
  <si>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</si>
  <si>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</si>
  <si>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</si>
  <si>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</si>
  <si>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</si>
  <si>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</si>
  <si>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</si>
  <si>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</si>
  <si>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</si>
  <si>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</si>
  <si>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</si>
  <si>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</si>
  <si>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</si>
  <si>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</si>
  <si>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</si>
  <si>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</si>
  <si>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</si>
  <si>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</si>
  <si>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</si>
  <si>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</si>
  <si>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</si>
  <si>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</si>
  <si>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</si>
  <si>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</si>
  <si>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</si>
  <si>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</si>
  <si>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</si>
  <si>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</si>
  <si>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</si>
  <si>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</si>
  <si>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</si>
  <si>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</si>
  <si>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</si>
  <si>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</si>
  <si>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</si>
  <si>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</si>
  <si>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</si>
  <si>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</si>
  <si>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</si>
  <si>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</si>
  <si>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</si>
  <si>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</si>
  <si>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</si>
  <si>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</si>
  <si>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</si>
  <si>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</si>
  <si>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</si>
  <si>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</si>
  <si>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</si>
  <si>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</si>
  <si>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</si>
  <si>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</si>
  <si>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</si>
  <si>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</si>
  <si>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</si>
  <si>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</si>
  <si>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</si>
  <si>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</si>
  <si>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</si>
  <si>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</si>
  <si>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</si>
  <si>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</si>
  <si>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</si>
  <si>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</si>
  <si>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</si>
  <si>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</si>
  <si>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</si>
  <si>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</si>
  <si>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</si>
  <si>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</si>
  <si>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</si>
  <si>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</si>
  <si>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</si>
  <si>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</si>
  <si>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</si>
  <si>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</si>
  <si>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</si>
  <si>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</si>
  <si>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</si>
  <si>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</si>
  <si>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</si>
  <si>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</si>
  <si>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</si>
  <si>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</si>
  <si>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</si>
  <si>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</si>
  <si>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</si>
  <si>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</si>
  <si>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</si>
  <si>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</si>
  <si>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</si>
  <si>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</si>
  <si>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</si>
  <si>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</si>
  <si>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</si>
  <si>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</si>
  <si>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</si>
  <si>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</si>
  <si>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</si>
  <si>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</si>
  <si>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</si>
  <si>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</si>
  <si>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</si>
  <si>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</si>
  <si>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</si>
  <si>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</si>
  <si>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</si>
  <si>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</si>
  <si>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</si>
  <si>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</si>
  <si>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</si>
  <si>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</si>
  <si>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</si>
  <si>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</si>
  <si>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</si>
  <si>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</si>
  <si>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</si>
  <si>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</si>
  <si>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</si>
  <si>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</si>
  <si>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</si>
  <si>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</si>
  <si>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</si>
  <si>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</si>
  <si>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</si>
  <si>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</si>
  <si>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</si>
  <si>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</si>
  <si>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</si>
  <si>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</si>
  <si>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</si>
  <si>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</si>
  <si>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</si>
  <si>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</si>
  <si>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</si>
  <si>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</si>
  <si>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</si>
  <si>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</si>
  <si>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</si>
  <si>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</si>
  <si>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</si>
  <si>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</si>
  <si>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</si>
  <si>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</si>
  <si>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</si>
  <si>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</si>
  <si>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</si>
  <si>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</si>
  <si>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</si>
  <si>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</si>
  <si>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</si>
  <si>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</si>
  <si>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</si>
  <si>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</si>
  <si>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</si>
  <si>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</si>
  <si>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</si>
  <si>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</si>
  <si>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</si>
  <si>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</si>
  <si>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</si>
  <si>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</si>
  <si>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</si>
  <si>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</si>
  <si>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</si>
  <si>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</si>
  <si>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</si>
  <si>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</si>
  <si>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</si>
  <si>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</si>
  <si>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</si>
  <si>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</si>
  <si>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</si>
  <si>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</si>
  <si>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</si>
  <si>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</si>
  <si>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</si>
  <si>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</si>
  <si>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</si>
  <si>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</si>
  <si>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</si>
  <si>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</si>
  <si>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</si>
  <si>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</si>
  <si>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</si>
  <si>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</si>
  <si>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</si>
  <si>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</si>
  <si>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</si>
  <si>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</si>
  <si>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</si>
  <si>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</si>
  <si>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</si>
  <si>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</si>
  <si>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</si>
  <si>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</si>
  <si>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</si>
  <si>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</si>
  <si>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</si>
  <si>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</si>
  <si>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</si>
  <si>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</si>
  <si>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</si>
  <si>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</si>
  <si>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</si>
  <si>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</si>
  <si>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</si>
  <si>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</si>
  <si>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</si>
  <si>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</si>
  <si>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</si>
  <si>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</si>
  <si>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</si>
  <si>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</si>
  <si>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</si>
  <si>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</si>
  <si>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</si>
  <si>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</si>
  <si>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</si>
  <si>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</si>
  <si>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</si>
  <si>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</si>
  <si>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</si>
  <si>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</si>
  <si>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</si>
  <si>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</si>
  <si>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</si>
  <si>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</si>
  <si>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</si>
  <si>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</si>
  <si>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</si>
  <si>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</si>
  <si>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</si>
  <si>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</si>
  <si>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</si>
  <si>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</si>
  <si>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</si>
  <si>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</si>
  <si>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</si>
  <si>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</si>
  <si>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</si>
  <si>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</si>
  <si>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</si>
  <si>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</si>
  <si>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</si>
  <si>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</si>
  <si>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</si>
  <si>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</si>
  <si>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</si>
  <si>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</si>
  <si>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</si>
  <si>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</si>
  <si>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</si>
  <si>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</si>
  <si>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</si>
  <si>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</si>
  <si>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</si>
  <si>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</si>
  <si>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</si>
  <si>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</si>
  <si>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</si>
  <si>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</si>
  <si>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</si>
  <si>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</si>
  <si>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</si>
  <si>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</si>
  <si>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</si>
  <si>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</si>
  <si>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</si>
  <si>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</si>
  <si>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</si>
  <si>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</si>
  <si>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</si>
  <si>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</si>
  <si>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</si>
  <si>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</si>
  <si>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</si>
  <si>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</si>
  <si>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</si>
  <si>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</si>
  <si>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</si>
  <si>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</si>
  <si>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</si>
  <si>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</si>
  <si>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</si>
  <si>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</si>
  <si>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</si>
  <si>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</si>
  <si>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</si>
  <si>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</si>
  <si>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</si>
  <si>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</si>
  <si>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</si>
  <si>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</si>
  <si>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</si>
  <si>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</si>
  <si>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</si>
  <si>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</si>
  <si>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</si>
  <si>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</si>
  <si>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</si>
  <si>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</si>
  <si>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</si>
  <si>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</si>
  <si>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</si>
  <si>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</si>
  <si>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</si>
  <si>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</si>
  <si>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</si>
  <si>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</si>
  <si>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</si>
  <si>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</si>
  <si>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</si>
  <si>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</si>
  <si>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</si>
  <si>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</si>
  <si>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</si>
  <si>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</si>
  <si>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</si>
  <si>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</si>
  <si>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</si>
  <si>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</si>
  <si>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</si>
  <si>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</si>
  <si>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</si>
  <si>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</si>
  <si>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</si>
  <si>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</si>
  <si>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</si>
  <si>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</si>
  <si>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</si>
  <si>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</si>
  <si>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</si>
  <si>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</si>
  <si>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</si>
  <si>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</si>
  <si>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</si>
  <si>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</si>
  <si>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</si>
  <si>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</si>
  <si>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</si>
  <si>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</si>
  <si>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</si>
  <si>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</si>
  <si>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</si>
  <si>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</si>
  <si>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</si>
  <si>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</si>
  <si>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</si>
  <si>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</si>
  <si>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</si>
  <si>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</si>
  <si>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</si>
  <si>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</si>
  <si>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</si>
  <si>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</si>
  <si>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</si>
  <si>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</si>
  <si>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</si>
  <si>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</si>
  <si>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</si>
  <si>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</si>
  <si>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</si>
  <si>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</si>
  <si>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</si>
  <si>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</si>
  <si>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</si>
  <si>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</si>
  <si>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</si>
  <si>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</si>
  <si>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</si>
  <si>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</si>
  <si>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</si>
  <si>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</si>
  <si>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</si>
  <si>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</si>
  <si>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</si>
  <si>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</si>
  <si>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</si>
  <si>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</si>
  <si>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</si>
  <si>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</si>
  <si>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</si>
  <si>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</si>
  <si>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</si>
  <si>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</si>
  <si>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</si>
  <si>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</si>
  <si>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</si>
  <si>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</si>
  <si>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</si>
  <si>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</si>
  <si>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</si>
  <si>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</si>
  <si>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</si>
  <si>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</si>
  <si>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</si>
  <si>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</si>
  <si>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</si>
  <si>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</si>
  <si>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</si>
  <si>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</si>
  <si>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</si>
  <si>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</si>
  <si>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</si>
  <si>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</si>
  <si>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</si>
  <si>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</si>
  <si>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</si>
  <si>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</si>
  <si>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</si>
  <si>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</si>
  <si>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</si>
  <si>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</si>
  <si>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</si>
  <si>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</si>
  <si>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</si>
  <si>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</si>
  <si>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</si>
  <si>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</si>
  <si>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</si>
  <si>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</si>
  <si>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</si>
  <si>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</si>
  <si>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</si>
  <si>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</si>
  <si>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</si>
  <si>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</si>
  <si>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</si>
  <si>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</si>
  <si>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</si>
  <si>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</si>
  <si>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</si>
  <si>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</si>
  <si>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</si>
  <si>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</si>
  <si>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</si>
  <si>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</si>
  <si>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</si>
  <si>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</si>
  <si>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</si>
  <si>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</si>
  <si>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</si>
  <si>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</si>
  <si>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</si>
  <si>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</si>
  <si>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</si>
  <si>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</si>
  <si>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</si>
  <si>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</si>
  <si>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</si>
  <si>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</si>
  <si>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</si>
  <si>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</si>
  <si>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</si>
  <si>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</si>
  <si>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</si>
  <si>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</si>
  <si>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</si>
  <si>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</si>
  <si>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</si>
  <si>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</si>
  <si>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</si>
  <si>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</si>
  <si>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</si>
  <si>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</si>
  <si>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</si>
  <si>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</si>
  <si>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</si>
  <si>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</si>
  <si>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</si>
  <si>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</si>
  <si>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</si>
  <si>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</si>
  <si>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</si>
  <si>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</si>
  <si>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</si>
  <si>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</si>
  <si>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</si>
  <si>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</si>
  <si>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</si>
  <si>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</si>
  <si>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</si>
  <si>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</si>
  <si>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</si>
  <si>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</si>
  <si>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</si>
  <si>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</si>
  <si>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</si>
  <si>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</si>
  <si>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</si>
  <si>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</si>
  <si>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</si>
  <si>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</si>
  <si>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</si>
  <si>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</si>
  <si>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</si>
  <si>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</si>
  <si>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</si>
  <si>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</si>
  <si>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</si>
  <si>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</si>
  <si>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</si>
  <si>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</si>
  <si>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</si>
  <si>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</si>
  <si>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</si>
  <si>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</si>
  <si>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</si>
  <si>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</si>
  <si>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</si>
  <si>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</si>
  <si>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</si>
  <si>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</si>
  <si>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</si>
  <si>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</si>
  <si>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</si>
  <si>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</si>
  <si>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</si>
  <si>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</si>
  <si>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</si>
  <si>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</si>
  <si>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</si>
  <si>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</si>
  <si>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</si>
  <si>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</si>
  <si>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</si>
  <si>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</si>
  <si>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</si>
  <si>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</si>
  <si>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</si>
  <si>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</si>
  <si>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</si>
  <si>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</si>
  <si>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</si>
  <si>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</si>
  <si>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</si>
  <si>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</si>
  <si>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</si>
  <si>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</si>
  <si>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</si>
  <si>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</si>
  <si>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</si>
  <si>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</si>
  <si>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</si>
  <si>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</si>
  <si>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</si>
  <si>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</si>
  <si>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</si>
  <si>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</si>
  <si>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</si>
  <si>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</si>
  <si>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</si>
  <si>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</si>
  <si>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</si>
  <si>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</si>
  <si>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</si>
  <si>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</si>
  <si>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</si>
  <si>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</si>
  <si>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</si>
  <si>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</si>
  <si>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</si>
  <si>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</si>
  <si>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</si>
  <si>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</si>
  <si>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</si>
  <si>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</si>
  <si>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</si>
  <si>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</si>
  <si>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</si>
  <si>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</si>
  <si>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</si>
  <si>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</si>
  <si>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</si>
  <si>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</si>
  <si>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</si>
  <si>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</si>
  <si>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</si>
  <si>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</si>
  <si>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</si>
  <si>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</si>
  <si>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</si>
  <si>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</si>
  <si>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</si>
  <si>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</si>
  <si>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</si>
  <si>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</si>
  <si>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</si>
  <si>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</si>
  <si>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</si>
  <si>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</si>
  <si>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</si>
  <si>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</si>
  <si>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</si>
  <si>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</si>
  <si>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</si>
  <si>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</si>
  <si>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</si>
  <si>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</si>
  <si>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</si>
  <si>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</si>
  <si>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</si>
  <si>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</si>
  <si>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</si>
  <si>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</si>
  <si>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</si>
  <si>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</si>
  <si>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</si>
  <si>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</si>
  <si>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</si>
  <si>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</si>
  <si>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</si>
  <si>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</si>
  <si>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</si>
  <si>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</si>
  <si>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</si>
  <si>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</si>
  <si>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</si>
  <si>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</si>
  <si>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</si>
  <si>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</si>
  <si>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</si>
  <si>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</si>
  <si>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</si>
  <si>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</si>
  <si>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</si>
  <si>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</si>
  <si>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</si>
  <si>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</si>
  <si>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</si>
  <si>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</si>
  <si>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</si>
  <si>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</si>
  <si>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</si>
  <si>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</si>
  <si>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</si>
  <si>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</si>
  <si>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</si>
  <si>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</si>
  <si>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</si>
  <si>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</si>
  <si>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</si>
  <si>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</si>
  <si>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</si>
  <si>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</si>
  <si>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</si>
  <si>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</si>
  <si>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</si>
  <si>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</si>
  <si>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</si>
  <si>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</si>
  <si>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</si>
  <si>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</si>
  <si>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</si>
  <si>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</si>
  <si>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</si>
  <si>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</si>
  <si>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</si>
  <si>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</si>
  <si>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</si>
  <si>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</si>
  <si>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</si>
  <si>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</si>
  <si>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</si>
  <si>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</si>
  <si>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</si>
  <si>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</si>
  <si>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</si>
  <si>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</si>
  <si>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</si>
  <si>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</si>
  <si>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</si>
  <si>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</si>
  <si>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</si>
  <si>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</si>
  <si>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</si>
  <si>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</si>
  <si>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</si>
  <si>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</si>
  <si>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</si>
  <si>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</si>
  <si>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</si>
  <si>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</si>
  <si>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</si>
  <si>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</si>
  <si>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</si>
  <si>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</si>
  <si>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</si>
  <si>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</si>
  <si>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</si>
  <si>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</si>
  <si>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</si>
  <si>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</si>
  <si>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</si>
  <si>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</si>
  <si>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</si>
  <si>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</si>
  <si>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</si>
  <si>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</si>
  <si>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</si>
  <si>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</si>
  <si>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</si>
  <si>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</si>
  <si>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</si>
  <si>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</si>
  <si>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</si>
  <si>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</si>
  <si>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</si>
  <si>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</si>
  <si>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</si>
  <si>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</si>
  <si>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</si>
  <si>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</si>
  <si>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</si>
  <si>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</si>
  <si>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</si>
  <si>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</si>
  <si>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</si>
  <si>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</si>
  <si>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</si>
  <si>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</si>
  <si>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</si>
  <si>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</si>
  <si>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</si>
  <si>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</si>
  <si>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</si>
  <si>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</si>
  <si>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</si>
  <si>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</si>
  <si>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</si>
  <si>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</si>
  <si>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</si>
  <si>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</si>
  <si>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</si>
  <si>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</si>
  <si>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</si>
  <si>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</si>
  <si>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</si>
  <si>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</si>
  <si>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</si>
  <si>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</si>
  <si>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</si>
  <si>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</si>
  <si>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</si>
  <si>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</si>
  <si>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</si>
  <si>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</si>
  <si>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</si>
  <si>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</si>
  <si>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</si>
  <si>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</si>
  <si>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</si>
  <si>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</si>
  <si>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</si>
  <si>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</si>
  <si>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</si>
  <si>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</si>
  <si>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</si>
  <si>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</si>
  <si>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</si>
  <si>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</si>
  <si>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</si>
  <si>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</si>
  <si>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</si>
  <si>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</si>
  <si>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</si>
  <si>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</si>
  <si>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</si>
  <si>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</si>
  <si>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</si>
  <si>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</si>
  <si>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</si>
  <si>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</si>
  <si>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</si>
  <si>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</si>
  <si>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</si>
  <si>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</si>
  <si>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</si>
  <si>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</si>
  <si>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</si>
  <si>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</si>
  <si>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</si>
  <si>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</si>
  <si>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</si>
  <si>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</si>
  <si>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</si>
  <si>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</si>
  <si>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</si>
  <si>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</si>
  <si>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</si>
  <si>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</si>
  <si>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</si>
  <si>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</si>
  <si>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</si>
  <si>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</si>
  <si>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</si>
  <si>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</si>
  <si>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</si>
  <si>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</si>
  <si>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</si>
  <si>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</si>
  <si>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</si>
  <si>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</si>
  <si>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</si>
  <si>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</si>
  <si>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</si>
  <si>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</si>
  <si>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</si>
  <si>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</si>
  <si>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</si>
  <si>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</si>
  <si>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</si>
  <si>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</si>
  <si>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</si>
  <si>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</si>
  <si>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</si>
  <si>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</si>
  <si>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</si>
  <si>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</si>
  <si>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</si>
  <si>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</si>
  <si>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</si>
  <si>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</si>
  <si>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</si>
  <si>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</si>
  <si>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</si>
  <si>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</si>
  <si>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</si>
  <si>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</si>
  <si>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</si>
  <si>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</si>
  <si>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</si>
  <si>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</si>
  <si>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</si>
  <si>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</si>
  <si>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</si>
  <si>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</si>
  <si>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</si>
  <si>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</si>
  <si>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</si>
  <si>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</si>
  <si>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</si>
  <si>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</si>
  <si>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</si>
  <si>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</si>
  <si>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</si>
  <si>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</si>
  <si>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</si>
  <si>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</si>
  <si>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</si>
  <si>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</si>
  <si>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</si>
  <si>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</si>
  <si>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</si>
  <si>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</si>
  <si>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</si>
  <si>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</si>
  <si>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</si>
  <si>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</si>
  <si>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</si>
  <si>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</si>
  <si>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</si>
  <si>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</si>
  <si>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</si>
  <si>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</si>
  <si>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</si>
  <si>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</si>
  <si>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</si>
  <si>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</si>
  <si>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</si>
  <si>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</si>
  <si>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</si>
  <si>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</si>
  <si>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</si>
  <si>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</si>
  <si>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</si>
  <si>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</si>
  <si>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</si>
  <si>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</si>
  <si>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</si>
  <si>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</si>
  <si>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</si>
  <si>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</si>
  <si>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</si>
  <si>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</si>
  <si>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</si>
  <si>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</si>
  <si>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</si>
  <si>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</si>
  <si>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</si>
  <si>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</si>
  <si>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</si>
  <si>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</si>
  <si>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</si>
  <si>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</si>
  <si>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</si>
  <si>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</si>
  <si>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</si>
  <si>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</si>
  <si>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</si>
  <si>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</si>
  <si>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</si>
  <si>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</si>
  <si>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</si>
  <si>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</si>
  <si>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</si>
  <si>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</si>
  <si>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</si>
  <si>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</si>
  <si>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</si>
  <si>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</si>
  <si>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</si>
  <si>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</si>
  <si>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</si>
  <si>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</si>
  <si>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</si>
  <si>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</si>
  <si>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</si>
  <si>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</si>
  <si>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</si>
  <si>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</si>
  <si>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</si>
  <si>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</si>
  <si>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</si>
  <si>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</si>
  <si>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</si>
  <si>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</si>
  <si>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</si>
  <si>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</si>
  <si>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</si>
  <si>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</si>
  <si>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</si>
  <si>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</si>
  <si>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</si>
  <si>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</si>
  <si>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</si>
  <si>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</si>
  <si>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</si>
  <si>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</si>
  <si>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</si>
  <si>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</si>
  <si>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</si>
  <si>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</si>
  <si>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</si>
  <si>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</si>
  <si>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</si>
  <si>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</si>
  <si>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</si>
  <si>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</si>
  <si>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</si>
  <si>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</si>
  <si>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</si>
  <si>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</si>
  <si>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</si>
  <si>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</si>
  <si>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</si>
  <si>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</si>
  <si>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</si>
  <si>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</si>
  <si>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</si>
  <si>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</si>
  <si>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</si>
  <si>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</si>
  <si>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</si>
  <si>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</si>
  <si>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</si>
  <si>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</si>
  <si>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</si>
  <si>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</si>
  <si>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</si>
  <si>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</si>
  <si>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</si>
  <si>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</si>
  <si>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</si>
  <si>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</si>
  <si>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</si>
  <si>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</si>
  <si>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</si>
  <si>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</si>
  <si>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</si>
  <si>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</si>
  <si>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</si>
  <si>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</si>
  <si>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</si>
  <si>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</si>
  <si>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</si>
  <si>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</si>
  <si>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</si>
  <si>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</si>
  <si>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</si>
  <si>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</si>
  <si>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</si>
  <si>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</si>
  <si>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</si>
  <si>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</si>
  <si>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</si>
  <si>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</si>
  <si>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</si>
  <si>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</si>
  <si>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</si>
  <si>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</si>
  <si>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</si>
  <si>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</si>
  <si>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</si>
  <si>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</si>
  <si>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</si>
  <si>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</si>
  <si>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</si>
  <si>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</si>
  <si>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</si>
  <si>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</si>
  <si>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</si>
  <si>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</si>
  <si>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</si>
  <si>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</si>
  <si>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</si>
  <si>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</si>
  <si>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</si>
  <si>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</si>
  <si>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</si>
  <si>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</si>
  <si>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</si>
  <si>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</si>
  <si>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</si>
  <si>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</si>
  <si>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</si>
  <si>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</si>
  <si>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</si>
  <si>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</si>
  <si>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</si>
  <si>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</si>
  <si>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</si>
  <si>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</si>
  <si>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</si>
  <si>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</si>
  <si>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</si>
  <si>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</si>
  <si>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</si>
  <si>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</si>
  <si>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</si>
  <si>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</si>
  <si>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</si>
  <si>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</si>
  <si>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</si>
  <si>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</si>
  <si>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</si>
  <si>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</si>
  <si>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</si>
  <si>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</si>
  <si>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</si>
  <si>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</si>
  <si>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</si>
  <si>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</si>
  <si>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</si>
  <si>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</si>
  <si>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</si>
  <si>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</si>
  <si>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</si>
  <si>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</si>
  <si>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</si>
  <si>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</si>
  <si>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</si>
  <si>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</si>
  <si>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</si>
  <si>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</si>
  <si>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</si>
  <si>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</si>
  <si>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</si>
  <si>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</si>
  <si>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</si>
  <si>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</si>
  <si>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</si>
  <si>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</si>
  <si>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</si>
  <si>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</si>
  <si>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</si>
  <si>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</si>
  <si>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</si>
  <si>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</si>
  <si>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</si>
  <si>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</si>
  <si>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</si>
  <si>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</si>
  <si>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</si>
  <si>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</si>
  <si>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</si>
  <si>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</si>
  <si>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</si>
  <si>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</si>
  <si>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</si>
  <si>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</si>
  <si>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</si>
  <si>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</si>
  <si>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</si>
  <si>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</si>
  <si>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</si>
  <si>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</si>
  <si>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</si>
  <si>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</si>
  <si>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</si>
  <si>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</si>
  <si>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</si>
  <si>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</si>
  <si>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</si>
  <si>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</si>
  <si>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</si>
  <si>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</si>
  <si>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</si>
  <si>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</si>
  <si>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</si>
  <si>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</si>
  <si>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</si>
  <si>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</si>
  <si>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</si>
  <si>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</si>
  <si>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</si>
  <si>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</si>
  <si>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</si>
  <si>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</si>
  <si>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</si>
  <si>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</si>
  <si>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</si>
  <si>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</si>
  <si>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</si>
  <si>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</si>
  <si>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</si>
  <si>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</si>
  <si>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</si>
  <si>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</si>
  <si>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</si>
  <si>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</si>
  <si>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</si>
  <si>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</si>
  <si>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</si>
  <si>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</si>
  <si>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</si>
  <si>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</si>
  <si>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</si>
  <si>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</si>
  <si>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</si>
  <si>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</si>
  <si>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</si>
  <si>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</si>
  <si>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</si>
  <si>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</si>
  <si>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</si>
  <si>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</si>
  <si>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</si>
  <si>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</si>
  <si>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</si>
  <si>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</si>
  <si>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</si>
  <si>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</si>
  <si>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</si>
  <si>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</si>
  <si>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</si>
  <si>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</si>
  <si>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</si>
  <si>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</si>
  <si>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</si>
  <si>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</si>
  <si>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</si>
  <si>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</si>
  <si>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</si>
  <si>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</si>
  <si>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</si>
  <si>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</si>
  <si>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</si>
  <si>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</si>
  <si>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</si>
  <si>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</si>
  <si>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</si>
  <si>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</si>
  <si>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</si>
  <si>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</si>
  <si>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</si>
  <si>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</si>
  <si>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</si>
  <si>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</si>
  <si>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</si>
  <si>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</si>
  <si>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</si>
  <si>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</si>
  <si>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</si>
  <si>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</si>
  <si>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</si>
  <si>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</si>
  <si>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</si>
  <si>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</si>
  <si>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</si>
  <si>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</si>
  <si>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</si>
  <si>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</si>
  <si>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</si>
  <si>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</si>
  <si>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</si>
  <si>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</si>
  <si>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</si>
  <si>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</si>
  <si>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</si>
  <si>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</si>
  <si>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</si>
  <si>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</si>
  <si>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</si>
  <si>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</si>
  <si>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</si>
  <si>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</si>
  <si>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</si>
  <si>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</si>
  <si>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</si>
  <si>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</si>
  <si>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</si>
  <si>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</si>
  <si>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</si>
  <si>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</si>
  <si>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</si>
  <si>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</si>
  <si>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</si>
  <si>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</si>
  <si>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</si>
  <si>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</si>
  <si>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</si>
  <si>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</si>
  <si>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</si>
  <si>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</si>
  <si>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</si>
  <si>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</si>
  <si>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</si>
  <si>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</si>
  <si>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</si>
  <si>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</si>
  <si>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</si>
  <si>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</si>
  <si>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</si>
  <si>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</si>
  <si>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</si>
  <si>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</si>
  <si>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</si>
  <si>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</si>
  <si>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</si>
  <si>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</si>
  <si>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</si>
  <si>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</si>
  <si>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</si>
  <si>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</si>
  <si>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</si>
  <si>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</si>
  <si>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</si>
  <si>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</si>
  <si>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</si>
  <si>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</si>
  <si>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</si>
  <si>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</si>
  <si>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</si>
  <si>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</si>
  <si>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</si>
  <si>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</si>
  <si>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</si>
  <si>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</si>
  <si>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</si>
  <si>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</si>
  <si>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</si>
  <si>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</si>
  <si>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</si>
  <si>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</si>
  <si>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</si>
  <si>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</si>
  <si>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</si>
  <si>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</si>
  <si>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</si>
  <si>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</si>
  <si>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</si>
  <si>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</si>
  <si>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</si>
  <si>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</si>
  <si>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</si>
  <si>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</si>
  <si>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</si>
  <si>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</si>
  <si>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</si>
  <si>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</si>
  <si>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</si>
  <si>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</si>
  <si>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</si>
  <si>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</si>
  <si>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</si>
  <si>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</si>
  <si>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</si>
  <si>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</si>
  <si>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</si>
  <si>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</si>
  <si>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</si>
  <si>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</si>
  <si>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</si>
  <si>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</si>
  <si>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</si>
  <si>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</si>
  <si>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</si>
  <si>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</si>
  <si>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</si>
  <si>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</si>
  <si>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</si>
  <si>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</si>
  <si>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</si>
  <si>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</si>
  <si>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</si>
  <si>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</si>
  <si>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</si>
  <si>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</si>
  <si>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</si>
  <si>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</si>
  <si>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</si>
  <si>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</si>
  <si>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</si>
  <si>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</si>
  <si>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</si>
  <si>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</si>
  <si>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</si>
  <si>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</si>
  <si>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</si>
  <si>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</si>
  <si>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</si>
  <si>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</si>
  <si>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</si>
  <si>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</si>
  <si>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</si>
  <si>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</si>
  <si>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</si>
  <si>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</si>
  <si>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</si>
  <si>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</si>
  <si>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</si>
  <si>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</si>
  <si>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</si>
  <si>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</si>
  <si>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</si>
  <si>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</si>
  <si>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</si>
  <si>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</si>
  <si>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</si>
  <si>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</si>
  <si>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</si>
  <si>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</si>
  <si>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</si>
  <si>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</si>
  <si>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</si>
  <si>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</si>
  <si>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</si>
  <si>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</si>
  <si>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</si>
  <si>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</si>
  <si>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</si>
  <si>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</si>
  <si>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</si>
  <si>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</si>
  <si>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</si>
  <si>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</si>
  <si>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</si>
  <si>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</si>
  <si>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</si>
  <si>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</si>
  <si>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</si>
  <si>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</si>
  <si>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</si>
  <si>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</si>
  <si>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</si>
  <si>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</si>
  <si>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</si>
  <si>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</si>
  <si>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</si>
  <si>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</si>
  <si>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</si>
  <si>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</si>
  <si>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</si>
  <si>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</si>
  <si>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</si>
  <si>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</si>
  <si>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</si>
  <si>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</si>
  <si>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</si>
  <si>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</si>
  <si>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</si>
  <si>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</si>
  <si>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</si>
  <si>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</si>
  <si>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</si>
  <si>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</si>
  <si>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</si>
  <si>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</si>
  <si>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</si>
  <si>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</si>
  <si>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</si>
  <si>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</si>
  <si>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</si>
  <si>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</si>
  <si>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</si>
  <si>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</si>
  <si>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</si>
  <si>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</si>
  <si>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</si>
  <si>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</si>
  <si>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</si>
  <si>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</si>
  <si>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</si>
  <si>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</si>
  <si>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</si>
  <si>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</si>
  <si>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</si>
  <si>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</si>
  <si>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</si>
  <si>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</si>
  <si>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</si>
  <si>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</si>
  <si>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</si>
  <si>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</si>
  <si>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</si>
  <si>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</si>
  <si>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</si>
  <si>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</si>
  <si>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</si>
  <si>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</si>
  <si>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</si>
  <si>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</si>
  <si>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</si>
  <si>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</si>
  <si>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</si>
  <si>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</si>
  <si>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</si>
  <si>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</si>
  <si>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</si>
  <si>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</si>
  <si>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</si>
  <si>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</si>
  <si>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</si>
  <si>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</si>
  <si>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</si>
  <si>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</si>
  <si>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</si>
  <si>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</si>
  <si>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</si>
  <si>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</si>
  <si>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</si>
  <si>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</si>
  <si>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</si>
  <si>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</si>
  <si>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</si>
  <si>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</si>
  <si>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</si>
  <si>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</si>
  <si>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</si>
  <si>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</si>
  <si>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</si>
  <si>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</si>
  <si>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</si>
  <si>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</si>
  <si>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</si>
  <si>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</si>
  <si>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</si>
  <si>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</si>
  <si>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</si>
  <si>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</si>
  <si>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</si>
  <si>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</si>
  <si>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</si>
  <si>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</si>
  <si>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</si>
  <si>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</si>
  <si>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</si>
  <si>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</si>
  <si>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</si>
  <si>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</si>
  <si>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</si>
  <si>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</si>
  <si>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</si>
  <si>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</si>
  <si>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</si>
  <si>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</si>
  <si>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</si>
  <si>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</si>
  <si>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</si>
  <si>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</si>
  <si>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</si>
  <si>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</si>
  <si>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</si>
  <si>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</si>
  <si>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</si>
  <si>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</si>
  <si>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</si>
  <si>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</si>
  <si>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</si>
  <si>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</si>
  <si>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</si>
  <si>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</si>
  <si>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</si>
  <si>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</si>
  <si>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</si>
  <si>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</si>
  <si>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</si>
  <si>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</si>
  <si>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</si>
  <si>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</si>
  <si>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</si>
  <si>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</si>
  <si>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</si>
  <si>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</si>
  <si>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</si>
  <si>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</si>
  <si>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</si>
  <si>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</si>
  <si>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</si>
  <si>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</si>
  <si>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</si>
  <si>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</si>
  <si>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</si>
  <si>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</si>
  <si>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</si>
  <si>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</si>
  <si>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</si>
  <si>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</si>
  <si>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</si>
  <si>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</si>
  <si>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</si>
  <si>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</si>
  <si>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</si>
  <si>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</si>
  <si>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</si>
  <si>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</si>
  <si>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</si>
  <si>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</si>
  <si>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</si>
  <si>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</si>
  <si>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</si>
  <si>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</si>
  <si>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</si>
  <si>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</si>
  <si>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</si>
  <si>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</si>
  <si>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</si>
  <si>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</si>
  <si>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</si>
  <si>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</si>
  <si>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</si>
  <si>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</si>
  <si>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</si>
  <si>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</si>
  <si>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</si>
  <si>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</si>
  <si>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</si>
  <si>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</si>
  <si>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</si>
  <si>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</si>
  <si>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</si>
  <si>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</si>
  <si>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</si>
  <si>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</si>
  <si>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</si>
  <si>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</si>
  <si>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</si>
  <si>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</si>
  <si>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</si>
  <si>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</si>
  <si>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</si>
  <si>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</si>
  <si>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</si>
  <si>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</si>
  <si>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</si>
  <si>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</si>
  <si>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</si>
  <si>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</si>
  <si>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</si>
  <si>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</si>
  <si>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</si>
  <si>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</si>
  <si>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</si>
  <si>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</si>
  <si>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</si>
  <si>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</si>
  <si>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</si>
  <si>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</si>
  <si>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</si>
  <si>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</si>
  <si>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</si>
  <si>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</si>
  <si>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</si>
  <si>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</si>
  <si>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</si>
  <si>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</si>
  <si>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</si>
  <si>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</si>
  <si>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</si>
  <si>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</si>
  <si>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</si>
  <si>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</si>
  <si>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</si>
  <si>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</si>
  <si>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</si>
  <si>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</si>
  <si>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</si>
  <si>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</si>
  <si>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</si>
  <si>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</si>
  <si>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</si>
  <si>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</si>
  <si>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</si>
  <si>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</si>
  <si>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</si>
  <si>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</si>
  <si>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</si>
  <si>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</si>
  <si>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</si>
  <si>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</si>
  <si>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</si>
  <si>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</si>
  <si>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</si>
  <si>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</si>
  <si>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</si>
  <si>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</si>
  <si>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</si>
  <si>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</si>
  <si>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</si>
  <si>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</si>
  <si>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</si>
  <si>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</si>
  <si>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</si>
  <si>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</si>
  <si>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</si>
  <si>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</si>
  <si>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</si>
  <si>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</si>
  <si>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</si>
  <si>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</si>
  <si>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</si>
  <si>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</si>
  <si>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</si>
  <si>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</si>
  <si>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</si>
  <si>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</si>
  <si>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</si>
  <si>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</si>
  <si>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</si>
  <si>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</si>
  <si>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</si>
  <si>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</si>
  <si>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</si>
  <si>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</si>
  <si>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</si>
  <si>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</si>
  <si>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</si>
  <si>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</si>
  <si>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</si>
  <si>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</si>
  <si>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</si>
  <si>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</si>
  <si>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</si>
  <si>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</si>
  <si>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</si>
  <si>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</si>
  <si>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</si>
  <si>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</si>
  <si>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</si>
  <si>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</si>
  <si>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</si>
  <si>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</si>
  <si>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</si>
  <si>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</si>
  <si>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</si>
  <si>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</si>
  <si>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</si>
  <si>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</si>
  <si>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</si>
  <si>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</si>
  <si>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</si>
  <si>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</si>
  <si>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</si>
  <si>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</si>
  <si>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</si>
  <si>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</si>
  <si>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</si>
  <si>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</si>
  <si>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</si>
  <si>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</si>
  <si>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</si>
  <si>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</si>
  <si>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</si>
  <si>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</si>
  <si>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</si>
  <si>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</si>
  <si>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</si>
  <si>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</si>
  <si>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</si>
  <si>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</si>
  <si>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</si>
  <si>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</si>
  <si>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</si>
  <si>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</si>
  <si>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</si>
  <si>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</si>
  <si>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</si>
  <si>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</si>
  <si>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</si>
  <si>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</si>
  <si>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</si>
  <si>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</si>
  <si>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</si>
  <si>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</si>
  <si>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</si>
  <si>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</si>
  <si>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</si>
  <si>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</si>
  <si>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</si>
  <si>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</si>
  <si>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</si>
  <si>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</si>
  <si>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</si>
  <si>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</si>
  <si>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</si>
  <si>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</si>
  <si>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</si>
  <si>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</si>
  <si>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</si>
  <si>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</si>
  <si>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</si>
  <si>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</si>
  <si>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</si>
  <si>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</si>
  <si>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</si>
  <si>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</si>
  <si>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</si>
  <si>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</si>
  <si>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</si>
  <si>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</si>
  <si>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</si>
  <si>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</si>
  <si>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</si>
  <si>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</si>
  <si>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</si>
  <si>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</si>
  <si>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</si>
  <si>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</si>
  <si>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</si>
  <si>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</si>
  <si>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</si>
  <si>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</si>
  <si>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</si>
  <si>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</si>
  <si>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</si>
  <si>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</si>
  <si>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</si>
  <si>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</si>
  <si>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</si>
  <si>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</si>
  <si>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</si>
  <si>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</si>
  <si>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</si>
  <si>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</si>
  <si>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</si>
  <si>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</si>
  <si>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</si>
  <si>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</si>
  <si>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</si>
  <si>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</si>
  <si>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</si>
  <si>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</si>
  <si>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</si>
  <si>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</si>
  <si>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</si>
  <si>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</si>
  <si>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</si>
  <si>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</si>
  <si>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</si>
  <si>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</si>
  <si>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</si>
  <si>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</si>
  <si>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</si>
  <si>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</si>
  <si>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</si>
  <si>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</si>
  <si>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</si>
  <si>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</si>
  <si>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</si>
  <si>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</si>
  <si>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</si>
  <si>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</si>
  <si>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</si>
  <si>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</si>
  <si>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</si>
  <si>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</si>
  <si>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</si>
  <si>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</si>
  <si>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</si>
  <si>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</si>
  <si>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</si>
  <si>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</si>
  <si>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</si>
  <si>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</si>
  <si>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</si>
  <si>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</si>
  <si>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</si>
  <si>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</si>
  <si>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</si>
  <si>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</si>
  <si>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</si>
  <si>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</si>
  <si>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</si>
  <si>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</si>
  <si>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</si>
  <si>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</si>
  <si>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</si>
  <si>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</si>
  <si>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</si>
  <si>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</si>
  <si>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</si>
  <si>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</si>
  <si>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</si>
  <si>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</si>
  <si>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</si>
  <si>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</si>
  <si>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</si>
  <si>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</si>
  <si>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</si>
  <si>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</si>
  <si>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</si>
  <si>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</si>
  <si>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</si>
  <si>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</si>
  <si>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</si>
  <si>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</si>
  <si>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</si>
  <si>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</si>
  <si>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</si>
  <si>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</si>
  <si>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</si>
  <si>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</si>
  <si>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</si>
  <si>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</si>
  <si>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</si>
  <si>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</si>
  <si>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</si>
  <si>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</si>
  <si>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</si>
  <si>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</si>
  <si>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</si>
  <si>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</si>
  <si>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</si>
  <si>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</si>
  <si>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</si>
  <si>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</si>
  <si>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</si>
  <si>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</si>
  <si>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</si>
  <si>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</si>
  <si>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</si>
  <si>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</si>
  <si>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</si>
  <si>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</si>
  <si>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</si>
  <si>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</si>
  <si>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</si>
  <si>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</si>
  <si>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</si>
  <si>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</si>
  <si>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</si>
  <si>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</si>
  <si>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</si>
  <si>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</si>
  <si>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</si>
  <si>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</si>
  <si>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</si>
  <si>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</si>
  <si>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</si>
  <si>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</si>
  <si>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</si>
  <si>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</si>
  <si>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</si>
  <si>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</si>
  <si>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</si>
  <si>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</si>
  <si>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</si>
  <si>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</si>
  <si>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</si>
  <si>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</si>
  <si>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</si>
  <si>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</si>
  <si>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</si>
  <si>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</si>
  <si>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</si>
  <si>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</si>
  <si>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</si>
  <si>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</si>
  <si>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</si>
  <si>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</si>
  <si>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</si>
  <si>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</si>
  <si>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</si>
  <si>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</si>
  <si>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</si>
  <si>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</si>
  <si>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</si>
  <si>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</si>
  <si>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</si>
  <si>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</si>
  <si>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</si>
  <si>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</si>
  <si>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</si>
  <si>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</si>
  <si>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</si>
  <si>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</si>
  <si>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</si>
  <si>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</si>
  <si>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</si>
  <si>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</si>
  <si>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</si>
  <si>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</si>
  <si>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ERP上传净表（连续无空行，自动生成）</t>
  </si>
  <si>
    <t>ERP 上传优先读取本表。本表自动跳过订单头、空白行，只保留组件/零件有效行，并且有效行连续排列。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</si>
</sst>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9">
    <font>
      <sz val="11"/>
      <name val="Carlito"/>
    </font>
    <font>
      <b/>
      <sz val="18"/>
      <color rgb="FFFFFFFF"/>
      <name val="Carlito"/>
    </font>
    <font>
      <i/>
      <sz val="11"/>
      <color rgb="FF475569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11"/>
      <color rgb="FFFFFFFF"/>
      <name val="Carlito"/>
    </font>
    <font>
      <b/>
      <sz val="16"/>
      <color rgb="FFFFFFFF"/>
      <name val="Carlito"/>
    </font>
    <font>
      <b/>
      <sz val="10"/>
      <color rgb="FF111827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BEAFE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28"/>
    <xf numFmtId="0" fontId="8" fillId="0" borderId="28"/>
  </cellStyleXfs>
  <cellXfs count="67">
    <xf numFmtId="0" fontId="0" fillId="0" borderId="0" xfId="0" applyBorder="1"/>
    <xf numFmtId="0" fontId="3" fillId="4" borderId="0" xfId="1" applyFont="1" applyFill="1" applyBorder="1"/>
    <xf numFmtId="0" fontId="3" fillId="4" borderId="0" xfId="1" applyFont="1" applyFill="1" applyBorder="1" applyAlignment="1">
      <alignment wrapText="1"/>
    </xf>
    <xf numFmtId="0" fontId="3" fillId="4" borderId="0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0" fontId="4" fillId="0" borderId="9" xfId="1" applyFont="1" applyBorder="1" applyAlignment="1">
      <alignment vertical="center" wrapText="1"/>
    </xf>
    <xf numFmtId="14" fontId="4" fillId="0" borderId="2" xfId="1" applyNumberFormat="1" applyFont="1" applyBorder="1" applyAlignment="1">
      <alignment vertical="center" wrapText="1"/>
    </xf>
    <xf numFmtId="14" fontId="4" fillId="0" borderId="5" xfId="1" applyNumberFormat="1" applyFont="1" applyBorder="1" applyAlignment="1">
      <alignment vertical="center" wrapText="1"/>
    </xf>
    <xf numFmtId="14" fontId="4" fillId="0" borderId="8" xfId="1" applyNumberFormat="1" applyFont="1" applyBorder="1" applyAlignment="1">
      <alignment vertical="center" wrapText="1"/>
    </xf>
    <xf numFmtId="164" fontId="4" fillId="0" borderId="2" xfId="1" applyNumberFormat="1" applyFont="1" applyBorder="1" applyAlignment="1">
      <alignment vertical="center" wrapText="1"/>
    </xf>
    <xf numFmtId="164" fontId="4" fillId="0" borderId="5" xfId="1" applyNumberFormat="1" applyFont="1" applyBorder="1" applyAlignment="1">
      <alignment vertical="center" wrapText="1"/>
    </xf>
    <xf numFmtId="164" fontId="4" fillId="0" borderId="8" xfId="1" applyNumberFormat="1" applyFont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164" fontId="4" fillId="5" borderId="2" xfId="1" applyNumberFormat="1" applyFont="1" applyFill="1" applyBorder="1" applyAlignment="1">
      <alignment horizontal="center" vertical="center" wrapText="1"/>
    </xf>
    <xf numFmtId="164" fontId="4" fillId="5" borderId="5" xfId="1" applyNumberFormat="1" applyFont="1" applyFill="1" applyBorder="1" applyAlignment="1">
      <alignment horizontal="center" vertical="center" wrapText="1"/>
    </xf>
    <xf numFmtId="164" fontId="4" fillId="5" borderId="8" xfId="1" applyNumberFormat="1" applyFont="1" applyFill="1" applyBorder="1" applyAlignment="1">
      <alignment horizontal="center" vertical="center" wrapText="1"/>
    </xf>
    <xf numFmtId="0" fontId="5" fillId="6" borderId="0" xfId="1" applyFont="1" applyFill="1" applyBorder="1"/>
    <xf numFmtId="0" fontId="7" fillId="4" borderId="10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vertical="top" wrapText="1"/>
    </xf>
    <xf numFmtId="0" fontId="3" fillId="7" borderId="0" xfId="1" applyFont="1" applyFill="1" applyBorder="1" applyAlignment="1">
      <alignment horizontal="center" vertical="center" wrapText="1"/>
    </xf>
    <xf numFmtId="0" fontId="4" fillId="0" borderId="13" xfId="1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14" fontId="4" fillId="0" borderId="14" xfId="1" applyNumberFormat="1" applyFont="1" applyBorder="1" applyAlignment="1">
      <alignment vertical="center" wrapText="1"/>
    </xf>
    <xf numFmtId="164" fontId="4" fillId="0" borderId="14" xfId="1" applyNumberFormat="1" applyFont="1" applyBorder="1" applyAlignment="1">
      <alignment vertical="center" wrapText="1"/>
    </xf>
    <xf numFmtId="0" fontId="4" fillId="0" borderId="15" xfId="1" applyFont="1" applyBorder="1" applyAlignment="1">
      <alignment vertical="center" wrapText="1"/>
    </xf>
    <xf numFmtId="0" fontId="4" fillId="0" borderId="16" xfId="1" applyFont="1" applyBorder="1" applyAlignment="1">
      <alignment vertical="center" wrapText="1"/>
    </xf>
    <xf numFmtId="0" fontId="4" fillId="0" borderId="17" xfId="1" applyFont="1" applyBorder="1" applyAlignment="1">
      <alignment vertical="center" wrapText="1"/>
    </xf>
    <xf numFmtId="14" fontId="4" fillId="0" borderId="17" xfId="1" applyNumberFormat="1" applyFont="1" applyBorder="1" applyAlignment="1">
      <alignment vertical="center" wrapText="1"/>
    </xf>
    <xf numFmtId="164" fontId="4" fillId="0" borderId="17" xfId="1" applyNumberFormat="1" applyFont="1" applyBorder="1" applyAlignment="1">
      <alignment vertical="center" wrapText="1"/>
    </xf>
    <xf numFmtId="0" fontId="4" fillId="0" borderId="18" xfId="1" applyFont="1" applyBorder="1" applyAlignment="1">
      <alignment vertical="center" wrapText="1"/>
    </xf>
    <xf numFmtId="0" fontId="4" fillId="0" borderId="19" xfId="1" applyFont="1" applyBorder="1" applyAlignment="1">
      <alignment vertical="center" wrapText="1"/>
    </xf>
    <xf numFmtId="0" fontId="4" fillId="0" borderId="20" xfId="1" applyFont="1" applyBorder="1" applyAlignment="1">
      <alignment vertical="center" wrapText="1"/>
    </xf>
    <xf numFmtId="14" fontId="4" fillId="0" borderId="20" xfId="1" applyNumberFormat="1" applyFont="1" applyBorder="1" applyAlignment="1">
      <alignment vertical="center" wrapText="1"/>
    </xf>
    <xf numFmtId="164" fontId="4" fillId="0" borderId="20" xfId="1" applyNumberFormat="1" applyFont="1" applyBorder="1" applyAlignment="1">
      <alignment vertical="center" wrapText="1"/>
    </xf>
    <xf numFmtId="0" fontId="4" fillId="0" borderId="21" xfId="1" applyFont="1" applyBorder="1" applyAlignment="1">
      <alignment vertical="center" wrapText="1"/>
    </xf>
    <xf numFmtId="0" fontId="5" fillId="8" borderId="0" xfId="1" applyFont="1" applyFill="1" applyBorder="1"/>
    <xf numFmtId="0" fontId="7" fillId="11" borderId="22" xfId="1" applyFont="1" applyFill="1" applyBorder="1" applyAlignment="1">
      <alignment horizontal="center" vertical="center" wrapText="1"/>
    </xf>
    <xf numFmtId="0" fontId="7" fillId="11" borderId="23" xfId="1" applyFont="1" applyFill="1" applyBorder="1" applyAlignment="1">
      <alignment horizontal="center" vertical="center" wrapText="1"/>
    </xf>
    <xf numFmtId="0" fontId="7" fillId="11" borderId="24" xfId="1" applyFont="1" applyFill="1" applyBorder="1" applyAlignment="1">
      <alignment horizontal="center" vertical="center" wrapText="1"/>
    </xf>
    <xf numFmtId="0" fontId="4" fillId="0" borderId="25" xfId="1" applyFont="1" applyBorder="1" applyAlignment="1">
      <alignment vertical="center" wrapText="1"/>
    </xf>
    <xf numFmtId="0" fontId="4" fillId="0" borderId="27" xfId="1" applyFont="1" applyBorder="1" applyAlignment="1">
      <alignment vertical="center" wrapText="1"/>
    </xf>
    <xf numFmtId="0" fontId="4" fillId="0" borderId="28" xfId="1" applyFont="1" applyAlignment="1">
      <alignment vertical="center" wrapText="1"/>
    </xf>
    <xf numFmtId="14" fontId="4" fillId="0" borderId="27" xfId="1" applyNumberFormat="1" applyFont="1" applyBorder="1" applyAlignment="1">
      <alignment vertical="center" wrapText="1"/>
    </xf>
    <xf numFmtId="164" fontId="4" fillId="0" borderId="27" xfId="1" applyNumberFormat="1" applyFont="1" applyBorder="1" applyAlignment="1">
      <alignment vertical="center" wrapText="1"/>
    </xf>
    <xf numFmtId="0" fontId="4" fillId="12" borderId="16" xfId="1" applyFont="1" applyFill="1" applyBorder="1" applyAlignment="1">
      <alignment horizontal="center" vertical="center" wrapText="1"/>
    </xf>
    <xf numFmtId="0" fontId="4" fillId="12" borderId="26" xfId="1" applyFont="1" applyFill="1" applyBorder="1" applyAlignment="1">
      <alignment horizontal="center" vertical="center" wrapText="1"/>
    </xf>
    <xf numFmtId="0" fontId="4" fillId="12" borderId="17" xfId="1" applyFont="1" applyFill="1" applyBorder="1" applyAlignment="1">
      <alignment horizontal="center" vertical="center" wrapText="1"/>
    </xf>
    <xf numFmtId="0" fontId="4" fillId="12" borderId="27" xfId="1" applyFont="1" applyFill="1" applyBorder="1" applyAlignment="1">
      <alignment horizontal="center" vertical="center" wrapText="1"/>
    </xf>
    <xf numFmtId="164" fontId="4" fillId="12" borderId="17" xfId="1" applyNumberFormat="1" applyFont="1" applyFill="1" applyBorder="1" applyAlignment="1">
      <alignment horizontal="center" vertical="center" wrapText="1"/>
    </xf>
    <xf numFmtId="164" fontId="4" fillId="12" borderId="27" xfId="1" applyNumberFormat="1" applyFont="1" applyFill="1" applyBorder="1" applyAlignment="1">
      <alignment horizontal="center" vertical="center" wrapText="1"/>
    </xf>
    <xf numFmtId="0" fontId="2" fillId="3" borderId="28" xfId="1" applyFont="1" applyFill="1"/>
    <xf numFmtId="0" fontId="0" fillId="0" borderId="0" xfId="0" applyBorder="1"/>
    <xf numFmtId="0" fontId="1" fillId="2" borderId="28" xfId="1" applyFont="1" applyFill="1" applyAlignment="1">
      <alignment horizontal="center" vertical="center"/>
    </xf>
    <xf numFmtId="0" fontId="6" fillId="2" borderId="28" xfId="1" applyFont="1" applyFill="1" applyAlignment="1">
      <alignment horizontal="center"/>
    </xf>
    <xf numFmtId="0" fontId="2" fillId="10" borderId="28" xfId="1" applyFont="1" applyFill="1" applyAlignment="1">
      <alignment vertical="center"/>
    </xf>
    <xf numFmtId="0" fontId="6" fillId="9" borderId="28" xfId="1" applyFont="1" applyFill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3">
    <dxf>
      <fill>
        <patternFill>
          <bgColor rgb="FFECFDF5"/>
        </patternFill>
      </fill>
    </dxf>
    <dxf>
      <font>
        <b/>
        <color rgb="FF0F172A"/>
      </font>
      <fill>
        <patternFill>
          <bgColor rgb="FFE0F2FE"/>
        </patternFill>
      </fill>
    </dxf>
    <dxf>
      <font>
        <b/>
        <color rgb="FF111827"/>
      </font>
      <fill>
        <patternFill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"/>
  <sheetViews>
    <sheetView showGridLines="0" tabSelected="1" workbookViewId="0">
      <selection sqref="A1:W1"/>
    </sheetView>
  </sheetViews>
  <sheetFormatPr defaultRowHeight="14"/>
  <cols>
    <col min="1" max="1" width="8.75" customWidth="1"/>
    <col min="2" max="2" width="18.83203125" customWidth="1"/>
    <col min="3" max="3" width="11.6640625" customWidth="1"/>
    <col min="4" max="4" width="22.1640625" customWidth="1"/>
    <col min="5" max="5" width="12.08203125" customWidth="1"/>
    <col min="6" max="6" width="10.33203125" customWidth="1"/>
    <col min="7" max="7" width="9" customWidth="1"/>
    <col min="8" max="8" width="11.1640625" customWidth="1"/>
    <col min="9" max="9" width="11.6640625" customWidth="1"/>
    <col min="10" max="10" width="16.1640625" customWidth="1"/>
    <col min="11" max="11" width="18.1640625" customWidth="1"/>
    <col min="12" max="13" width="22.1640625" customWidth="1"/>
    <col min="14" max="14" width="11.6640625" customWidth="1"/>
    <col min="15" max="15" width="8.75" customWidth="1"/>
    <col min="16" max="16" width="9" customWidth="1"/>
    <col min="17" max="18" width="10.33203125" customWidth="1"/>
    <col min="19" max="19" width="7.1640625" customWidth="1"/>
    <col min="20" max="20" width="23.58203125" customWidth="1"/>
    <col min="21" max="21" width="35.6640625" customWidth="1"/>
    <col min="22" max="22" width="11.6640625" customWidth="1"/>
    <col min="23" max="23" width="11.1640625" customWidth="1"/>
    <col min="24" max="31" width="8.203125E-2" customWidth="1"/>
  </cols>
  <sheetData>
    <row r="1" spans="1:31" ht="28.5" customHeight="1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31" ht="14.5" customHeight="1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31" ht="14.5" customHeight="1">
      <c r="A3" s="61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5" spans="1:31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0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25" t="s">
        <v>26</v>
      </c>
      <c r="Y5" s="25" t="s">
        <v>27</v>
      </c>
      <c r="Z5" s="25" t="s">
        <v>28</v>
      </c>
      <c r="AA5" s="25" t="s">
        <v>29</v>
      </c>
      <c r="AB5" s="25" t="s">
        <v>30</v>
      </c>
      <c r="AC5" s="25" t="s">
        <v>31</v>
      </c>
      <c r="AD5" s="25" t="s">
        <v>32</v>
      </c>
      <c r="AE5" s="25" t="s">
        <v>33</v>
      </c>
    </row>
    <row r="6" spans="1:31" ht="25.5" customHeight="1">
      <c r="A6" s="16">
        <f>IF($F6="","",COUNTIF($F$6:$F6,"订单头"))</f>
        <v>1</v>
      </c>
      <c r="B6" s="4" t="s">
        <v>34</v>
      </c>
      <c r="C6" s="10">
        <v>46126</v>
      </c>
      <c r="D6" s="4" t="s">
        <v>35</v>
      </c>
      <c r="E6" s="4" t="s">
        <v>36</v>
      </c>
      <c r="F6" s="4" t="s">
        <v>37</v>
      </c>
      <c r="G6" s="19" t="str">
        <f t="shared" ref="G6:G37" si="0">IF($F6="","",IF($F6="订单头","订单头",IF(AND($F6="零件",$J6&lt;&gt;""),IFERROR(SUMIFS($Y$6:$Y$205,$A$6:$A$205,$A6,$I$6:$I$205,$J6)&amp;"."&amp;$Z6,"父组件不存在"),$Y6)))</f>
        <v>订单头</v>
      </c>
      <c r="H6" s="4"/>
      <c r="I6" s="19" t="str">
        <f>IF($F6="组件","C"&amp;TEXT(COUNTIFS($A$6:$A6,$A6,$F$6:$F6,"组件"),"000"),"")</f>
        <v/>
      </c>
      <c r="J6" s="4" t="str">
        <f t="shared" ref="J6:J37" si="1">IF($F6="零件",IF($P6&lt;&gt;"","",IF(AND($A6=$A5,$F5="组件"),$I5,IF(AND($A6=$A5,$F5="零件",$J5&lt;&gt;""),$J5,""))),"")</f>
        <v/>
      </c>
      <c r="K6" s="4"/>
      <c r="L6" s="4"/>
      <c r="M6" s="4"/>
      <c r="N6" s="4"/>
      <c r="O6" s="4"/>
      <c r="P6" s="13"/>
      <c r="Q6" s="13"/>
      <c r="R6" s="22" t="str">
        <f>IF(OR($F6="",$F6="订单头"),"",IF(AND($F6="零件",$J6&lt;&gt;""),"",IF($P6="","",$P6*IF($Q6="",1,$Q6))))</f>
        <v/>
      </c>
      <c r="S6" s="4"/>
      <c r="T6" s="4"/>
      <c r="U6" s="4"/>
      <c r="V6" s="10"/>
      <c r="W6" s="5"/>
      <c r="X6" s="25">
        <f>IF($F6="","",IF($F6="订单头",0,IF(OR($F6="组件",AND($F6="零件",$J6="")),1,0)))</f>
        <v>0</v>
      </c>
      <c r="Y6" s="25" t="str">
        <f t="shared" ref="Y6:Y37" si="2">IF($F6="","",IF($F6="订单头","",IF(AND($F6="零件",$J6&lt;&gt;""),"",$X6)))</f>
        <v/>
      </c>
      <c r="Z6" s="25" t="str">
        <f>IF(AND($F6="零件",$J6&lt;&gt;""),COUNTIFS($A$6:$A6,$A6,$J$6:$J6,$J6,$F$6:$F6,"零件"),"")</f>
        <v/>
      </c>
      <c r="AA6" s="25" t="str">
        <f>IF($F6="订单头",$B6,"")</f>
        <v>RSD-20260510-001</v>
      </c>
      <c r="AB6" s="25">
        <f>IF($F6="订单头",$C6,"")</f>
        <v>46126</v>
      </c>
      <c r="AC6" s="25" t="str">
        <f>IF($F6="订单头",$D6,"")</f>
        <v>合肥荣事达太阳能有限公司</v>
      </c>
      <c r="AD6" s="25" t="str">
        <f>IF($F6="订单头",$E6,"")</f>
        <v>C型15P</v>
      </c>
      <c r="AE6" s="25">
        <f t="shared" ref="AE6:AE37" si="3">IF(OR($F6="组件",$F6="零件"),1,0)</f>
        <v>0</v>
      </c>
    </row>
    <row r="7" spans="1:31" ht="25.5" customHeight="1">
      <c r="A7" s="17">
        <f>IF($F7="","",COUNTIF($F$6:$F7,"订单头"))</f>
        <v>1</v>
      </c>
      <c r="B7" s="6"/>
      <c r="C7" s="11"/>
      <c r="D7" s="6"/>
      <c r="E7" s="6"/>
      <c r="F7" s="6" t="s">
        <v>38</v>
      </c>
      <c r="G7" s="20">
        <f t="shared" si="0"/>
        <v>1</v>
      </c>
      <c r="H7" s="6" t="s">
        <v>39</v>
      </c>
      <c r="I7" s="20" t="str">
        <f>IF($F7="组件","C"&amp;TEXT(COUNTIFS($A$6:$A7,$A7,$F$6:$F7,"组件"),"000"),"")</f>
        <v/>
      </c>
      <c r="J7" s="6" t="str">
        <f t="shared" si="1"/>
        <v/>
      </c>
      <c r="K7" s="6" t="s">
        <v>40</v>
      </c>
      <c r="L7" s="6" t="s">
        <v>41</v>
      </c>
      <c r="M7" s="6" t="s">
        <v>42</v>
      </c>
      <c r="N7" s="6"/>
      <c r="O7" s="6" t="s">
        <v>43</v>
      </c>
      <c r="P7" s="14">
        <v>16</v>
      </c>
      <c r="Q7" s="14"/>
      <c r="R7" s="23">
        <f>IF(OR($F7="",$F7="订单头"),"",IF(AND($F7="零件",$J7&lt;&gt;""),IFERROR(SUMIFS($R$6:$R6,$A$6:$A6,$A7,$I$6:$I6,$J7)*IF($Q7="",1,$Q7),""),IF($P7="","",$P7*IF($Q7="",1,$Q7))))</f>
        <v>16</v>
      </c>
      <c r="S7" s="6" t="s">
        <v>44</v>
      </c>
      <c r="T7" s="6"/>
      <c r="U7" s="6" t="s">
        <v>45</v>
      </c>
      <c r="V7" s="11"/>
      <c r="W7" s="7" t="s">
        <v>46</v>
      </c>
      <c r="X7" s="25">
        <f t="shared" ref="X7:X38" si="4">IF($F7="","",IF($F7="订单头",0,IF($A7=$A6,$X6,0)+IF(OR($F7="组件",AND($F7="零件",$J7="")),1,0)))</f>
        <v>1</v>
      </c>
      <c r="Y7" s="25">
        <f t="shared" si="2"/>
        <v>1</v>
      </c>
      <c r="Z7" s="25" t="str">
        <f>IF(AND($F7="零件",$J7&lt;&gt;""),COUNTIFS($A$6:$A7,$A7,$J$6:$J7,$J7,$F$6:$F7,"零件"),"")</f>
        <v/>
      </c>
      <c r="AA7" s="25" t="str">
        <f t="shared" ref="AA7:AA38" si="5">IF($F7="","",IF($F7="订单头",$B7,IF($A7=$A6,$AA6,"")))</f>
        <v>RSD-20260510-001</v>
      </c>
      <c r="AB7" s="25">
        <f t="shared" ref="AB7:AB38" si="6">IF($F7="","",IF($F7="订单头",$C7,IF($A7=$A6,$AB6,"")))</f>
        <v>46126</v>
      </c>
      <c r="AC7" s="25" t="str">
        <f t="shared" ref="AC7:AC38" si="7">IF($F7="","",IF($F7="订单头",$D7,IF($A7=$A6,$AC6,"")))</f>
        <v>合肥荣事达太阳能有限公司</v>
      </c>
      <c r="AD7" s="25" t="str">
        <f t="shared" ref="AD7:AD38" si="8">IF($F7="","",IF($F7="订单头",$E7,IF($A7=$A6,$AD6,"")))</f>
        <v>C型15P</v>
      </c>
      <c r="AE7" s="25">
        <f t="shared" si="3"/>
        <v>1</v>
      </c>
    </row>
    <row r="8" spans="1:31" ht="25.5" customHeight="1">
      <c r="A8" s="17">
        <f>IF($F8="","",COUNTIF($F$6:$F8,"订单头"))</f>
        <v>1</v>
      </c>
      <c r="B8" s="6"/>
      <c r="C8" s="11"/>
      <c r="D8" s="6"/>
      <c r="E8" s="6"/>
      <c r="F8" s="6" t="s">
        <v>38</v>
      </c>
      <c r="G8" s="20">
        <f t="shared" si="0"/>
        <v>2</v>
      </c>
      <c r="H8" s="6" t="s">
        <v>39</v>
      </c>
      <c r="I8" s="20" t="str">
        <f>IF($F8="组件","C"&amp;TEXT(COUNTIFS($A$6:$A8,$A8,$F$6:$F8,"组件"),"000"),"")</f>
        <v/>
      </c>
      <c r="J8" s="6" t="str">
        <f t="shared" si="1"/>
        <v/>
      </c>
      <c r="K8" s="6" t="s">
        <v>47</v>
      </c>
      <c r="L8" s="6" t="s">
        <v>48</v>
      </c>
      <c r="M8" s="6" t="s">
        <v>49</v>
      </c>
      <c r="N8" s="6"/>
      <c r="O8" s="6" t="s">
        <v>43</v>
      </c>
      <c r="P8" s="14">
        <v>16</v>
      </c>
      <c r="Q8" s="14"/>
      <c r="R8" s="23">
        <f>IF(OR($F8="",$F8="订单头"),"",IF(AND($F8="零件",$J8&lt;&gt;""),IFERROR(SUMIFS($R$6:$R7,$A$6:$A7,$A8,$I$6:$I7,$J8)*IF($Q8="",1,$Q8),""),IF($P8="","",$P8*IF($Q8="",1,$Q8))))</f>
        <v>16</v>
      </c>
      <c r="S8" s="6" t="s">
        <v>44</v>
      </c>
      <c r="T8" s="6" t="s">
        <v>50</v>
      </c>
      <c r="U8" s="6" t="s">
        <v>45</v>
      </c>
      <c r="V8" s="11"/>
      <c r="W8" s="7" t="s">
        <v>46</v>
      </c>
      <c r="X8" s="25">
        <f t="shared" si="4"/>
        <v>2</v>
      </c>
      <c r="Y8" s="25">
        <f t="shared" si="2"/>
        <v>2</v>
      </c>
      <c r="Z8" s="25" t="str">
        <f>IF(AND($F8="零件",$J8&lt;&gt;""),COUNTIFS($A$6:$A8,$A8,$J$6:$J8,$J8,$F$6:$F8,"零件"),"")</f>
        <v/>
      </c>
      <c r="AA8" s="25" t="str">
        <f t="shared" si="5"/>
        <v>RSD-20260510-001</v>
      </c>
      <c r="AB8" s="25">
        <f t="shared" si="6"/>
        <v>46126</v>
      </c>
      <c r="AC8" s="25" t="str">
        <f t="shared" si="7"/>
        <v>合肥荣事达太阳能有限公司</v>
      </c>
      <c r="AD8" s="25" t="str">
        <f t="shared" si="8"/>
        <v>C型15P</v>
      </c>
      <c r="AE8" s="25">
        <f t="shared" si="3"/>
        <v>1</v>
      </c>
    </row>
    <row r="9" spans="1:31" ht="25.5" customHeight="1">
      <c r="A9" s="17">
        <f>IF($F9="","",COUNTIF($F$6:$F9,"订单头"))</f>
        <v>1</v>
      </c>
      <c r="B9" s="6"/>
      <c r="C9" s="11"/>
      <c r="D9" s="6"/>
      <c r="E9" s="6"/>
      <c r="F9" s="6" t="s">
        <v>38</v>
      </c>
      <c r="G9" s="20">
        <f t="shared" si="0"/>
        <v>3</v>
      </c>
      <c r="H9" s="6" t="s">
        <v>39</v>
      </c>
      <c r="I9" s="20" t="str">
        <f>IF($F9="组件","C"&amp;TEXT(COUNTIFS($A$6:$A9,$A9,$F$6:$F9,"组件"),"000"),"")</f>
        <v/>
      </c>
      <c r="J9" s="6" t="str">
        <f t="shared" si="1"/>
        <v/>
      </c>
      <c r="K9" s="6" t="s">
        <v>51</v>
      </c>
      <c r="L9" s="6" t="s">
        <v>52</v>
      </c>
      <c r="M9" s="6" t="s">
        <v>53</v>
      </c>
      <c r="N9" s="6"/>
      <c r="O9" s="6" t="s">
        <v>43</v>
      </c>
      <c r="P9" s="14">
        <v>16</v>
      </c>
      <c r="Q9" s="14"/>
      <c r="R9" s="23">
        <f>IF(OR($F9="",$F9="订单头"),"",IF(AND($F9="零件",$J9&lt;&gt;""),IFERROR(SUMIFS($R$6:$R8,$A$6:$A8,$A9,$I$6:$I8,$J9)*IF($Q9="",1,$Q9),""),IF($P9="","",$P9*IF($Q9="",1,$Q9))))</f>
        <v>16</v>
      </c>
      <c r="S9" s="6" t="s">
        <v>44</v>
      </c>
      <c r="T9" s="6" t="s">
        <v>50</v>
      </c>
      <c r="U9" s="6" t="s">
        <v>54</v>
      </c>
      <c r="V9" s="11">
        <v>44657</v>
      </c>
      <c r="W9" s="7" t="s">
        <v>46</v>
      </c>
      <c r="X9" s="25">
        <f t="shared" si="4"/>
        <v>3</v>
      </c>
      <c r="Y9" s="25">
        <f t="shared" si="2"/>
        <v>3</v>
      </c>
      <c r="Z9" s="25" t="str">
        <f>IF(AND($F9="零件",$J9&lt;&gt;""),COUNTIFS($A$6:$A9,$A9,$J$6:$J9,$J9,$F$6:$F9,"零件"),"")</f>
        <v/>
      </c>
      <c r="AA9" s="25" t="str">
        <f t="shared" si="5"/>
        <v>RSD-20260510-001</v>
      </c>
      <c r="AB9" s="25">
        <f t="shared" si="6"/>
        <v>46126</v>
      </c>
      <c r="AC9" s="25" t="str">
        <f t="shared" si="7"/>
        <v>合肥荣事达太阳能有限公司</v>
      </c>
      <c r="AD9" s="25" t="str">
        <f t="shared" si="8"/>
        <v>C型15P</v>
      </c>
      <c r="AE9" s="25">
        <f t="shared" si="3"/>
        <v>1</v>
      </c>
    </row>
    <row r="10" spans="1:31" ht="25.5" customHeight="1">
      <c r="A10" s="17">
        <f>IF($F10="","",COUNTIF($F$6:$F10,"订单头"))</f>
        <v>1</v>
      </c>
      <c r="B10" s="6"/>
      <c r="C10" s="11"/>
      <c r="D10" s="6"/>
      <c r="E10" s="6"/>
      <c r="F10" s="6" t="s">
        <v>55</v>
      </c>
      <c r="G10" s="20">
        <f t="shared" si="0"/>
        <v>4</v>
      </c>
      <c r="H10" s="6" t="s">
        <v>39</v>
      </c>
      <c r="I10" s="20" t="str">
        <f>IF($F10="组件","C"&amp;TEXT(COUNTIFS($A$6:$A10,$A10,$F$6:$F10,"组件"),"000"),"")</f>
        <v>C001</v>
      </c>
      <c r="J10" s="6" t="str">
        <f t="shared" si="1"/>
        <v/>
      </c>
      <c r="K10" s="6" t="s">
        <v>56</v>
      </c>
      <c r="L10" s="6" t="s">
        <v>57</v>
      </c>
      <c r="M10" s="6" t="s">
        <v>58</v>
      </c>
      <c r="N10" s="6"/>
      <c r="O10" s="6" t="s">
        <v>59</v>
      </c>
      <c r="P10" s="14">
        <v>16</v>
      </c>
      <c r="Q10" s="14">
        <v>1</v>
      </c>
      <c r="R10" s="23">
        <f>IF(OR($F10="",$F10="订单头"),"",IF(AND($F10="零件",$J10&lt;&gt;""),IFERROR(SUMIFS($R$6:$R9,$A$6:$A9,$A10,$I$6:$I9,$J10)*IF($Q10="",1,$Q10),""),IF($P10="","",$P10*IF($Q10="",1,$Q10))))</f>
        <v>16</v>
      </c>
      <c r="S10" s="6" t="s">
        <v>60</v>
      </c>
      <c r="T10" s="6" t="s">
        <v>61</v>
      </c>
      <c r="U10" s="6" t="s">
        <v>62</v>
      </c>
      <c r="V10" s="11"/>
      <c r="W10" s="7" t="s">
        <v>46</v>
      </c>
      <c r="X10" s="25">
        <f t="shared" si="4"/>
        <v>4</v>
      </c>
      <c r="Y10" s="25">
        <f t="shared" si="2"/>
        <v>4</v>
      </c>
      <c r="Z10" s="25" t="str">
        <f>IF(AND($F10="零件",$J10&lt;&gt;""),COUNTIFS($A$6:$A10,$A10,$J$6:$J10,$J10,$F$6:$F10,"零件"),"")</f>
        <v/>
      </c>
      <c r="AA10" s="25" t="str">
        <f t="shared" si="5"/>
        <v>RSD-20260510-001</v>
      </c>
      <c r="AB10" s="25">
        <f t="shared" si="6"/>
        <v>46126</v>
      </c>
      <c r="AC10" s="25" t="str">
        <f t="shared" si="7"/>
        <v>合肥荣事达太阳能有限公司</v>
      </c>
      <c r="AD10" s="25" t="str">
        <f t="shared" si="8"/>
        <v>C型15P</v>
      </c>
      <c r="AE10" s="25">
        <f t="shared" si="3"/>
        <v>1</v>
      </c>
    </row>
    <row r="11" spans="1:31" ht="25.5" customHeight="1">
      <c r="A11" s="17">
        <f>IF($F11="","",COUNTIF($F$6:$F11,"订单头"))</f>
        <v>1</v>
      </c>
      <c r="B11" s="6"/>
      <c r="C11" s="11"/>
      <c r="D11" s="6"/>
      <c r="E11" s="6"/>
      <c r="F11" s="6" t="s">
        <v>38</v>
      </c>
      <c r="G11" s="20" t="str">
        <f t="shared" si="0"/>
        <v>4.1</v>
      </c>
      <c r="H11" s="6" t="s">
        <v>39</v>
      </c>
      <c r="I11" s="20" t="str">
        <f>IF($F11="组件","C"&amp;TEXT(COUNTIFS($A$6:$A11,$A11,$F$6:$F11,"组件"),"000"),"")</f>
        <v/>
      </c>
      <c r="J11" s="6" t="str">
        <f t="shared" si="1"/>
        <v>C001</v>
      </c>
      <c r="K11" s="6"/>
      <c r="L11" s="6" t="s">
        <v>63</v>
      </c>
      <c r="M11" s="6" t="s">
        <v>64</v>
      </c>
      <c r="N11" s="6"/>
      <c r="O11" s="6" t="s">
        <v>59</v>
      </c>
      <c r="P11" s="14"/>
      <c r="Q11" s="14">
        <v>1</v>
      </c>
      <c r="R11" s="23">
        <f>IF(OR($F11="",$F11="订单头"),"",IF(AND($F11="零件",$J11&lt;&gt;""),IFERROR(SUMIFS($R$6:$R10,$A$6:$A10,$A11,$I$6:$I10,$J11)*IF($Q11="",1,$Q11),""),IF($P11="","",$P11*IF($Q11="",1,$Q11))))</f>
        <v>16</v>
      </c>
      <c r="S11" s="6" t="s">
        <v>44</v>
      </c>
      <c r="T11" s="6" t="s">
        <v>50</v>
      </c>
      <c r="U11" s="6" t="s">
        <v>65</v>
      </c>
      <c r="V11" s="11"/>
      <c r="W11" s="7" t="s">
        <v>46</v>
      </c>
      <c r="X11" s="25">
        <f t="shared" si="4"/>
        <v>4</v>
      </c>
      <c r="Y11" s="25" t="str">
        <f t="shared" si="2"/>
        <v/>
      </c>
      <c r="Z11" s="25">
        <f>IF(AND($F11="零件",$J11&lt;&gt;""),COUNTIFS($A$6:$A11,$A11,$J$6:$J11,$J11,$F$6:$F11,"零件"),"")</f>
        <v>1</v>
      </c>
      <c r="AA11" s="25" t="str">
        <f t="shared" si="5"/>
        <v>RSD-20260510-001</v>
      </c>
      <c r="AB11" s="25">
        <f t="shared" si="6"/>
        <v>46126</v>
      </c>
      <c r="AC11" s="25" t="str">
        <f t="shared" si="7"/>
        <v>合肥荣事达太阳能有限公司</v>
      </c>
      <c r="AD11" s="25" t="str">
        <f t="shared" si="8"/>
        <v>C型15P</v>
      </c>
      <c r="AE11" s="25">
        <f t="shared" si="3"/>
        <v>1</v>
      </c>
    </row>
    <row r="12" spans="1:31" ht="25.5" customHeight="1">
      <c r="A12" s="17">
        <f>IF($F12="","",COUNTIF($F$6:$F12,"订单头"))</f>
        <v>1</v>
      </c>
      <c r="B12" s="6"/>
      <c r="C12" s="11"/>
      <c r="D12" s="6"/>
      <c r="E12" s="6"/>
      <c r="F12" s="6" t="s">
        <v>38</v>
      </c>
      <c r="G12" s="20" t="str">
        <f t="shared" si="0"/>
        <v>4.2</v>
      </c>
      <c r="H12" s="6" t="s">
        <v>39</v>
      </c>
      <c r="I12" s="20" t="str">
        <f>IF($F12="组件","C"&amp;TEXT(COUNTIFS($A$6:$A12,$A12,$F$6:$F12,"组件"),"000"),"")</f>
        <v/>
      </c>
      <c r="J12" s="6" t="str">
        <f t="shared" si="1"/>
        <v>C001</v>
      </c>
      <c r="K12" s="6"/>
      <c r="L12" s="6" t="s">
        <v>66</v>
      </c>
      <c r="M12" s="6" t="s">
        <v>67</v>
      </c>
      <c r="N12" s="6"/>
      <c r="O12" s="6" t="s">
        <v>43</v>
      </c>
      <c r="P12" s="14"/>
      <c r="Q12" s="14">
        <v>1</v>
      </c>
      <c r="R12" s="23">
        <f>IF(OR($F12="",$F12="订单头"),"",IF(AND($F12="零件",$J12&lt;&gt;""),IFERROR(SUMIFS($R$6:$R11,$A$6:$A11,$A12,$I$6:$I11,$J12)*IF($Q12="",1,$Q12),""),IF($P12="","",$P12*IF($Q12="",1,$Q12))))</f>
        <v>16</v>
      </c>
      <c r="S12" s="6" t="s">
        <v>44</v>
      </c>
      <c r="T12" s="6" t="s">
        <v>68</v>
      </c>
      <c r="U12" s="6" t="s">
        <v>69</v>
      </c>
      <c r="V12" s="11"/>
      <c r="W12" s="7" t="s">
        <v>46</v>
      </c>
      <c r="X12" s="25">
        <f t="shared" si="4"/>
        <v>4</v>
      </c>
      <c r="Y12" s="25" t="str">
        <f t="shared" si="2"/>
        <v/>
      </c>
      <c r="Z12" s="25">
        <f>IF(AND($F12="零件",$J12&lt;&gt;""),COUNTIFS($A$6:$A12,$A12,$J$6:$J12,$J12,$F$6:$F12,"零件"),"")</f>
        <v>2</v>
      </c>
      <c r="AA12" s="25" t="str">
        <f t="shared" si="5"/>
        <v>RSD-20260510-001</v>
      </c>
      <c r="AB12" s="25">
        <f t="shared" si="6"/>
        <v>46126</v>
      </c>
      <c r="AC12" s="25" t="str">
        <f t="shared" si="7"/>
        <v>合肥荣事达太阳能有限公司</v>
      </c>
      <c r="AD12" s="25" t="str">
        <f t="shared" si="8"/>
        <v>C型15P</v>
      </c>
      <c r="AE12" s="25">
        <f t="shared" si="3"/>
        <v>1</v>
      </c>
    </row>
    <row r="13" spans="1:31" ht="25.5" customHeight="1">
      <c r="A13" s="17">
        <f>IF($F13="","",COUNTIF($F$6:$F13,"订单头"))</f>
        <v>1</v>
      </c>
      <c r="B13" s="6"/>
      <c r="C13" s="11"/>
      <c r="D13" s="6"/>
      <c r="E13" s="6"/>
      <c r="F13" s="6" t="s">
        <v>55</v>
      </c>
      <c r="G13" s="20">
        <f t="shared" si="0"/>
        <v>5</v>
      </c>
      <c r="H13" s="6" t="s">
        <v>70</v>
      </c>
      <c r="I13" s="20" t="str">
        <f>IF($F13="组件","C"&amp;TEXT(COUNTIFS($A$6:$A13,$A13,$F$6:$F13,"组件"),"000"),"")</f>
        <v>C002</v>
      </c>
      <c r="J13" s="6" t="str">
        <f t="shared" si="1"/>
        <v/>
      </c>
      <c r="K13" s="6" t="s">
        <v>71</v>
      </c>
      <c r="L13" s="6" t="s">
        <v>72</v>
      </c>
      <c r="M13" s="6" t="s">
        <v>73</v>
      </c>
      <c r="N13" s="6"/>
      <c r="O13" s="6" t="s">
        <v>59</v>
      </c>
      <c r="P13" s="14">
        <v>16</v>
      </c>
      <c r="Q13" s="14">
        <v>1</v>
      </c>
      <c r="R13" s="23">
        <f>IF(OR($F13="",$F13="订单头"),"",IF(AND($F13="零件",$J13&lt;&gt;""),IFERROR(SUMIFS($R$6:$R12,$A$6:$A12,$A13,$I$6:$I12,$J13)*IF($Q13="",1,$Q13),""),IF($P13="","",$P13*IF($Q13="",1,$Q13))))</f>
        <v>16</v>
      </c>
      <c r="S13" s="6" t="s">
        <v>60</v>
      </c>
      <c r="T13" s="6" t="s">
        <v>74</v>
      </c>
      <c r="U13" s="6" t="s">
        <v>75</v>
      </c>
      <c r="V13" s="11">
        <v>45247</v>
      </c>
      <c r="W13" s="7" t="s">
        <v>46</v>
      </c>
      <c r="X13" s="25">
        <f t="shared" si="4"/>
        <v>5</v>
      </c>
      <c r="Y13" s="25">
        <f t="shared" si="2"/>
        <v>5</v>
      </c>
      <c r="Z13" s="25" t="str">
        <f>IF(AND($F13="零件",$J13&lt;&gt;""),COUNTIFS($A$6:$A13,$A13,$J$6:$J13,$J13,$F$6:$F13,"零件"),"")</f>
        <v/>
      </c>
      <c r="AA13" s="25" t="str">
        <f t="shared" si="5"/>
        <v>RSD-20260510-001</v>
      </c>
      <c r="AB13" s="25">
        <f t="shared" si="6"/>
        <v>46126</v>
      </c>
      <c r="AC13" s="25" t="str">
        <f t="shared" si="7"/>
        <v>合肥荣事达太阳能有限公司</v>
      </c>
      <c r="AD13" s="25" t="str">
        <f t="shared" si="8"/>
        <v>C型15P</v>
      </c>
      <c r="AE13" s="25">
        <f t="shared" si="3"/>
        <v>1</v>
      </c>
    </row>
    <row r="14" spans="1:31" ht="25.5" customHeight="1">
      <c r="A14" s="17">
        <f>IF($F14="","",COUNTIF($F$6:$F14,"订单头"))</f>
        <v>1</v>
      </c>
      <c r="B14" s="6"/>
      <c r="C14" s="11"/>
      <c r="D14" s="6"/>
      <c r="E14" s="6"/>
      <c r="F14" s="6" t="s">
        <v>38</v>
      </c>
      <c r="G14" s="20" t="str">
        <f t="shared" si="0"/>
        <v>5.1</v>
      </c>
      <c r="H14" s="6" t="s">
        <v>70</v>
      </c>
      <c r="I14" s="20" t="str">
        <f>IF($F14="组件","C"&amp;TEXT(COUNTIFS($A$6:$A14,$A14,$F$6:$F14,"组件"),"000"),"")</f>
        <v/>
      </c>
      <c r="J14" s="6" t="str">
        <f t="shared" si="1"/>
        <v>C002</v>
      </c>
      <c r="K14" s="6"/>
      <c r="L14" s="6" t="s">
        <v>76</v>
      </c>
      <c r="M14" s="6" t="s">
        <v>77</v>
      </c>
      <c r="N14" s="6"/>
      <c r="O14" s="6" t="s">
        <v>59</v>
      </c>
      <c r="P14" s="14"/>
      <c r="Q14" s="14">
        <v>1</v>
      </c>
      <c r="R14" s="23">
        <f>IF(OR($F14="",$F14="订单头"),"",IF(AND($F14="零件",$J14&lt;&gt;""),IFERROR(SUMIFS($R$6:$R13,$A$6:$A13,$A14,$I$6:$I13,$J14)*IF($Q14="",1,$Q14),""),IF($P14="","",$P14*IF($Q14="",1,$Q14))))</f>
        <v>16</v>
      </c>
      <c r="S14" s="6" t="s">
        <v>44</v>
      </c>
      <c r="T14" s="6" t="s">
        <v>68</v>
      </c>
      <c r="U14" s="6" t="s">
        <v>78</v>
      </c>
      <c r="V14" s="11"/>
      <c r="W14" s="7" t="s">
        <v>79</v>
      </c>
      <c r="X14" s="25">
        <f t="shared" si="4"/>
        <v>5</v>
      </c>
      <c r="Y14" s="25" t="str">
        <f t="shared" si="2"/>
        <v/>
      </c>
      <c r="Z14" s="25">
        <f>IF(AND($F14="零件",$J14&lt;&gt;""),COUNTIFS($A$6:$A14,$A14,$J$6:$J14,$J14,$F$6:$F14,"零件"),"")</f>
        <v>1</v>
      </c>
      <c r="AA14" s="25" t="str">
        <f t="shared" si="5"/>
        <v>RSD-20260510-001</v>
      </c>
      <c r="AB14" s="25">
        <f t="shared" si="6"/>
        <v>46126</v>
      </c>
      <c r="AC14" s="25" t="str">
        <f t="shared" si="7"/>
        <v>合肥荣事达太阳能有限公司</v>
      </c>
      <c r="AD14" s="25" t="str">
        <f t="shared" si="8"/>
        <v>C型15P</v>
      </c>
      <c r="AE14" s="25">
        <f t="shared" si="3"/>
        <v>1</v>
      </c>
    </row>
    <row r="15" spans="1:31" ht="25.5" customHeight="1">
      <c r="A15" s="17">
        <f>IF($F15="","",COUNTIF($F$6:$F15,"订单头"))</f>
        <v>1</v>
      </c>
      <c r="B15" s="6"/>
      <c r="C15" s="11"/>
      <c r="D15" s="6"/>
      <c r="E15" s="6"/>
      <c r="F15" s="6" t="s">
        <v>38</v>
      </c>
      <c r="G15" s="20" t="str">
        <f t="shared" si="0"/>
        <v>5.2</v>
      </c>
      <c r="H15" s="6" t="s">
        <v>70</v>
      </c>
      <c r="I15" s="20" t="str">
        <f>IF($F15="组件","C"&amp;TEXT(COUNTIFS($A$6:$A15,$A15,$F$6:$F15,"组件"),"000"),"")</f>
        <v/>
      </c>
      <c r="J15" s="6" t="str">
        <f t="shared" si="1"/>
        <v>C002</v>
      </c>
      <c r="K15" s="6"/>
      <c r="L15" s="6" t="s">
        <v>80</v>
      </c>
      <c r="M15" s="6" t="s">
        <v>81</v>
      </c>
      <c r="N15" s="6"/>
      <c r="O15" s="6" t="s">
        <v>82</v>
      </c>
      <c r="P15" s="14"/>
      <c r="Q15" s="14">
        <v>1</v>
      </c>
      <c r="R15" s="23">
        <f>IF(OR($F15="",$F15="订单头"),"",IF(AND($F15="零件",$J15&lt;&gt;""),IFERROR(SUMIFS($R$6:$R14,$A$6:$A14,$A15,$I$6:$I14,$J15)*IF($Q15="",1,$Q15),""),IF($P15="","",$P15*IF($Q15="",1,$Q15))))</f>
        <v>16</v>
      </c>
      <c r="S15" s="6" t="s">
        <v>44</v>
      </c>
      <c r="T15" s="6" t="s">
        <v>50</v>
      </c>
      <c r="U15" s="6" t="s">
        <v>83</v>
      </c>
      <c r="V15" s="11"/>
      <c r="W15" s="7" t="s">
        <v>79</v>
      </c>
      <c r="X15" s="25">
        <f t="shared" si="4"/>
        <v>5</v>
      </c>
      <c r="Y15" s="25" t="str">
        <f t="shared" si="2"/>
        <v/>
      </c>
      <c r="Z15" s="25">
        <f>IF(AND($F15="零件",$J15&lt;&gt;""),COUNTIFS($A$6:$A15,$A15,$J$6:$J15,$J15,$F$6:$F15,"零件"),"")</f>
        <v>2</v>
      </c>
      <c r="AA15" s="25" t="str">
        <f t="shared" si="5"/>
        <v>RSD-20260510-001</v>
      </c>
      <c r="AB15" s="25">
        <f t="shared" si="6"/>
        <v>46126</v>
      </c>
      <c r="AC15" s="25" t="str">
        <f t="shared" si="7"/>
        <v>合肥荣事达太阳能有限公司</v>
      </c>
      <c r="AD15" s="25" t="str">
        <f t="shared" si="8"/>
        <v>C型15P</v>
      </c>
      <c r="AE15" s="25">
        <f t="shared" si="3"/>
        <v>1</v>
      </c>
    </row>
    <row r="16" spans="1:31" ht="25.5" customHeight="1">
      <c r="A16" s="17">
        <f>IF($F16="","",COUNTIF($F$6:$F16,"订单头"))</f>
        <v>1</v>
      </c>
      <c r="B16" s="6"/>
      <c r="C16" s="11"/>
      <c r="D16" s="6"/>
      <c r="E16" s="6"/>
      <c r="F16" s="6" t="s">
        <v>38</v>
      </c>
      <c r="G16" s="20">
        <f t="shared" si="0"/>
        <v>6</v>
      </c>
      <c r="H16" s="6" t="s">
        <v>84</v>
      </c>
      <c r="I16" s="20" t="str">
        <f>IF($F16="组件","C"&amp;TEXT(COUNTIFS($A$6:$A16,$A16,$F$6:$F16,"组件"),"000"),"")</f>
        <v/>
      </c>
      <c r="J16" s="6" t="str">
        <f t="shared" si="1"/>
        <v/>
      </c>
      <c r="K16" s="6" t="s">
        <v>85</v>
      </c>
      <c r="L16" s="6" t="s">
        <v>86</v>
      </c>
      <c r="M16" s="6" t="s">
        <v>87</v>
      </c>
      <c r="N16" s="6"/>
      <c r="O16" s="6"/>
      <c r="P16" s="14">
        <v>32</v>
      </c>
      <c r="Q16" s="14"/>
      <c r="R16" s="23">
        <f>IF(OR($F16="",$F16="订单头"),"",IF(AND($F16="零件",$J16&lt;&gt;""),IFERROR(SUMIFS($R$6:$R15,$A$6:$A15,$A16,$I$6:$I15,$J16)*IF($Q16="",1,$Q16),""),IF($P16="","",$P16*IF($Q16="",1,$Q16))))</f>
        <v>32</v>
      </c>
      <c r="S16" s="6" t="s">
        <v>44</v>
      </c>
      <c r="T16" s="6"/>
      <c r="U16" s="6" t="s">
        <v>88</v>
      </c>
      <c r="V16" s="11"/>
      <c r="W16" s="7" t="s">
        <v>46</v>
      </c>
      <c r="X16" s="25">
        <f t="shared" si="4"/>
        <v>6</v>
      </c>
      <c r="Y16" s="25">
        <f t="shared" si="2"/>
        <v>6</v>
      </c>
      <c r="Z16" s="25" t="str">
        <f>IF(AND($F16="零件",$J16&lt;&gt;""),COUNTIFS($A$6:$A16,$A16,$J$6:$J16,$J16,$F$6:$F16,"零件"),"")</f>
        <v/>
      </c>
      <c r="AA16" s="25" t="str">
        <f t="shared" si="5"/>
        <v>RSD-20260510-001</v>
      </c>
      <c r="AB16" s="25">
        <f t="shared" si="6"/>
        <v>46126</v>
      </c>
      <c r="AC16" s="25" t="str">
        <f t="shared" si="7"/>
        <v>合肥荣事达太阳能有限公司</v>
      </c>
      <c r="AD16" s="25" t="str">
        <f t="shared" si="8"/>
        <v>C型15P</v>
      </c>
      <c r="AE16" s="25">
        <f t="shared" si="3"/>
        <v>1</v>
      </c>
    </row>
    <row r="17" spans="1:31" ht="25.5" customHeight="1">
      <c r="A17" s="17" t="str">
        <f>IF($F17="","",COUNTIF($F$6:$F17,"订单头"))</f>
        <v/>
      </c>
      <c r="B17" s="6"/>
      <c r="C17" s="11"/>
      <c r="D17" s="6"/>
      <c r="E17" s="6"/>
      <c r="F17" s="6"/>
      <c r="G17" s="20" t="str">
        <f t="shared" si="0"/>
        <v/>
      </c>
      <c r="H17" s="6"/>
      <c r="I17" s="20" t="str">
        <f>IF($F17="组件","C"&amp;TEXT(COUNTIFS($A$6:$A17,$A17,$F$6:$F17,"组件"),"000"),"")</f>
        <v/>
      </c>
      <c r="J17" s="6" t="str">
        <f t="shared" si="1"/>
        <v/>
      </c>
      <c r="K17" s="6"/>
      <c r="L17" s="6"/>
      <c r="M17" s="6"/>
      <c r="N17" s="6"/>
      <c r="O17" s="6"/>
      <c r="P17" s="14"/>
      <c r="Q17" s="14"/>
      <c r="R17" s="23" t="str">
        <f>IF(OR($F17="",$F17="订单头"),"",IF(AND($F17="零件",$J17&lt;&gt;""),IFERROR(SUMIFS($R$6:$R16,$A$6:$A16,$A17,$I$6:$I16,$J17)*IF($Q17="",1,$Q17),""),IF($P17="","",$P17*IF($Q17="",1,$Q17))))</f>
        <v/>
      </c>
      <c r="S17" s="6"/>
      <c r="T17" s="6"/>
      <c r="U17" s="6"/>
      <c r="V17" s="11"/>
      <c r="W17" s="7"/>
      <c r="X17" s="25" t="str">
        <f t="shared" si="4"/>
        <v/>
      </c>
      <c r="Y17" s="25" t="str">
        <f t="shared" si="2"/>
        <v/>
      </c>
      <c r="Z17" s="25" t="str">
        <f>IF(AND($F17="零件",$J17&lt;&gt;""),COUNTIFS($A$6:$A17,$A17,$J$6:$J17,$J17,$F$6:$F17,"零件"),"")</f>
        <v/>
      </c>
      <c r="AA17" s="25" t="str">
        <f t="shared" si="5"/>
        <v/>
      </c>
      <c r="AB17" s="25" t="str">
        <f t="shared" si="6"/>
        <v/>
      </c>
      <c r="AC17" s="25" t="str">
        <f t="shared" si="7"/>
        <v/>
      </c>
      <c r="AD17" s="25" t="str">
        <f t="shared" si="8"/>
        <v/>
      </c>
      <c r="AE17" s="25">
        <f t="shared" si="3"/>
        <v>0</v>
      </c>
    </row>
    <row r="18" spans="1:31" ht="25.5" customHeight="1">
      <c r="A18" s="17">
        <f>IF($F18="","",COUNTIF($F$6:$F18,"订单头"))</f>
        <v>2</v>
      </c>
      <c r="B18" s="6" t="s">
        <v>89</v>
      </c>
      <c r="C18" s="11">
        <v>46174</v>
      </c>
      <c r="D18" s="6" t="s">
        <v>35</v>
      </c>
      <c r="E18" s="6" t="s">
        <v>90</v>
      </c>
      <c r="F18" s="6" t="s">
        <v>37</v>
      </c>
      <c r="G18" s="20" t="str">
        <f t="shared" si="0"/>
        <v>订单头</v>
      </c>
      <c r="H18" s="6"/>
      <c r="I18" s="20" t="str">
        <f>IF($F18="组件","C"&amp;TEXT(COUNTIFS($A$6:$A18,$A18,$F$6:$F18,"组件"),"000"),"")</f>
        <v/>
      </c>
      <c r="J18" s="6" t="str">
        <f t="shared" si="1"/>
        <v/>
      </c>
      <c r="K18" s="6"/>
      <c r="L18" s="6"/>
      <c r="M18" s="6"/>
      <c r="N18" s="6"/>
      <c r="O18" s="6"/>
      <c r="P18" s="14"/>
      <c r="Q18" s="14"/>
      <c r="R18" s="23" t="str">
        <f>IF(OR($F18="",$F18="订单头"),"",IF(AND($F18="零件",$J18&lt;&gt;""),IFERROR(SUMIFS($R$6:$R17,$A$6:$A17,$A18,$I$6:$I17,$J18)*IF($Q18="",1,$Q18),""),IF($P18="","",$P18*IF($Q18="",1,$Q18))))</f>
        <v/>
      </c>
      <c r="S18" s="6"/>
      <c r="T18" s="6"/>
      <c r="U18" s="6"/>
      <c r="V18" s="11"/>
      <c r="W18" s="7"/>
      <c r="X18" s="25">
        <f t="shared" si="4"/>
        <v>0</v>
      </c>
      <c r="Y18" s="25" t="str">
        <f t="shared" si="2"/>
        <v/>
      </c>
      <c r="Z18" s="25" t="str">
        <f>IF(AND($F18="零件",$J18&lt;&gt;""),COUNTIFS($A$6:$A18,$A18,$J$6:$J18,$J18,$F$6:$F18,"零件"),"")</f>
        <v/>
      </c>
      <c r="AA18" s="25" t="str">
        <f t="shared" si="5"/>
        <v>RSD-20260601-002</v>
      </c>
      <c r="AB18" s="25">
        <f t="shared" si="6"/>
        <v>46174</v>
      </c>
      <c r="AC18" s="25" t="str">
        <f t="shared" si="7"/>
        <v>合肥荣事达太阳能有限公司</v>
      </c>
      <c r="AD18" s="25" t="str">
        <f t="shared" si="8"/>
        <v>B型5P</v>
      </c>
      <c r="AE18" s="25">
        <f t="shared" si="3"/>
        <v>0</v>
      </c>
    </row>
    <row r="19" spans="1:31" ht="25.5" customHeight="1">
      <c r="A19" s="17">
        <f>IF($F19="","",COUNTIF($F$6:$F19,"订单头"))</f>
        <v>2</v>
      </c>
      <c r="B19" s="6"/>
      <c r="C19" s="11"/>
      <c r="D19" s="6"/>
      <c r="E19" s="6"/>
      <c r="F19" s="6" t="s">
        <v>38</v>
      </c>
      <c r="G19" s="20">
        <f t="shared" si="0"/>
        <v>1</v>
      </c>
      <c r="H19" s="6" t="s">
        <v>39</v>
      </c>
      <c r="I19" s="20" t="str">
        <f>IF($F19="组件","C"&amp;TEXT(COUNTIFS($A$6:$A19,$A19,$F$6:$F19,"组件"),"000"),"")</f>
        <v/>
      </c>
      <c r="J19" s="6" t="str">
        <f t="shared" si="1"/>
        <v/>
      </c>
      <c r="K19" s="6" t="s">
        <v>91</v>
      </c>
      <c r="L19" s="6" t="s">
        <v>92</v>
      </c>
      <c r="M19" s="6" t="s">
        <v>42</v>
      </c>
      <c r="N19" s="6"/>
      <c r="O19" s="6" t="s">
        <v>43</v>
      </c>
      <c r="P19" s="14">
        <v>16</v>
      </c>
      <c r="Q19" s="14"/>
      <c r="R19" s="23">
        <f>IF(OR($F19="",$F19="订单头"),"",IF(AND($F19="零件",$J19&lt;&gt;""),IFERROR(SUMIFS($R$6:$R18,$A$6:$A18,$A19,$I$6:$I18,$J19)*IF($Q19="",1,$Q19),""),IF($P19="","",$P19*IF($Q19="",1,$Q19))))</f>
        <v>16</v>
      </c>
      <c r="S19" s="6" t="s">
        <v>44</v>
      </c>
      <c r="T19" s="6"/>
      <c r="U19" s="6" t="s">
        <v>45</v>
      </c>
      <c r="V19" s="11"/>
      <c r="W19" s="7" t="s">
        <v>46</v>
      </c>
      <c r="X19" s="25">
        <f t="shared" si="4"/>
        <v>1</v>
      </c>
      <c r="Y19" s="25">
        <f t="shared" si="2"/>
        <v>1</v>
      </c>
      <c r="Z19" s="25" t="str">
        <f>IF(AND($F19="零件",$J19&lt;&gt;""),COUNTIFS($A$6:$A19,$A19,$J$6:$J19,$J19,$F$6:$F19,"零件"),"")</f>
        <v/>
      </c>
      <c r="AA19" s="25" t="str">
        <f t="shared" si="5"/>
        <v>RSD-20260601-002</v>
      </c>
      <c r="AB19" s="25">
        <f t="shared" si="6"/>
        <v>46174</v>
      </c>
      <c r="AC19" s="25" t="str">
        <f t="shared" si="7"/>
        <v>合肥荣事达太阳能有限公司</v>
      </c>
      <c r="AD19" s="25" t="str">
        <f t="shared" si="8"/>
        <v>B型5P</v>
      </c>
      <c r="AE19" s="25">
        <f t="shared" si="3"/>
        <v>1</v>
      </c>
    </row>
    <row r="20" spans="1:31" ht="25.5" customHeight="1">
      <c r="A20" s="17">
        <f>IF($F20="","",COUNTIF($F$6:$F20,"订单头"))</f>
        <v>2</v>
      </c>
      <c r="B20" s="6"/>
      <c r="C20" s="11"/>
      <c r="D20" s="6"/>
      <c r="E20" s="6"/>
      <c r="F20" s="6" t="s">
        <v>38</v>
      </c>
      <c r="G20" s="20">
        <f t="shared" si="0"/>
        <v>2</v>
      </c>
      <c r="H20" s="6" t="s">
        <v>39</v>
      </c>
      <c r="I20" s="20" t="str">
        <f>IF($F20="组件","C"&amp;TEXT(COUNTIFS($A$6:$A20,$A20,$F$6:$F20,"组件"),"000"),"")</f>
        <v/>
      </c>
      <c r="J20" s="6" t="str">
        <f t="shared" si="1"/>
        <v/>
      </c>
      <c r="K20" s="6" t="s">
        <v>93</v>
      </c>
      <c r="L20" s="6" t="s">
        <v>94</v>
      </c>
      <c r="M20" s="6" t="s">
        <v>49</v>
      </c>
      <c r="N20" s="6"/>
      <c r="O20" s="6" t="s">
        <v>43</v>
      </c>
      <c r="P20" s="14">
        <v>16</v>
      </c>
      <c r="Q20" s="14"/>
      <c r="R20" s="23">
        <f>IF(OR($F20="",$F20="订单头"),"",IF(AND($F20="零件",$J20&lt;&gt;""),IFERROR(SUMIFS($R$6:$R19,$A$6:$A19,$A20,$I$6:$I19,$J20)*IF($Q20="",1,$Q20),""),IF($P20="","",$P20*IF($Q20="",1,$Q20))))</f>
        <v>16</v>
      </c>
      <c r="S20" s="6" t="s">
        <v>44</v>
      </c>
      <c r="T20" s="6" t="s">
        <v>50</v>
      </c>
      <c r="U20" s="6" t="s">
        <v>45</v>
      </c>
      <c r="V20" s="11"/>
      <c r="W20" s="7" t="s">
        <v>46</v>
      </c>
      <c r="X20" s="25">
        <f t="shared" si="4"/>
        <v>2</v>
      </c>
      <c r="Y20" s="25">
        <f t="shared" si="2"/>
        <v>2</v>
      </c>
      <c r="Z20" s="25" t="str">
        <f>IF(AND($F20="零件",$J20&lt;&gt;""),COUNTIFS($A$6:$A20,$A20,$J$6:$J20,$J20,$F$6:$F20,"零件"),"")</f>
        <v/>
      </c>
      <c r="AA20" s="25" t="str">
        <f t="shared" si="5"/>
        <v>RSD-20260601-002</v>
      </c>
      <c r="AB20" s="25">
        <f t="shared" si="6"/>
        <v>46174</v>
      </c>
      <c r="AC20" s="25" t="str">
        <f t="shared" si="7"/>
        <v>合肥荣事达太阳能有限公司</v>
      </c>
      <c r="AD20" s="25" t="str">
        <f t="shared" si="8"/>
        <v>B型5P</v>
      </c>
      <c r="AE20" s="25">
        <f t="shared" si="3"/>
        <v>1</v>
      </c>
    </row>
    <row r="21" spans="1:31" ht="25.5" customHeight="1">
      <c r="A21" s="17">
        <f>IF($F21="","",COUNTIF($F$6:$F21,"订单头"))</f>
        <v>2</v>
      </c>
      <c r="B21" s="6"/>
      <c r="C21" s="11"/>
      <c r="D21" s="6"/>
      <c r="E21" s="6"/>
      <c r="F21" s="6" t="s">
        <v>55</v>
      </c>
      <c r="G21" s="20">
        <f t="shared" si="0"/>
        <v>3</v>
      </c>
      <c r="H21" s="6" t="s">
        <v>39</v>
      </c>
      <c r="I21" s="20" t="str">
        <f>IF($F21="组件","C"&amp;TEXT(COUNTIFS($A$6:$A21,$A21,$F$6:$F21,"组件"),"000"),"")</f>
        <v>C001</v>
      </c>
      <c r="J21" s="6" t="str">
        <f t="shared" si="1"/>
        <v/>
      </c>
      <c r="K21" s="6" t="s">
        <v>95</v>
      </c>
      <c r="L21" s="6" t="s">
        <v>96</v>
      </c>
      <c r="M21" s="6" t="s">
        <v>58</v>
      </c>
      <c r="N21" s="6"/>
      <c r="O21" s="6" t="s">
        <v>59</v>
      </c>
      <c r="P21" s="14">
        <v>90</v>
      </c>
      <c r="Q21" s="14">
        <v>2</v>
      </c>
      <c r="R21" s="23">
        <f>IF(OR($F21="",$F21="订单头"),"",IF(AND($F21="零件",$J21&lt;&gt;""),IFERROR(SUMIFS($R$6:$R20,$A$6:$A20,$A21,$I$6:$I20,$J21)*IF($Q21="",1,$Q21),""),IF($P21="","",$P21*IF($Q21="",1,$Q21))))</f>
        <v>180</v>
      </c>
      <c r="S21" s="6" t="s">
        <v>60</v>
      </c>
      <c r="T21" s="6" t="s">
        <v>61</v>
      </c>
      <c r="U21" s="6" t="s">
        <v>97</v>
      </c>
      <c r="V21" s="11"/>
      <c r="W21" s="7" t="s">
        <v>46</v>
      </c>
      <c r="X21" s="25">
        <f t="shared" si="4"/>
        <v>3</v>
      </c>
      <c r="Y21" s="25">
        <f t="shared" si="2"/>
        <v>3</v>
      </c>
      <c r="Z21" s="25" t="str">
        <f>IF(AND($F21="零件",$J21&lt;&gt;""),COUNTIFS($A$6:$A21,$A21,$J$6:$J21,$J21,$F$6:$F21,"零件"),"")</f>
        <v/>
      </c>
      <c r="AA21" s="25" t="str">
        <f t="shared" si="5"/>
        <v>RSD-20260601-002</v>
      </c>
      <c r="AB21" s="25">
        <f t="shared" si="6"/>
        <v>46174</v>
      </c>
      <c r="AC21" s="25" t="str">
        <f t="shared" si="7"/>
        <v>合肥荣事达太阳能有限公司</v>
      </c>
      <c r="AD21" s="25" t="str">
        <f t="shared" si="8"/>
        <v>B型5P</v>
      </c>
      <c r="AE21" s="25">
        <f t="shared" si="3"/>
        <v>1</v>
      </c>
    </row>
    <row r="22" spans="1:31" ht="25.5" customHeight="1">
      <c r="A22" s="17">
        <f>IF($F22="","",COUNTIF($F$6:$F22,"订单头"))</f>
        <v>2</v>
      </c>
      <c r="B22" s="6"/>
      <c r="C22" s="11"/>
      <c r="D22" s="6"/>
      <c r="E22" s="6"/>
      <c r="F22" s="6" t="s">
        <v>38</v>
      </c>
      <c r="G22" s="20" t="str">
        <f t="shared" si="0"/>
        <v>3.1</v>
      </c>
      <c r="H22" s="6" t="s">
        <v>39</v>
      </c>
      <c r="I22" s="20" t="str">
        <f>IF($F22="组件","C"&amp;TEXT(COUNTIFS($A$6:$A22,$A22,$F$6:$F22,"组件"),"000"),"")</f>
        <v/>
      </c>
      <c r="J22" s="6" t="str">
        <f t="shared" si="1"/>
        <v>C001</v>
      </c>
      <c r="K22" s="6"/>
      <c r="L22" s="6" t="s">
        <v>98</v>
      </c>
      <c r="M22" s="6" t="s">
        <v>64</v>
      </c>
      <c r="N22" s="6"/>
      <c r="O22" s="6" t="s">
        <v>59</v>
      </c>
      <c r="P22" s="14"/>
      <c r="Q22" s="14">
        <v>2</v>
      </c>
      <c r="R22" s="23">
        <f>IF(OR($F22="",$F22="订单头"),"",IF(AND($F22="零件",$J22&lt;&gt;""),IFERROR(SUMIFS($R$6:$R21,$A$6:$A21,$A22,$I$6:$I21,$J22)*IF($Q22="",1,$Q22),""),IF($P22="","",$P22*IF($Q22="",1,$Q22))))</f>
        <v>360</v>
      </c>
      <c r="S22" s="6" t="s">
        <v>44</v>
      </c>
      <c r="T22" s="6" t="s">
        <v>50</v>
      </c>
      <c r="U22" s="6" t="s">
        <v>99</v>
      </c>
      <c r="V22" s="11"/>
      <c r="W22" s="7" t="s">
        <v>46</v>
      </c>
      <c r="X22" s="25">
        <f t="shared" si="4"/>
        <v>3</v>
      </c>
      <c r="Y22" s="25" t="str">
        <f t="shared" si="2"/>
        <v/>
      </c>
      <c r="Z22" s="25">
        <f>IF(AND($F22="零件",$J22&lt;&gt;""),COUNTIFS($A$6:$A22,$A22,$J$6:$J22,$J22,$F$6:$F22,"零件"),"")</f>
        <v>1</v>
      </c>
      <c r="AA22" s="25" t="str">
        <f t="shared" si="5"/>
        <v>RSD-20260601-002</v>
      </c>
      <c r="AB22" s="25">
        <f t="shared" si="6"/>
        <v>46174</v>
      </c>
      <c r="AC22" s="25" t="str">
        <f t="shared" si="7"/>
        <v>合肥荣事达太阳能有限公司</v>
      </c>
      <c r="AD22" s="25" t="str">
        <f t="shared" si="8"/>
        <v>B型5P</v>
      </c>
      <c r="AE22" s="25">
        <f t="shared" si="3"/>
        <v>1</v>
      </c>
    </row>
    <row r="23" spans="1:31" ht="25.5" customHeight="1">
      <c r="A23" s="17">
        <f>IF($F23="","",COUNTIF($F$6:$F23,"订单头"))</f>
        <v>2</v>
      </c>
      <c r="B23" s="6"/>
      <c r="C23" s="11"/>
      <c r="D23" s="6"/>
      <c r="E23" s="6"/>
      <c r="F23" s="6" t="s">
        <v>38</v>
      </c>
      <c r="G23" s="20" t="str">
        <f t="shared" si="0"/>
        <v>3.2</v>
      </c>
      <c r="H23" s="6" t="s">
        <v>39</v>
      </c>
      <c r="I23" s="20" t="str">
        <f>IF($F23="组件","C"&amp;TEXT(COUNTIFS($A$6:$A23,$A23,$F$6:$F23,"组件"),"000"),"")</f>
        <v/>
      </c>
      <c r="J23" s="6" t="str">
        <f t="shared" si="1"/>
        <v>C001</v>
      </c>
      <c r="K23" s="6"/>
      <c r="L23" s="6" t="s">
        <v>100</v>
      </c>
      <c r="M23" s="6" t="s">
        <v>67</v>
      </c>
      <c r="N23" s="6"/>
      <c r="O23" s="6" t="s">
        <v>43</v>
      </c>
      <c r="P23" s="14"/>
      <c r="Q23" s="14">
        <v>1</v>
      </c>
      <c r="R23" s="23">
        <f>IF(OR($F23="",$F23="订单头"),"",IF(AND($F23="零件",$J23&lt;&gt;""),IFERROR(SUMIFS($R$6:$R22,$A$6:$A22,$A23,$I$6:$I22,$J23)*IF($Q23="",1,$Q23),""),IF($P23="","",$P23*IF($Q23="",1,$Q23))))</f>
        <v>180</v>
      </c>
      <c r="S23" s="6" t="s">
        <v>44</v>
      </c>
      <c r="T23" s="6" t="s">
        <v>68</v>
      </c>
      <c r="U23" s="6" t="s">
        <v>101</v>
      </c>
      <c r="V23" s="11"/>
      <c r="W23" s="7" t="s">
        <v>46</v>
      </c>
      <c r="X23" s="25">
        <f t="shared" si="4"/>
        <v>3</v>
      </c>
      <c r="Y23" s="25" t="str">
        <f t="shared" si="2"/>
        <v/>
      </c>
      <c r="Z23" s="25">
        <f>IF(AND($F23="零件",$J23&lt;&gt;""),COUNTIFS($A$6:$A23,$A23,$J$6:$J23,$J23,$F$6:$F23,"零件"),"")</f>
        <v>2</v>
      </c>
      <c r="AA23" s="25" t="str">
        <f t="shared" si="5"/>
        <v>RSD-20260601-002</v>
      </c>
      <c r="AB23" s="25">
        <f t="shared" si="6"/>
        <v>46174</v>
      </c>
      <c r="AC23" s="25" t="str">
        <f t="shared" si="7"/>
        <v>合肥荣事达太阳能有限公司</v>
      </c>
      <c r="AD23" s="25" t="str">
        <f t="shared" si="8"/>
        <v>B型5P</v>
      </c>
      <c r="AE23" s="25">
        <f t="shared" si="3"/>
        <v>1</v>
      </c>
    </row>
    <row r="24" spans="1:31" ht="25.5" customHeight="1">
      <c r="A24" s="17">
        <f>IF($F24="","",COUNTIF($F$6:$F24,"订单头"))</f>
        <v>2</v>
      </c>
      <c r="B24" s="6"/>
      <c r="C24" s="11"/>
      <c r="D24" s="6"/>
      <c r="E24" s="6"/>
      <c r="F24" s="6" t="s">
        <v>55</v>
      </c>
      <c r="G24" s="20">
        <f t="shared" si="0"/>
        <v>4</v>
      </c>
      <c r="H24" s="6" t="s">
        <v>70</v>
      </c>
      <c r="I24" s="20" t="str">
        <f>IF($F24="组件","C"&amp;TEXT(COUNTIFS($A$6:$A24,$A24,$F$6:$F24,"组件"),"000"),"")</f>
        <v>C002</v>
      </c>
      <c r="J24" s="6" t="str">
        <f t="shared" si="1"/>
        <v/>
      </c>
      <c r="K24" s="6" t="s">
        <v>102</v>
      </c>
      <c r="L24" s="6" t="s">
        <v>103</v>
      </c>
      <c r="M24" s="6" t="s">
        <v>73</v>
      </c>
      <c r="N24" s="6"/>
      <c r="O24" s="6" t="s">
        <v>59</v>
      </c>
      <c r="P24" s="14">
        <v>16</v>
      </c>
      <c r="Q24" s="14">
        <v>1</v>
      </c>
      <c r="R24" s="23">
        <f>IF(OR($F24="",$F24="订单头"),"",IF(AND($F24="零件",$J24&lt;&gt;""),IFERROR(SUMIFS($R$6:$R23,$A$6:$A23,$A24,$I$6:$I23,$J24)*IF($Q24="",1,$Q24),""),IF($P24="","",$P24*IF($Q24="",1,$Q24))))</f>
        <v>16</v>
      </c>
      <c r="S24" s="6" t="s">
        <v>60</v>
      </c>
      <c r="T24" s="6" t="s">
        <v>74</v>
      </c>
      <c r="U24" s="6" t="s">
        <v>75</v>
      </c>
      <c r="V24" s="11">
        <v>45247</v>
      </c>
      <c r="W24" s="7" t="s">
        <v>46</v>
      </c>
      <c r="X24" s="25">
        <f t="shared" si="4"/>
        <v>4</v>
      </c>
      <c r="Y24" s="25">
        <f t="shared" si="2"/>
        <v>4</v>
      </c>
      <c r="Z24" s="25" t="str">
        <f>IF(AND($F24="零件",$J24&lt;&gt;""),COUNTIFS($A$6:$A24,$A24,$J$6:$J24,$J24,$F$6:$F24,"零件"),"")</f>
        <v/>
      </c>
      <c r="AA24" s="25" t="str">
        <f t="shared" si="5"/>
        <v>RSD-20260601-002</v>
      </c>
      <c r="AB24" s="25">
        <f t="shared" si="6"/>
        <v>46174</v>
      </c>
      <c r="AC24" s="25" t="str">
        <f t="shared" si="7"/>
        <v>合肥荣事达太阳能有限公司</v>
      </c>
      <c r="AD24" s="25" t="str">
        <f t="shared" si="8"/>
        <v>B型5P</v>
      </c>
      <c r="AE24" s="25">
        <f t="shared" si="3"/>
        <v>1</v>
      </c>
    </row>
    <row r="25" spans="1:31" ht="25.5" customHeight="1">
      <c r="A25" s="17">
        <f>IF($F25="","",COUNTIF($F$6:$F25,"订单头"))</f>
        <v>2</v>
      </c>
      <c r="B25" s="6"/>
      <c r="C25" s="11"/>
      <c r="D25" s="6"/>
      <c r="E25" s="6"/>
      <c r="F25" s="6" t="s">
        <v>38</v>
      </c>
      <c r="G25" s="20" t="str">
        <f t="shared" si="0"/>
        <v>4.1</v>
      </c>
      <c r="H25" s="6" t="s">
        <v>70</v>
      </c>
      <c r="I25" s="20" t="str">
        <f>IF($F25="组件","C"&amp;TEXT(COUNTIFS($A$6:$A25,$A25,$F$6:$F25,"组件"),"000"),"")</f>
        <v/>
      </c>
      <c r="J25" s="6" t="str">
        <f t="shared" si="1"/>
        <v>C002</v>
      </c>
      <c r="K25" s="6"/>
      <c r="L25" s="6" t="s">
        <v>104</v>
      </c>
      <c r="M25" s="6" t="s">
        <v>77</v>
      </c>
      <c r="N25" s="6"/>
      <c r="O25" s="6" t="s">
        <v>59</v>
      </c>
      <c r="P25" s="14"/>
      <c r="Q25" s="14">
        <v>2</v>
      </c>
      <c r="R25" s="23">
        <f>IF(OR($F25="",$F25="订单头"),"",IF(AND($F25="零件",$J25&lt;&gt;""),IFERROR(SUMIFS($R$6:$R24,$A$6:$A24,$A25,$I$6:$I24,$J25)*IF($Q25="",1,$Q25),""),IF($P25="","",$P25*IF($Q25="",1,$Q25))))</f>
        <v>32</v>
      </c>
      <c r="S25" s="6" t="s">
        <v>44</v>
      </c>
      <c r="T25" s="6" t="s">
        <v>68</v>
      </c>
      <c r="U25" s="6" t="s">
        <v>99</v>
      </c>
      <c r="V25" s="11"/>
      <c r="W25" s="7" t="s">
        <v>79</v>
      </c>
      <c r="X25" s="25">
        <f t="shared" si="4"/>
        <v>4</v>
      </c>
      <c r="Y25" s="25" t="str">
        <f t="shared" si="2"/>
        <v/>
      </c>
      <c r="Z25" s="25">
        <f>IF(AND($F25="零件",$J25&lt;&gt;""),COUNTIFS($A$6:$A25,$A25,$J$6:$J25,$J25,$F$6:$F25,"零件"),"")</f>
        <v>1</v>
      </c>
      <c r="AA25" s="25" t="str">
        <f t="shared" si="5"/>
        <v>RSD-20260601-002</v>
      </c>
      <c r="AB25" s="25">
        <f t="shared" si="6"/>
        <v>46174</v>
      </c>
      <c r="AC25" s="25" t="str">
        <f t="shared" si="7"/>
        <v>合肥荣事达太阳能有限公司</v>
      </c>
      <c r="AD25" s="25" t="str">
        <f t="shared" si="8"/>
        <v>B型5P</v>
      </c>
      <c r="AE25" s="25">
        <f t="shared" si="3"/>
        <v>1</v>
      </c>
    </row>
    <row r="26" spans="1:31" ht="25.5" customHeight="1">
      <c r="A26" s="17">
        <f>IF($F26="","",COUNTIF($F$6:$F26,"订单头"))</f>
        <v>2</v>
      </c>
      <c r="B26" s="6"/>
      <c r="C26" s="11"/>
      <c r="D26" s="6"/>
      <c r="E26" s="6"/>
      <c r="F26" s="6" t="s">
        <v>38</v>
      </c>
      <c r="G26" s="20" t="str">
        <f t="shared" si="0"/>
        <v>4.2</v>
      </c>
      <c r="H26" s="6" t="s">
        <v>70</v>
      </c>
      <c r="I26" s="20" t="str">
        <f>IF($F26="组件","C"&amp;TEXT(COUNTIFS($A$6:$A26,$A26,$F$6:$F26,"组件"),"000"),"")</f>
        <v/>
      </c>
      <c r="J26" s="6" t="str">
        <f t="shared" si="1"/>
        <v>C002</v>
      </c>
      <c r="K26" s="6"/>
      <c r="L26" s="6" t="s">
        <v>105</v>
      </c>
      <c r="M26" s="6" t="s">
        <v>81</v>
      </c>
      <c r="N26" s="6"/>
      <c r="O26" s="6" t="s">
        <v>82</v>
      </c>
      <c r="P26" s="14"/>
      <c r="Q26" s="14">
        <v>2</v>
      </c>
      <c r="R26" s="23">
        <f>IF(OR($F26="",$F26="订单头"),"",IF(AND($F26="零件",$J26&lt;&gt;""),IFERROR(SUMIFS($R$6:$R25,$A$6:$A25,$A26,$I$6:$I25,$J26)*IF($Q26="",1,$Q26),""),IF($P26="","",$P26*IF($Q26="",1,$Q26))))</f>
        <v>32</v>
      </c>
      <c r="S26" s="6" t="s">
        <v>44</v>
      </c>
      <c r="T26" s="6" t="s">
        <v>50</v>
      </c>
      <c r="U26" s="6" t="s">
        <v>99</v>
      </c>
      <c r="V26" s="11"/>
      <c r="W26" s="7" t="s">
        <v>79</v>
      </c>
      <c r="X26" s="25">
        <f t="shared" si="4"/>
        <v>4</v>
      </c>
      <c r="Y26" s="25" t="str">
        <f t="shared" si="2"/>
        <v/>
      </c>
      <c r="Z26" s="25">
        <f>IF(AND($F26="零件",$J26&lt;&gt;""),COUNTIFS($A$6:$A26,$A26,$J$6:$J26,$J26,$F$6:$F26,"零件"),"")</f>
        <v>2</v>
      </c>
      <c r="AA26" s="25" t="str">
        <f t="shared" si="5"/>
        <v>RSD-20260601-002</v>
      </c>
      <c r="AB26" s="25">
        <f t="shared" si="6"/>
        <v>46174</v>
      </c>
      <c r="AC26" s="25" t="str">
        <f t="shared" si="7"/>
        <v>合肥荣事达太阳能有限公司</v>
      </c>
      <c r="AD26" s="25" t="str">
        <f t="shared" si="8"/>
        <v>B型5P</v>
      </c>
      <c r="AE26" s="25">
        <f t="shared" si="3"/>
        <v>1</v>
      </c>
    </row>
    <row r="27" spans="1:31" ht="25.5" customHeight="1">
      <c r="A27" s="17">
        <f>IF($F27="","",COUNTIF($F$6:$F27,"订单头"))</f>
        <v>2</v>
      </c>
      <c r="B27" s="6"/>
      <c r="C27" s="11"/>
      <c r="D27" s="6"/>
      <c r="E27" s="6"/>
      <c r="F27" s="6" t="s">
        <v>38</v>
      </c>
      <c r="G27" s="20">
        <f t="shared" si="0"/>
        <v>5</v>
      </c>
      <c r="H27" s="6" t="s">
        <v>84</v>
      </c>
      <c r="I27" s="20" t="str">
        <f>IF($F27="组件","C"&amp;TEXT(COUNTIFS($A$6:$A27,$A27,$F$6:$F27,"组件"),"000"),"")</f>
        <v/>
      </c>
      <c r="J27" s="6" t="str">
        <f t="shared" si="1"/>
        <v/>
      </c>
      <c r="K27" s="6" t="s">
        <v>106</v>
      </c>
      <c r="L27" s="6" t="s">
        <v>107</v>
      </c>
      <c r="M27" s="6" t="s">
        <v>87</v>
      </c>
      <c r="N27" s="6"/>
      <c r="O27" s="6"/>
      <c r="P27" s="14">
        <v>32</v>
      </c>
      <c r="Q27" s="14"/>
      <c r="R27" s="23">
        <f>IF(OR($F27="",$F27="订单头"),"",IF(AND($F27="零件",$J27&lt;&gt;""),IFERROR(SUMIFS($R$6:$R26,$A$6:$A26,$A27,$I$6:$I26,$J27)*IF($Q27="",1,$Q27),""),IF($P27="","",$P27*IF($Q27="",1,$Q27))))</f>
        <v>32</v>
      </c>
      <c r="S27" s="6" t="s">
        <v>44</v>
      </c>
      <c r="T27" s="6"/>
      <c r="U27" s="6" t="s">
        <v>88</v>
      </c>
      <c r="V27" s="11"/>
      <c r="W27" s="7" t="s">
        <v>46</v>
      </c>
      <c r="X27" s="25">
        <f t="shared" si="4"/>
        <v>5</v>
      </c>
      <c r="Y27" s="25">
        <f t="shared" si="2"/>
        <v>5</v>
      </c>
      <c r="Z27" s="25" t="str">
        <f>IF(AND($F27="零件",$J27&lt;&gt;""),COUNTIFS($A$6:$A27,$A27,$J$6:$J27,$J27,$F$6:$F27,"零件"),"")</f>
        <v/>
      </c>
      <c r="AA27" s="25" t="str">
        <f t="shared" si="5"/>
        <v>RSD-20260601-002</v>
      </c>
      <c r="AB27" s="25">
        <f t="shared" si="6"/>
        <v>46174</v>
      </c>
      <c r="AC27" s="25" t="str">
        <f t="shared" si="7"/>
        <v>合肥荣事达太阳能有限公司</v>
      </c>
      <c r="AD27" s="25" t="str">
        <f t="shared" si="8"/>
        <v>B型5P</v>
      </c>
      <c r="AE27" s="25">
        <f t="shared" si="3"/>
        <v>1</v>
      </c>
    </row>
    <row r="28" spans="1:31" ht="25.5" customHeight="1">
      <c r="A28" s="17" t="str">
        <f>IF($F28="","",COUNTIF($F$6:$F28,"订单头"))</f>
        <v/>
      </c>
      <c r="B28" s="6"/>
      <c r="C28" s="11"/>
      <c r="D28" s="6"/>
      <c r="E28" s="6"/>
      <c r="F28" s="6"/>
      <c r="G28" s="20" t="str">
        <f t="shared" si="0"/>
        <v/>
      </c>
      <c r="H28" s="6"/>
      <c r="I28" s="20" t="str">
        <f>IF($F28="组件","C"&amp;TEXT(COUNTIFS($A$6:$A28,$A28,$F$6:$F28,"组件"),"000"),"")</f>
        <v/>
      </c>
      <c r="J28" s="6" t="str">
        <f t="shared" si="1"/>
        <v/>
      </c>
      <c r="K28" s="6"/>
      <c r="L28" s="6"/>
      <c r="M28" s="6"/>
      <c r="N28" s="6"/>
      <c r="O28" s="6"/>
      <c r="P28" s="14"/>
      <c r="Q28" s="14"/>
      <c r="R28" s="23" t="str">
        <f>IF(OR($F28="",$F28="订单头"),"",IF(AND($F28="零件",$J28&lt;&gt;""),IFERROR(SUMIFS($R$6:$R27,$A$6:$A27,$A28,$I$6:$I27,$J28)*IF($Q28="",1,$Q28),""),IF($P28="","",$P28*IF($Q28="",1,$Q28))))</f>
        <v/>
      </c>
      <c r="S28" s="6"/>
      <c r="T28" s="6"/>
      <c r="U28" s="6"/>
      <c r="V28" s="11"/>
      <c r="W28" s="7"/>
      <c r="X28" s="25" t="str">
        <f t="shared" si="4"/>
        <v/>
      </c>
      <c r="Y28" s="25" t="str">
        <f t="shared" si="2"/>
        <v/>
      </c>
      <c r="Z28" s="25" t="str">
        <f>IF(AND($F28="零件",$J28&lt;&gt;""),COUNTIFS($A$6:$A28,$A28,$J$6:$J28,$J28,$F$6:$F28,"零件"),"")</f>
        <v/>
      </c>
      <c r="AA28" s="25" t="str">
        <f t="shared" si="5"/>
        <v/>
      </c>
      <c r="AB28" s="25" t="str">
        <f t="shared" si="6"/>
        <v/>
      </c>
      <c r="AC28" s="25" t="str">
        <f t="shared" si="7"/>
        <v/>
      </c>
      <c r="AD28" s="25" t="str">
        <f t="shared" si="8"/>
        <v/>
      </c>
      <c r="AE28" s="25">
        <f t="shared" si="3"/>
        <v>0</v>
      </c>
    </row>
    <row r="29" spans="1:31" ht="25.5" customHeight="1">
      <c r="A29" s="17">
        <f>IF($F29="","",COUNTIF($F$6:$F29,"订单头"))</f>
        <v>3</v>
      </c>
      <c r="B29" s="6" t="s">
        <v>108</v>
      </c>
      <c r="C29" s="11">
        <v>46188</v>
      </c>
      <c r="D29" s="6" t="s">
        <v>35</v>
      </c>
      <c r="E29" s="6" t="s">
        <v>109</v>
      </c>
      <c r="F29" s="6" t="s">
        <v>37</v>
      </c>
      <c r="G29" s="20" t="str">
        <f t="shared" si="0"/>
        <v>订单头</v>
      </c>
      <c r="H29" s="6"/>
      <c r="I29" s="20" t="str">
        <f>IF($F29="组件","C"&amp;TEXT(COUNTIFS($A$6:$A29,$A29,$F$6:$F29,"组件"),"000"),"")</f>
        <v/>
      </c>
      <c r="J29" s="6" t="str">
        <f t="shared" si="1"/>
        <v/>
      </c>
      <c r="K29" s="6"/>
      <c r="L29" s="6"/>
      <c r="M29" s="6"/>
      <c r="N29" s="6"/>
      <c r="O29" s="6"/>
      <c r="P29" s="14"/>
      <c r="Q29" s="14"/>
      <c r="R29" s="23" t="str">
        <f>IF(OR($F29="",$F29="订单头"),"",IF(AND($F29="零件",$J29&lt;&gt;""),IFERROR(SUMIFS($R$6:$R28,$A$6:$A28,$A29,$I$6:$I28,$J29)*IF($Q29="",1,$Q29),""),IF($P29="","",$P29*IF($Q29="",1,$Q29))))</f>
        <v/>
      </c>
      <c r="S29" s="6"/>
      <c r="T29" s="6"/>
      <c r="U29" s="6"/>
      <c r="V29" s="11"/>
      <c r="W29" s="7"/>
      <c r="X29" s="25">
        <f t="shared" si="4"/>
        <v>0</v>
      </c>
      <c r="Y29" s="25" t="str">
        <f t="shared" si="2"/>
        <v/>
      </c>
      <c r="Z29" s="25" t="str">
        <f>IF(AND($F29="零件",$J29&lt;&gt;""),COUNTIFS($A$6:$A29,$A29,$J$6:$J29,$J29,$F$6:$F29,"零件"),"")</f>
        <v/>
      </c>
      <c r="AA29" s="25" t="str">
        <f t="shared" si="5"/>
        <v>RSD-20260615-003</v>
      </c>
      <c r="AB29" s="25">
        <f t="shared" si="6"/>
        <v>46188</v>
      </c>
      <c r="AC29" s="25" t="str">
        <f t="shared" si="7"/>
        <v>合肥荣事达太阳能有限公司</v>
      </c>
      <c r="AD29" s="25" t="str">
        <f t="shared" si="8"/>
        <v>D型8P</v>
      </c>
      <c r="AE29" s="25">
        <f t="shared" si="3"/>
        <v>0</v>
      </c>
    </row>
    <row r="30" spans="1:31" ht="25.5" customHeight="1">
      <c r="A30" s="17">
        <f>IF($F30="","",COUNTIF($F$6:$F30,"订单头"))</f>
        <v>3</v>
      </c>
      <c r="B30" s="6"/>
      <c r="C30" s="11"/>
      <c r="D30" s="6"/>
      <c r="E30" s="6"/>
      <c r="F30" s="6" t="s">
        <v>38</v>
      </c>
      <c r="G30" s="20">
        <f t="shared" si="0"/>
        <v>1</v>
      </c>
      <c r="H30" s="6" t="s">
        <v>39</v>
      </c>
      <c r="I30" s="20" t="str">
        <f>IF($F30="组件","C"&amp;TEXT(COUNTIFS($A$6:$A30,$A30,$F$6:$F30,"组件"),"000"),"")</f>
        <v/>
      </c>
      <c r="J30" s="6" t="str">
        <f t="shared" si="1"/>
        <v/>
      </c>
      <c r="K30" s="6" t="s">
        <v>110</v>
      </c>
      <c r="L30" s="6" t="s">
        <v>111</v>
      </c>
      <c r="M30" s="6" t="s">
        <v>42</v>
      </c>
      <c r="N30" s="6"/>
      <c r="O30" s="6" t="s">
        <v>43</v>
      </c>
      <c r="P30" s="14">
        <v>8</v>
      </c>
      <c r="Q30" s="14"/>
      <c r="R30" s="23">
        <f>IF(OR($F30="",$F30="订单头"),"",IF(AND($F30="零件",$J30&lt;&gt;""),IFERROR(SUMIFS($R$6:$R29,$A$6:$A29,$A30,$I$6:$I29,$J30)*IF($Q30="",1,$Q30),""),IF($P30="","",$P30*IF($Q30="",1,$Q30))))</f>
        <v>8</v>
      </c>
      <c r="S30" s="6" t="s">
        <v>44</v>
      </c>
      <c r="T30" s="6"/>
      <c r="U30" s="6" t="s">
        <v>112</v>
      </c>
      <c r="V30" s="11"/>
      <c r="W30" s="7" t="s">
        <v>113</v>
      </c>
      <c r="X30" s="25">
        <f t="shared" si="4"/>
        <v>1</v>
      </c>
      <c r="Y30" s="25">
        <f t="shared" si="2"/>
        <v>1</v>
      </c>
      <c r="Z30" s="25" t="str">
        <f>IF(AND($F30="零件",$J30&lt;&gt;""),COUNTIFS($A$6:$A30,$A30,$J$6:$J30,$J30,$F$6:$F30,"零件"),"")</f>
        <v/>
      </c>
      <c r="AA30" s="25" t="str">
        <f t="shared" si="5"/>
        <v>RSD-20260615-003</v>
      </c>
      <c r="AB30" s="25">
        <f t="shared" si="6"/>
        <v>46188</v>
      </c>
      <c r="AC30" s="25" t="str">
        <f t="shared" si="7"/>
        <v>合肥荣事达太阳能有限公司</v>
      </c>
      <c r="AD30" s="25" t="str">
        <f t="shared" si="8"/>
        <v>D型8P</v>
      </c>
      <c r="AE30" s="25">
        <f t="shared" si="3"/>
        <v>1</v>
      </c>
    </row>
    <row r="31" spans="1:31" ht="25.5" customHeight="1">
      <c r="A31" s="17">
        <f>IF($F31="","",COUNTIF($F$6:$F31,"订单头"))</f>
        <v>3</v>
      </c>
      <c r="B31" s="6"/>
      <c r="C31" s="11"/>
      <c r="D31" s="6"/>
      <c r="E31" s="6"/>
      <c r="F31" s="6" t="s">
        <v>55</v>
      </c>
      <c r="G31" s="20">
        <f t="shared" si="0"/>
        <v>2</v>
      </c>
      <c r="H31" s="6" t="s">
        <v>39</v>
      </c>
      <c r="I31" s="20" t="str">
        <f>IF($F31="组件","C"&amp;TEXT(COUNTIFS($A$6:$A31,$A31,$F$6:$F31,"组件"),"000"),"")</f>
        <v>C001</v>
      </c>
      <c r="J31" s="6" t="str">
        <f t="shared" si="1"/>
        <v/>
      </c>
      <c r="K31" s="6" t="s">
        <v>114</v>
      </c>
      <c r="L31" s="6" t="s">
        <v>115</v>
      </c>
      <c r="M31" s="6" t="s">
        <v>116</v>
      </c>
      <c r="N31" s="6"/>
      <c r="O31" s="6" t="s">
        <v>59</v>
      </c>
      <c r="P31" s="14">
        <v>8</v>
      </c>
      <c r="Q31" s="14">
        <v>1</v>
      </c>
      <c r="R31" s="23">
        <f>IF(OR($F31="",$F31="订单头"),"",IF(AND($F31="零件",$J31&lt;&gt;""),IFERROR(SUMIFS($R$6:$R30,$A$6:$A30,$A31,$I$6:$I30,$J31)*IF($Q31="",1,$Q31),""),IF($P31="","",$P31*IF($Q31="",1,$Q31))))</f>
        <v>8</v>
      </c>
      <c r="S31" s="6" t="s">
        <v>60</v>
      </c>
      <c r="T31" s="6" t="s">
        <v>61</v>
      </c>
      <c r="U31" s="6" t="s">
        <v>117</v>
      </c>
      <c r="V31" s="11">
        <v>46188</v>
      </c>
      <c r="W31" s="7" t="s">
        <v>113</v>
      </c>
      <c r="X31" s="25">
        <f t="shared" si="4"/>
        <v>2</v>
      </c>
      <c r="Y31" s="25">
        <f t="shared" si="2"/>
        <v>2</v>
      </c>
      <c r="Z31" s="25" t="str">
        <f>IF(AND($F31="零件",$J31&lt;&gt;""),COUNTIFS($A$6:$A31,$A31,$J$6:$J31,$J31,$F$6:$F31,"零件"),"")</f>
        <v/>
      </c>
      <c r="AA31" s="25" t="str">
        <f t="shared" si="5"/>
        <v>RSD-20260615-003</v>
      </c>
      <c r="AB31" s="25">
        <f t="shared" si="6"/>
        <v>46188</v>
      </c>
      <c r="AC31" s="25" t="str">
        <f t="shared" si="7"/>
        <v>合肥荣事达太阳能有限公司</v>
      </c>
      <c r="AD31" s="25" t="str">
        <f t="shared" si="8"/>
        <v>D型8P</v>
      </c>
      <c r="AE31" s="25">
        <f t="shared" si="3"/>
        <v>1</v>
      </c>
    </row>
    <row r="32" spans="1:31" ht="25.5" customHeight="1">
      <c r="A32" s="17">
        <f>IF($F32="","",COUNTIF($F$6:$F32,"订单头"))</f>
        <v>3</v>
      </c>
      <c r="B32" s="6"/>
      <c r="C32" s="11"/>
      <c r="D32" s="6"/>
      <c r="E32" s="6"/>
      <c r="F32" s="6" t="s">
        <v>38</v>
      </c>
      <c r="G32" s="20" t="str">
        <f t="shared" si="0"/>
        <v>2.1</v>
      </c>
      <c r="H32" s="6" t="s">
        <v>39</v>
      </c>
      <c r="I32" s="20" t="str">
        <f>IF($F32="组件","C"&amp;TEXT(COUNTIFS($A$6:$A32,$A32,$F$6:$F32,"组件"),"000"),"")</f>
        <v/>
      </c>
      <c r="J32" s="6" t="str">
        <f t="shared" si="1"/>
        <v>C001</v>
      </c>
      <c r="K32" s="6"/>
      <c r="L32" s="6" t="s">
        <v>118</v>
      </c>
      <c r="M32" s="6" t="s">
        <v>119</v>
      </c>
      <c r="N32" s="6"/>
      <c r="O32" s="6" t="s">
        <v>59</v>
      </c>
      <c r="P32" s="14"/>
      <c r="Q32" s="14">
        <v>1</v>
      </c>
      <c r="R32" s="23">
        <f>IF(OR($F32="",$F32="订单头"),"",IF(AND($F32="零件",$J32&lt;&gt;""),IFERROR(SUMIFS($R$6:$R31,$A$6:$A31,$A32,$I$6:$I31,$J32)*IF($Q32="",1,$Q32),""),IF($P32="","",$P32*IF($Q32="",1,$Q32))))</f>
        <v>8</v>
      </c>
      <c r="S32" s="6" t="s">
        <v>44</v>
      </c>
      <c r="T32" s="6" t="s">
        <v>50</v>
      </c>
      <c r="U32" s="6" t="s">
        <v>65</v>
      </c>
      <c r="V32" s="11">
        <v>46188</v>
      </c>
      <c r="W32" s="7" t="s">
        <v>113</v>
      </c>
      <c r="X32" s="25">
        <f t="shared" si="4"/>
        <v>2</v>
      </c>
      <c r="Y32" s="25" t="str">
        <f t="shared" si="2"/>
        <v/>
      </c>
      <c r="Z32" s="25">
        <f>IF(AND($F32="零件",$J32&lt;&gt;""),COUNTIFS($A$6:$A32,$A32,$J$6:$J32,$J32,$F$6:$F32,"零件"),"")</f>
        <v>1</v>
      </c>
      <c r="AA32" s="25" t="str">
        <f t="shared" si="5"/>
        <v>RSD-20260615-003</v>
      </c>
      <c r="AB32" s="25">
        <f t="shared" si="6"/>
        <v>46188</v>
      </c>
      <c r="AC32" s="25" t="str">
        <f t="shared" si="7"/>
        <v>合肥荣事达太阳能有限公司</v>
      </c>
      <c r="AD32" s="25" t="str">
        <f t="shared" si="8"/>
        <v>D型8P</v>
      </c>
      <c r="AE32" s="25">
        <f t="shared" si="3"/>
        <v>1</v>
      </c>
    </row>
    <row r="33" spans="1:31" ht="25.5" customHeight="1">
      <c r="A33" s="17">
        <f>IF($F33="","",COUNTIF($F$6:$F33,"订单头"))</f>
        <v>3</v>
      </c>
      <c r="B33" s="6"/>
      <c r="C33" s="11"/>
      <c r="D33" s="6"/>
      <c r="E33" s="6"/>
      <c r="F33" s="6" t="s">
        <v>38</v>
      </c>
      <c r="G33" s="20" t="str">
        <f t="shared" si="0"/>
        <v>2.2</v>
      </c>
      <c r="H33" s="6" t="s">
        <v>39</v>
      </c>
      <c r="I33" s="20" t="str">
        <f>IF($F33="组件","C"&amp;TEXT(COUNTIFS($A$6:$A33,$A33,$F$6:$F33,"组件"),"000"),"")</f>
        <v/>
      </c>
      <c r="J33" s="6" t="str">
        <f t="shared" si="1"/>
        <v>C001</v>
      </c>
      <c r="K33" s="6"/>
      <c r="L33" s="6" t="s">
        <v>120</v>
      </c>
      <c r="M33" s="6" t="s">
        <v>121</v>
      </c>
      <c r="N33" s="6"/>
      <c r="O33" s="6" t="s">
        <v>82</v>
      </c>
      <c r="P33" s="14"/>
      <c r="Q33" s="14">
        <v>2</v>
      </c>
      <c r="R33" s="23">
        <f>IF(OR($F33="",$F33="订单头"),"",IF(AND($F33="零件",$J33&lt;&gt;""),IFERROR(SUMIFS($R$6:$R32,$A$6:$A32,$A33,$I$6:$I32,$J33)*IF($Q33="",1,$Q33),""),IF($P33="","",$P33*IF($Q33="",1,$Q33))))</f>
        <v>16</v>
      </c>
      <c r="S33" s="6" t="s">
        <v>44</v>
      </c>
      <c r="T33" s="6" t="s">
        <v>68</v>
      </c>
      <c r="U33" s="6" t="s">
        <v>122</v>
      </c>
      <c r="V33" s="11">
        <v>46188</v>
      </c>
      <c r="W33" s="7" t="s">
        <v>113</v>
      </c>
      <c r="X33" s="25">
        <f t="shared" si="4"/>
        <v>2</v>
      </c>
      <c r="Y33" s="25" t="str">
        <f t="shared" si="2"/>
        <v/>
      </c>
      <c r="Z33" s="25">
        <f>IF(AND($F33="零件",$J33&lt;&gt;""),COUNTIFS($A$6:$A33,$A33,$J$6:$J33,$J33,$F$6:$F33,"零件"),"")</f>
        <v>2</v>
      </c>
      <c r="AA33" s="25" t="str">
        <f t="shared" si="5"/>
        <v>RSD-20260615-003</v>
      </c>
      <c r="AB33" s="25">
        <f t="shared" si="6"/>
        <v>46188</v>
      </c>
      <c r="AC33" s="25" t="str">
        <f t="shared" si="7"/>
        <v>合肥荣事达太阳能有限公司</v>
      </c>
      <c r="AD33" s="25" t="str">
        <f t="shared" si="8"/>
        <v>D型8P</v>
      </c>
      <c r="AE33" s="25">
        <f t="shared" si="3"/>
        <v>1</v>
      </c>
    </row>
    <row r="34" spans="1:31" ht="25.5" customHeight="1">
      <c r="A34" s="17">
        <f>IF($F34="","",COUNTIF($F$6:$F34,"订单头"))</f>
        <v>3</v>
      </c>
      <c r="B34" s="6"/>
      <c r="C34" s="11"/>
      <c r="D34" s="6"/>
      <c r="E34" s="6"/>
      <c r="F34" s="6" t="s">
        <v>38</v>
      </c>
      <c r="G34" s="20">
        <f t="shared" si="0"/>
        <v>3</v>
      </c>
      <c r="H34" s="6" t="s">
        <v>84</v>
      </c>
      <c r="I34" s="20" t="str">
        <f>IF($F34="组件","C"&amp;TEXT(COUNTIFS($A$6:$A34,$A34,$F$6:$F34,"组件"),"000"),"")</f>
        <v/>
      </c>
      <c r="J34" s="6" t="str">
        <f t="shared" si="1"/>
        <v/>
      </c>
      <c r="K34" s="6" t="s">
        <v>123</v>
      </c>
      <c r="L34" s="6" t="s">
        <v>124</v>
      </c>
      <c r="M34" s="6" t="s">
        <v>87</v>
      </c>
      <c r="N34" s="6"/>
      <c r="O34" s="6"/>
      <c r="P34" s="14">
        <v>8</v>
      </c>
      <c r="Q34" s="14"/>
      <c r="R34" s="23">
        <f>IF(OR($F34="",$F34="订单头"),"",IF(AND($F34="零件",$J34&lt;&gt;""),IFERROR(SUMIFS($R$6:$R33,$A$6:$A33,$A34,$I$6:$I33,$J34)*IF($Q34="",1,$Q34),""),IF($P34="","",$P34*IF($Q34="",1,$Q34))))</f>
        <v>8</v>
      </c>
      <c r="S34" s="6" t="s">
        <v>44</v>
      </c>
      <c r="T34" s="6"/>
      <c r="U34" s="6" t="s">
        <v>125</v>
      </c>
      <c r="V34" s="11"/>
      <c r="W34" s="7" t="s">
        <v>79</v>
      </c>
      <c r="X34" s="25">
        <f t="shared" si="4"/>
        <v>3</v>
      </c>
      <c r="Y34" s="25">
        <f t="shared" si="2"/>
        <v>3</v>
      </c>
      <c r="Z34" s="25" t="str">
        <f>IF(AND($F34="零件",$J34&lt;&gt;""),COUNTIFS($A$6:$A34,$A34,$J$6:$J34,$J34,$F$6:$F34,"零件"),"")</f>
        <v/>
      </c>
      <c r="AA34" s="25" t="str">
        <f t="shared" si="5"/>
        <v>RSD-20260615-003</v>
      </c>
      <c r="AB34" s="25">
        <f t="shared" si="6"/>
        <v>46188</v>
      </c>
      <c r="AC34" s="25" t="str">
        <f t="shared" si="7"/>
        <v>合肥荣事达太阳能有限公司</v>
      </c>
      <c r="AD34" s="25" t="str">
        <f t="shared" si="8"/>
        <v>D型8P</v>
      </c>
      <c r="AE34" s="25">
        <f t="shared" si="3"/>
        <v>1</v>
      </c>
    </row>
    <row r="35" spans="1:31" ht="25.5" customHeight="1">
      <c r="A35" s="17" t="str">
        <f>IF($F35="","",COUNTIF($F$6:$F35,"订单头"))</f>
        <v/>
      </c>
      <c r="B35" s="6"/>
      <c r="C35" s="11"/>
      <c r="D35" s="6"/>
      <c r="E35" s="6"/>
      <c r="F35" s="6"/>
      <c r="G35" s="20" t="str">
        <f t="shared" si="0"/>
        <v/>
      </c>
      <c r="H35" s="6"/>
      <c r="I35" s="20" t="str">
        <f>IF($F35="组件","C"&amp;TEXT(COUNTIFS($A$6:$A35,$A35,$F$6:$F35,"组件"),"000"),"")</f>
        <v/>
      </c>
      <c r="J35" s="6" t="str">
        <f t="shared" si="1"/>
        <v/>
      </c>
      <c r="K35" s="6"/>
      <c r="L35" s="6"/>
      <c r="M35" s="6"/>
      <c r="N35" s="6"/>
      <c r="O35" s="6"/>
      <c r="P35" s="14"/>
      <c r="Q35" s="14"/>
      <c r="R35" s="23" t="str">
        <f>IF(OR($F35="",$F35="订单头"),"",IF(AND($F35="零件",$J35&lt;&gt;""),IFERROR(SUMIFS($R$6:$R34,$A$6:$A34,$A35,$I$6:$I34,$J35)*IF($Q35="",1,$Q35),""),IF($P35="","",$P35*IF($Q35="",1,$Q35))))</f>
        <v/>
      </c>
      <c r="S35" s="6"/>
      <c r="T35" s="6"/>
      <c r="U35" s="6"/>
      <c r="V35" s="11"/>
      <c r="W35" s="7"/>
      <c r="X35" s="25" t="str">
        <f t="shared" si="4"/>
        <v/>
      </c>
      <c r="Y35" s="25" t="str">
        <f t="shared" si="2"/>
        <v/>
      </c>
      <c r="Z35" s="25" t="str">
        <f>IF(AND($F35="零件",$J35&lt;&gt;""),COUNTIFS($A$6:$A35,$A35,$J$6:$J35,$J35,$F$6:$F35,"零件"),"")</f>
        <v/>
      </c>
      <c r="AA35" s="25" t="str">
        <f t="shared" si="5"/>
        <v/>
      </c>
      <c r="AB35" s="25" t="str">
        <f t="shared" si="6"/>
        <v/>
      </c>
      <c r="AC35" s="25" t="str">
        <f t="shared" si="7"/>
        <v/>
      </c>
      <c r="AD35" s="25" t="str">
        <f t="shared" si="8"/>
        <v/>
      </c>
      <c r="AE35" s="25">
        <f t="shared" si="3"/>
        <v>0</v>
      </c>
    </row>
    <row r="36" spans="1:31" ht="25.5" customHeight="1">
      <c r="A36" s="17" t="str">
        <f>IF($F36="","",COUNTIF($F$6:$F36,"订单头"))</f>
        <v/>
      </c>
      <c r="B36" s="6"/>
      <c r="C36" s="11"/>
      <c r="D36" s="6"/>
      <c r="E36" s="6"/>
      <c r="F36" s="6"/>
      <c r="G36" s="20" t="str">
        <f t="shared" si="0"/>
        <v/>
      </c>
      <c r="H36" s="6"/>
      <c r="I36" s="20" t="str">
        <f>IF($F36="组件","C"&amp;TEXT(COUNTIFS($A$6:$A36,$A36,$F$6:$F36,"组件"),"000"),"")</f>
        <v/>
      </c>
      <c r="J36" s="6" t="str">
        <f t="shared" si="1"/>
        <v/>
      </c>
      <c r="K36" s="6"/>
      <c r="L36" s="6"/>
      <c r="M36" s="6"/>
      <c r="N36" s="6"/>
      <c r="O36" s="6"/>
      <c r="P36" s="14"/>
      <c r="Q36" s="14"/>
      <c r="R36" s="23" t="str">
        <f>IF(OR($F36="",$F36="订单头"),"",IF(AND($F36="零件",$J36&lt;&gt;""),IFERROR(SUMIFS($R$6:$R35,$A$6:$A35,$A36,$I$6:$I35,$J36)*IF($Q36="",1,$Q36),""),IF($P36="","",$P36*IF($Q36="",1,$Q36))))</f>
        <v/>
      </c>
      <c r="S36" s="6"/>
      <c r="T36" s="6"/>
      <c r="U36" s="6"/>
      <c r="V36" s="11"/>
      <c r="W36" s="7"/>
      <c r="X36" s="25" t="str">
        <f t="shared" si="4"/>
        <v/>
      </c>
      <c r="Y36" s="25" t="str">
        <f t="shared" si="2"/>
        <v/>
      </c>
      <c r="Z36" s="25" t="str">
        <f>IF(AND($F36="零件",$J36&lt;&gt;""),COUNTIFS($A$6:$A36,$A36,$J$6:$J36,$J36,$F$6:$F36,"零件"),"")</f>
        <v/>
      </c>
      <c r="AA36" s="25" t="str">
        <f t="shared" si="5"/>
        <v/>
      </c>
      <c r="AB36" s="25" t="str">
        <f t="shared" si="6"/>
        <v/>
      </c>
      <c r="AC36" s="25" t="str">
        <f t="shared" si="7"/>
        <v/>
      </c>
      <c r="AD36" s="25" t="str">
        <f t="shared" si="8"/>
        <v/>
      </c>
      <c r="AE36" s="25">
        <f t="shared" si="3"/>
        <v>0</v>
      </c>
    </row>
    <row r="37" spans="1:31" ht="25.5" customHeight="1">
      <c r="A37" s="17" t="str">
        <f>IF($F37="","",COUNTIF($F$6:$F37,"订单头"))</f>
        <v/>
      </c>
      <c r="B37" s="6"/>
      <c r="C37" s="11"/>
      <c r="D37" s="6"/>
      <c r="E37" s="6"/>
      <c r="F37" s="6"/>
      <c r="G37" s="20" t="str">
        <f t="shared" si="0"/>
        <v/>
      </c>
      <c r="H37" s="6"/>
      <c r="I37" s="20" t="str">
        <f>IF($F37="组件","C"&amp;TEXT(COUNTIFS($A$6:$A37,$A37,$F$6:$F37,"组件"),"000"),"")</f>
        <v/>
      </c>
      <c r="J37" s="6" t="str">
        <f t="shared" si="1"/>
        <v/>
      </c>
      <c r="K37" s="6"/>
      <c r="L37" s="6"/>
      <c r="M37" s="6"/>
      <c r="N37" s="6"/>
      <c r="O37" s="6"/>
      <c r="P37" s="14"/>
      <c r="Q37" s="14"/>
      <c r="R37" s="23" t="str">
        <f>IF(OR($F37="",$F37="订单头"),"",IF(AND($F37="零件",$J37&lt;&gt;""),IFERROR(SUMIFS($R$6:$R36,$A$6:$A36,$A37,$I$6:$I36,$J37)*IF($Q37="",1,$Q37),""),IF($P37="","",$P37*IF($Q37="",1,$Q37))))</f>
        <v/>
      </c>
      <c r="S37" s="6"/>
      <c r="T37" s="6"/>
      <c r="U37" s="6"/>
      <c r="V37" s="11"/>
      <c r="W37" s="7"/>
      <c r="X37" s="25" t="str">
        <f t="shared" si="4"/>
        <v/>
      </c>
      <c r="Y37" s="25" t="str">
        <f t="shared" si="2"/>
        <v/>
      </c>
      <c r="Z37" s="25" t="str">
        <f>IF(AND($F37="零件",$J37&lt;&gt;""),COUNTIFS($A$6:$A37,$A37,$J$6:$J37,$J37,$F$6:$F37,"零件"),"")</f>
        <v/>
      </c>
      <c r="AA37" s="25" t="str">
        <f t="shared" si="5"/>
        <v/>
      </c>
      <c r="AB37" s="25" t="str">
        <f t="shared" si="6"/>
        <v/>
      </c>
      <c r="AC37" s="25" t="str">
        <f t="shared" si="7"/>
        <v/>
      </c>
      <c r="AD37" s="25" t="str">
        <f t="shared" si="8"/>
        <v/>
      </c>
      <c r="AE37" s="25">
        <f t="shared" si="3"/>
        <v>0</v>
      </c>
    </row>
    <row r="38" spans="1:31" ht="25.5" customHeight="1">
      <c r="A38" s="17" t="str">
        <f>IF($F38="","",COUNTIF($F$6:$F38,"订单头"))</f>
        <v/>
      </c>
      <c r="B38" s="6"/>
      <c r="C38" s="11"/>
      <c r="D38" s="6"/>
      <c r="E38" s="6"/>
      <c r="F38" s="6"/>
      <c r="G38" s="20" t="str">
        <f t="shared" ref="G38:G69" si="9">IF($F38="","",IF($F38="订单头","订单头",IF(AND($F38="零件",$J38&lt;&gt;""),IFERROR(SUMIFS($Y$6:$Y$205,$A$6:$A$205,$A38,$I$6:$I$205,$J38)&amp;"."&amp;$Z38,"父组件不存在"),$Y38)))</f>
        <v/>
      </c>
      <c r="H38" s="6"/>
      <c r="I38" s="20" t="str">
        <f>IF($F38="组件","C"&amp;TEXT(COUNTIFS($A$6:$A38,$A38,$F$6:$F38,"组件"),"000"),"")</f>
        <v/>
      </c>
      <c r="J38" s="6" t="str">
        <f t="shared" ref="J38:J69" si="10">IF($F38="零件",IF($P38&lt;&gt;"","",IF(AND($A38=$A37,$F37="组件"),$I37,IF(AND($A38=$A37,$F37="零件",$J37&lt;&gt;""),$J37,""))),"")</f>
        <v/>
      </c>
      <c r="K38" s="6"/>
      <c r="L38" s="6"/>
      <c r="M38" s="6"/>
      <c r="N38" s="6"/>
      <c r="O38" s="6"/>
      <c r="P38" s="14"/>
      <c r="Q38" s="14"/>
      <c r="R38" s="23" t="str">
        <f>IF(OR($F38="",$F38="订单头"),"",IF(AND($F38="零件",$J38&lt;&gt;""),IFERROR(SUMIFS($R$6:$R37,$A$6:$A37,$A38,$I$6:$I37,$J38)*IF($Q38="",1,$Q38),""),IF($P38="","",$P38*IF($Q38="",1,$Q38))))</f>
        <v/>
      </c>
      <c r="S38" s="6"/>
      <c r="T38" s="6"/>
      <c r="U38" s="6"/>
      <c r="V38" s="11"/>
      <c r="W38" s="7"/>
      <c r="X38" s="25" t="str">
        <f t="shared" si="4"/>
        <v/>
      </c>
      <c r="Y38" s="25" t="str">
        <f t="shared" ref="Y38:Y69" si="11">IF($F38="","",IF($F38="订单头","",IF(AND($F38="零件",$J38&lt;&gt;""),"",$X38)))</f>
        <v/>
      </c>
      <c r="Z38" s="25" t="str">
        <f>IF(AND($F38="零件",$J38&lt;&gt;""),COUNTIFS($A$6:$A38,$A38,$J$6:$J38,$J38,$F$6:$F38,"零件"),"")</f>
        <v/>
      </c>
      <c r="AA38" s="25" t="str">
        <f t="shared" si="5"/>
        <v/>
      </c>
      <c r="AB38" s="25" t="str">
        <f t="shared" si="6"/>
        <v/>
      </c>
      <c r="AC38" s="25" t="str">
        <f t="shared" si="7"/>
        <v/>
      </c>
      <c r="AD38" s="25" t="str">
        <f t="shared" si="8"/>
        <v/>
      </c>
      <c r="AE38" s="25">
        <f t="shared" ref="AE38:AE69" si="12">IF(OR($F38="组件",$F38="零件"),1,0)</f>
        <v>0</v>
      </c>
    </row>
    <row r="39" spans="1:31" ht="25.5" customHeight="1">
      <c r="A39" s="17" t="str">
        <f>IF($F39="","",COUNTIF($F$6:$F39,"订单头"))</f>
        <v/>
      </c>
      <c r="B39" s="6"/>
      <c r="C39" s="11"/>
      <c r="D39" s="6"/>
      <c r="E39" s="6"/>
      <c r="F39" s="6"/>
      <c r="G39" s="20" t="str">
        <f t="shared" si="9"/>
        <v/>
      </c>
      <c r="H39" s="6"/>
      <c r="I39" s="20" t="str">
        <f>IF($F39="组件","C"&amp;TEXT(COUNTIFS($A$6:$A39,$A39,$F$6:$F39,"组件"),"000"),"")</f>
        <v/>
      </c>
      <c r="J39" s="6" t="str">
        <f t="shared" si="10"/>
        <v/>
      </c>
      <c r="K39" s="6"/>
      <c r="L39" s="6"/>
      <c r="M39" s="6"/>
      <c r="N39" s="6"/>
      <c r="O39" s="6"/>
      <c r="P39" s="14"/>
      <c r="Q39" s="14"/>
      <c r="R39" s="23" t="str">
        <f>IF(OR($F39="",$F39="订单头"),"",IF(AND($F39="零件",$J39&lt;&gt;""),IFERROR(SUMIFS($R$6:$R38,$A$6:$A38,$A39,$I$6:$I38,$J39)*IF($Q39="",1,$Q39),""),IF($P39="","",$P39*IF($Q39="",1,$Q39))))</f>
        <v/>
      </c>
      <c r="S39" s="6"/>
      <c r="T39" s="6"/>
      <c r="U39" s="6"/>
      <c r="V39" s="11"/>
      <c r="W39" s="7"/>
      <c r="X39" s="25" t="str">
        <f t="shared" ref="X39:X70" si="13">IF($F39="","",IF($F39="订单头",0,IF($A39=$A38,$X38,0)+IF(OR($F39="组件",AND($F39="零件",$J39="")),1,0)))</f>
        <v/>
      </c>
      <c r="Y39" s="25" t="str">
        <f t="shared" si="11"/>
        <v/>
      </c>
      <c r="Z39" s="25" t="str">
        <f>IF(AND($F39="零件",$J39&lt;&gt;""),COUNTIFS($A$6:$A39,$A39,$J$6:$J39,$J39,$F$6:$F39,"零件"),"")</f>
        <v/>
      </c>
      <c r="AA39" s="25" t="str">
        <f t="shared" ref="AA39:AA70" si="14">IF($F39="","",IF($F39="订单头",$B39,IF($A39=$A38,$AA38,"")))</f>
        <v/>
      </c>
      <c r="AB39" s="25" t="str">
        <f t="shared" ref="AB39:AB70" si="15">IF($F39="","",IF($F39="订单头",$C39,IF($A39=$A38,$AB38,"")))</f>
        <v/>
      </c>
      <c r="AC39" s="25" t="str">
        <f t="shared" ref="AC39:AC70" si="16">IF($F39="","",IF($F39="订单头",$D39,IF($A39=$A38,$AC38,"")))</f>
        <v/>
      </c>
      <c r="AD39" s="25" t="str">
        <f t="shared" ref="AD39:AD70" si="17">IF($F39="","",IF($F39="订单头",$E39,IF($A39=$A38,$AD38,"")))</f>
        <v/>
      </c>
      <c r="AE39" s="25">
        <f t="shared" si="12"/>
        <v>0</v>
      </c>
    </row>
    <row r="40" spans="1:31" ht="25.5" customHeight="1">
      <c r="A40" s="17" t="str">
        <f>IF($F40="","",COUNTIF($F$6:$F40,"订单头"))</f>
        <v/>
      </c>
      <c r="B40" s="6"/>
      <c r="C40" s="11"/>
      <c r="D40" s="6"/>
      <c r="E40" s="6"/>
      <c r="F40" s="6"/>
      <c r="G40" s="20" t="str">
        <f t="shared" si="9"/>
        <v/>
      </c>
      <c r="H40" s="6"/>
      <c r="I40" s="20" t="str">
        <f>IF($F40="组件","C"&amp;TEXT(COUNTIFS($A$6:$A40,$A40,$F$6:$F40,"组件"),"000"),"")</f>
        <v/>
      </c>
      <c r="J40" s="6" t="str">
        <f t="shared" si="10"/>
        <v/>
      </c>
      <c r="K40" s="6"/>
      <c r="L40" s="6"/>
      <c r="M40" s="6"/>
      <c r="N40" s="6"/>
      <c r="O40" s="6"/>
      <c r="P40" s="14"/>
      <c r="Q40" s="14"/>
      <c r="R40" s="23" t="str">
        <f>IF(OR($F40="",$F40="订单头"),"",IF(AND($F40="零件",$J40&lt;&gt;""),IFERROR(SUMIFS($R$6:$R39,$A$6:$A39,$A40,$I$6:$I39,$J40)*IF($Q40="",1,$Q40),""),IF($P40="","",$P40*IF($Q40="",1,$Q40))))</f>
        <v/>
      </c>
      <c r="S40" s="6"/>
      <c r="T40" s="6"/>
      <c r="U40" s="6"/>
      <c r="V40" s="11"/>
      <c r="W40" s="7"/>
      <c r="X40" s="25" t="str">
        <f t="shared" si="13"/>
        <v/>
      </c>
      <c r="Y40" s="25" t="str">
        <f t="shared" si="11"/>
        <v/>
      </c>
      <c r="Z40" s="25" t="str">
        <f>IF(AND($F40="零件",$J40&lt;&gt;""),COUNTIFS($A$6:$A40,$A40,$J$6:$J40,$J40,$F$6:$F40,"零件"),"")</f>
        <v/>
      </c>
      <c r="AA40" s="25" t="str">
        <f t="shared" si="14"/>
        <v/>
      </c>
      <c r="AB40" s="25" t="str">
        <f t="shared" si="15"/>
        <v/>
      </c>
      <c r="AC40" s="25" t="str">
        <f t="shared" si="16"/>
        <v/>
      </c>
      <c r="AD40" s="25" t="str">
        <f t="shared" si="17"/>
        <v/>
      </c>
      <c r="AE40" s="25">
        <f t="shared" si="12"/>
        <v>0</v>
      </c>
    </row>
    <row r="41" spans="1:31" ht="25.5" customHeight="1">
      <c r="A41" s="17" t="str">
        <f>IF($F41="","",COUNTIF($F$6:$F41,"订单头"))</f>
        <v/>
      </c>
      <c r="B41" s="6"/>
      <c r="C41" s="11"/>
      <c r="D41" s="6"/>
      <c r="E41" s="6"/>
      <c r="F41" s="6"/>
      <c r="G41" s="20" t="str">
        <f t="shared" si="9"/>
        <v/>
      </c>
      <c r="H41" s="6"/>
      <c r="I41" s="20" t="str">
        <f>IF($F41="组件","C"&amp;TEXT(COUNTIFS($A$6:$A41,$A41,$F$6:$F41,"组件"),"000"),"")</f>
        <v/>
      </c>
      <c r="J41" s="6" t="str">
        <f t="shared" si="10"/>
        <v/>
      </c>
      <c r="K41" s="6"/>
      <c r="L41" s="6"/>
      <c r="M41" s="6"/>
      <c r="N41" s="6"/>
      <c r="O41" s="6"/>
      <c r="P41" s="14"/>
      <c r="Q41" s="14"/>
      <c r="R41" s="23" t="str">
        <f>IF(OR($F41="",$F41="订单头"),"",IF(AND($F41="零件",$J41&lt;&gt;""),IFERROR(SUMIFS($R$6:$R40,$A$6:$A40,$A41,$I$6:$I40,$J41)*IF($Q41="",1,$Q41),""),IF($P41="","",$P41*IF($Q41="",1,$Q41))))</f>
        <v/>
      </c>
      <c r="S41" s="6"/>
      <c r="T41" s="6"/>
      <c r="U41" s="6"/>
      <c r="V41" s="11"/>
      <c r="W41" s="7"/>
      <c r="X41" s="25" t="str">
        <f t="shared" si="13"/>
        <v/>
      </c>
      <c r="Y41" s="25" t="str">
        <f t="shared" si="11"/>
        <v/>
      </c>
      <c r="Z41" s="25" t="str">
        <f>IF(AND($F41="零件",$J41&lt;&gt;""),COUNTIFS($A$6:$A41,$A41,$J$6:$J41,$J41,$F$6:$F41,"零件"),"")</f>
        <v/>
      </c>
      <c r="AA41" s="25" t="str">
        <f t="shared" si="14"/>
        <v/>
      </c>
      <c r="AB41" s="25" t="str">
        <f t="shared" si="15"/>
        <v/>
      </c>
      <c r="AC41" s="25" t="str">
        <f t="shared" si="16"/>
        <v/>
      </c>
      <c r="AD41" s="25" t="str">
        <f t="shared" si="17"/>
        <v/>
      </c>
      <c r="AE41" s="25">
        <f t="shared" si="12"/>
        <v>0</v>
      </c>
    </row>
    <row r="42" spans="1:31" ht="25.5" customHeight="1">
      <c r="A42" s="17" t="str">
        <f>IF($F42="","",COUNTIF($F$6:$F42,"订单头"))</f>
        <v/>
      </c>
      <c r="B42" s="6"/>
      <c r="C42" s="11"/>
      <c r="D42" s="6"/>
      <c r="E42" s="6"/>
      <c r="F42" s="6"/>
      <c r="G42" s="20" t="str">
        <f t="shared" si="9"/>
        <v/>
      </c>
      <c r="H42" s="6"/>
      <c r="I42" s="20" t="str">
        <f>IF($F42="组件","C"&amp;TEXT(COUNTIFS($A$6:$A42,$A42,$F$6:$F42,"组件"),"000"),"")</f>
        <v/>
      </c>
      <c r="J42" s="6" t="str">
        <f t="shared" si="10"/>
        <v/>
      </c>
      <c r="K42" s="6"/>
      <c r="L42" s="6"/>
      <c r="M42" s="6"/>
      <c r="N42" s="6"/>
      <c r="O42" s="6"/>
      <c r="P42" s="14"/>
      <c r="Q42" s="14"/>
      <c r="R42" s="23" t="str">
        <f>IF(OR($F42="",$F42="订单头"),"",IF(AND($F42="零件",$J42&lt;&gt;""),IFERROR(SUMIFS($R$6:$R41,$A$6:$A41,$A42,$I$6:$I41,$J42)*IF($Q42="",1,$Q42),""),IF($P42="","",$P42*IF($Q42="",1,$Q42))))</f>
        <v/>
      </c>
      <c r="S42" s="6"/>
      <c r="T42" s="6"/>
      <c r="U42" s="6"/>
      <c r="V42" s="11"/>
      <c r="W42" s="7"/>
      <c r="X42" s="25" t="str">
        <f t="shared" si="13"/>
        <v/>
      </c>
      <c r="Y42" s="25" t="str">
        <f t="shared" si="11"/>
        <v/>
      </c>
      <c r="Z42" s="25" t="str">
        <f>IF(AND($F42="零件",$J42&lt;&gt;""),COUNTIFS($A$6:$A42,$A42,$J$6:$J42,$J42,$F$6:$F42,"零件"),"")</f>
        <v/>
      </c>
      <c r="AA42" s="25" t="str">
        <f t="shared" si="14"/>
        <v/>
      </c>
      <c r="AB42" s="25" t="str">
        <f t="shared" si="15"/>
        <v/>
      </c>
      <c r="AC42" s="25" t="str">
        <f t="shared" si="16"/>
        <v/>
      </c>
      <c r="AD42" s="25" t="str">
        <f t="shared" si="17"/>
        <v/>
      </c>
      <c r="AE42" s="25">
        <f t="shared" si="12"/>
        <v>0</v>
      </c>
    </row>
    <row r="43" spans="1:31" ht="25.5" customHeight="1">
      <c r="A43" s="17" t="str">
        <f>IF($F43="","",COUNTIF($F$6:$F43,"订单头"))</f>
        <v/>
      </c>
      <c r="B43" s="6"/>
      <c r="C43" s="11"/>
      <c r="D43" s="6"/>
      <c r="E43" s="6"/>
      <c r="F43" s="6"/>
      <c r="G43" s="20" t="str">
        <f t="shared" si="9"/>
        <v/>
      </c>
      <c r="H43" s="6"/>
      <c r="I43" s="20" t="str">
        <f>IF($F43="组件","C"&amp;TEXT(COUNTIFS($A$6:$A43,$A43,$F$6:$F43,"组件"),"000"),"")</f>
        <v/>
      </c>
      <c r="J43" s="6" t="str">
        <f t="shared" si="10"/>
        <v/>
      </c>
      <c r="K43" s="6"/>
      <c r="L43" s="6"/>
      <c r="M43" s="6"/>
      <c r="N43" s="6"/>
      <c r="O43" s="6"/>
      <c r="P43" s="14"/>
      <c r="Q43" s="14"/>
      <c r="R43" s="23" t="str">
        <f>IF(OR($F43="",$F43="订单头"),"",IF(AND($F43="零件",$J43&lt;&gt;""),IFERROR(SUMIFS($R$6:$R42,$A$6:$A42,$A43,$I$6:$I42,$J43)*IF($Q43="",1,$Q43),""),IF($P43="","",$P43*IF($Q43="",1,$Q43))))</f>
        <v/>
      </c>
      <c r="S43" s="6"/>
      <c r="T43" s="6"/>
      <c r="U43" s="6"/>
      <c r="V43" s="11"/>
      <c r="W43" s="7"/>
      <c r="X43" s="25" t="str">
        <f t="shared" si="13"/>
        <v/>
      </c>
      <c r="Y43" s="25" t="str">
        <f t="shared" si="11"/>
        <v/>
      </c>
      <c r="Z43" s="25" t="str">
        <f>IF(AND($F43="零件",$J43&lt;&gt;""),COUNTIFS($A$6:$A43,$A43,$J$6:$J43,$J43,$F$6:$F43,"零件"),"")</f>
        <v/>
      </c>
      <c r="AA43" s="25" t="str">
        <f t="shared" si="14"/>
        <v/>
      </c>
      <c r="AB43" s="25" t="str">
        <f t="shared" si="15"/>
        <v/>
      </c>
      <c r="AC43" s="25" t="str">
        <f t="shared" si="16"/>
        <v/>
      </c>
      <c r="AD43" s="25" t="str">
        <f t="shared" si="17"/>
        <v/>
      </c>
      <c r="AE43" s="25">
        <f t="shared" si="12"/>
        <v>0</v>
      </c>
    </row>
    <row r="44" spans="1:31" ht="25.5" customHeight="1">
      <c r="A44" s="17" t="str">
        <f>IF($F44="","",COUNTIF($F$6:$F44,"订单头"))</f>
        <v/>
      </c>
      <c r="B44" s="6"/>
      <c r="C44" s="11"/>
      <c r="D44" s="6"/>
      <c r="E44" s="6"/>
      <c r="F44" s="6"/>
      <c r="G44" s="20" t="str">
        <f t="shared" si="9"/>
        <v/>
      </c>
      <c r="H44" s="6"/>
      <c r="I44" s="20" t="str">
        <f>IF($F44="组件","C"&amp;TEXT(COUNTIFS($A$6:$A44,$A44,$F$6:$F44,"组件"),"000"),"")</f>
        <v/>
      </c>
      <c r="J44" s="6" t="str">
        <f t="shared" si="10"/>
        <v/>
      </c>
      <c r="K44" s="6"/>
      <c r="L44" s="6"/>
      <c r="M44" s="6"/>
      <c r="N44" s="6"/>
      <c r="O44" s="6"/>
      <c r="P44" s="14"/>
      <c r="Q44" s="14"/>
      <c r="R44" s="23" t="str">
        <f>IF(OR($F44="",$F44="订单头"),"",IF(AND($F44="零件",$J44&lt;&gt;""),IFERROR(SUMIFS($R$6:$R43,$A$6:$A43,$A44,$I$6:$I43,$J44)*IF($Q44="",1,$Q44),""),IF($P44="","",$P44*IF($Q44="",1,$Q44))))</f>
        <v/>
      </c>
      <c r="S44" s="6"/>
      <c r="T44" s="6"/>
      <c r="U44" s="6"/>
      <c r="V44" s="11"/>
      <c r="W44" s="7"/>
      <c r="X44" s="25" t="str">
        <f t="shared" si="13"/>
        <v/>
      </c>
      <c r="Y44" s="25" t="str">
        <f t="shared" si="11"/>
        <v/>
      </c>
      <c r="Z44" s="25" t="str">
        <f>IF(AND($F44="零件",$J44&lt;&gt;""),COUNTIFS($A$6:$A44,$A44,$J$6:$J44,$J44,$F$6:$F44,"零件"),"")</f>
        <v/>
      </c>
      <c r="AA44" s="25" t="str">
        <f t="shared" si="14"/>
        <v/>
      </c>
      <c r="AB44" s="25" t="str">
        <f t="shared" si="15"/>
        <v/>
      </c>
      <c r="AC44" s="25" t="str">
        <f t="shared" si="16"/>
        <v/>
      </c>
      <c r="AD44" s="25" t="str">
        <f t="shared" si="17"/>
        <v/>
      </c>
      <c r="AE44" s="25">
        <f t="shared" si="12"/>
        <v>0</v>
      </c>
    </row>
    <row r="45" spans="1:31" ht="25.5" customHeight="1">
      <c r="A45" s="17" t="str">
        <f>IF($F45="","",COUNTIF($F$6:$F45,"订单头"))</f>
        <v/>
      </c>
      <c r="B45" s="6"/>
      <c r="C45" s="11"/>
      <c r="D45" s="6"/>
      <c r="E45" s="6"/>
      <c r="F45" s="6"/>
      <c r="G45" s="20" t="str">
        <f t="shared" si="9"/>
        <v/>
      </c>
      <c r="H45" s="6"/>
      <c r="I45" s="20" t="str">
        <f>IF($F45="组件","C"&amp;TEXT(COUNTIFS($A$6:$A45,$A45,$F$6:$F45,"组件"),"000"),"")</f>
        <v/>
      </c>
      <c r="J45" s="6" t="str">
        <f t="shared" si="10"/>
        <v/>
      </c>
      <c r="K45" s="6"/>
      <c r="L45" s="6"/>
      <c r="M45" s="6"/>
      <c r="N45" s="6"/>
      <c r="O45" s="6"/>
      <c r="P45" s="14"/>
      <c r="Q45" s="14"/>
      <c r="R45" s="23" t="str">
        <f>IF(OR($F45="",$F45="订单头"),"",IF(AND($F45="零件",$J45&lt;&gt;""),IFERROR(SUMIFS($R$6:$R44,$A$6:$A44,$A45,$I$6:$I44,$J45)*IF($Q45="",1,$Q45),""),IF($P45="","",$P45*IF($Q45="",1,$Q45))))</f>
        <v/>
      </c>
      <c r="S45" s="6"/>
      <c r="T45" s="6"/>
      <c r="U45" s="6"/>
      <c r="V45" s="11"/>
      <c r="W45" s="7"/>
      <c r="X45" s="25" t="str">
        <f t="shared" si="13"/>
        <v/>
      </c>
      <c r="Y45" s="25" t="str">
        <f t="shared" si="11"/>
        <v/>
      </c>
      <c r="Z45" s="25" t="str">
        <f>IF(AND($F45="零件",$J45&lt;&gt;""),COUNTIFS($A$6:$A45,$A45,$J$6:$J45,$J45,$F$6:$F45,"零件"),"")</f>
        <v/>
      </c>
      <c r="AA45" s="25" t="str">
        <f t="shared" si="14"/>
        <v/>
      </c>
      <c r="AB45" s="25" t="str">
        <f t="shared" si="15"/>
        <v/>
      </c>
      <c r="AC45" s="25" t="str">
        <f t="shared" si="16"/>
        <v/>
      </c>
      <c r="AD45" s="25" t="str">
        <f t="shared" si="17"/>
        <v/>
      </c>
      <c r="AE45" s="25">
        <f t="shared" si="12"/>
        <v>0</v>
      </c>
    </row>
    <row r="46" spans="1:31" ht="25.5" customHeight="1">
      <c r="A46" s="17" t="str">
        <f>IF($F46="","",COUNTIF($F$6:$F46,"订单头"))</f>
        <v/>
      </c>
      <c r="B46" s="6"/>
      <c r="C46" s="11"/>
      <c r="D46" s="6"/>
      <c r="E46" s="6"/>
      <c r="F46" s="6"/>
      <c r="G46" s="20" t="str">
        <f t="shared" si="9"/>
        <v/>
      </c>
      <c r="H46" s="6"/>
      <c r="I46" s="20" t="str">
        <f>IF($F46="组件","C"&amp;TEXT(COUNTIFS($A$6:$A46,$A46,$F$6:$F46,"组件"),"000"),"")</f>
        <v/>
      </c>
      <c r="J46" s="6" t="str">
        <f t="shared" si="10"/>
        <v/>
      </c>
      <c r="K46" s="6"/>
      <c r="L46" s="6"/>
      <c r="M46" s="6"/>
      <c r="N46" s="6"/>
      <c r="O46" s="6"/>
      <c r="P46" s="14"/>
      <c r="Q46" s="14"/>
      <c r="R46" s="23" t="str">
        <f>IF(OR($F46="",$F46="订单头"),"",IF(AND($F46="零件",$J46&lt;&gt;""),IFERROR(SUMIFS($R$6:$R45,$A$6:$A45,$A46,$I$6:$I45,$J46)*IF($Q46="",1,$Q46),""),IF($P46="","",$P46*IF($Q46="",1,$Q46))))</f>
        <v/>
      </c>
      <c r="S46" s="6"/>
      <c r="T46" s="6"/>
      <c r="U46" s="6"/>
      <c r="V46" s="11"/>
      <c r="W46" s="7"/>
      <c r="X46" s="25" t="str">
        <f t="shared" si="13"/>
        <v/>
      </c>
      <c r="Y46" s="25" t="str">
        <f t="shared" si="11"/>
        <v/>
      </c>
      <c r="Z46" s="25" t="str">
        <f>IF(AND($F46="零件",$J46&lt;&gt;""),COUNTIFS($A$6:$A46,$A46,$J$6:$J46,$J46,$F$6:$F46,"零件"),"")</f>
        <v/>
      </c>
      <c r="AA46" s="25" t="str">
        <f t="shared" si="14"/>
        <v/>
      </c>
      <c r="AB46" s="25" t="str">
        <f t="shared" si="15"/>
        <v/>
      </c>
      <c r="AC46" s="25" t="str">
        <f t="shared" si="16"/>
        <v/>
      </c>
      <c r="AD46" s="25" t="str">
        <f t="shared" si="17"/>
        <v/>
      </c>
      <c r="AE46" s="25">
        <f t="shared" si="12"/>
        <v>0</v>
      </c>
    </row>
    <row r="47" spans="1:31" ht="25.5" customHeight="1">
      <c r="A47" s="17" t="str">
        <f>IF($F47="","",COUNTIF($F$6:$F47,"订单头"))</f>
        <v/>
      </c>
      <c r="B47" s="6"/>
      <c r="C47" s="11"/>
      <c r="D47" s="6"/>
      <c r="E47" s="6"/>
      <c r="F47" s="6"/>
      <c r="G47" s="20" t="str">
        <f t="shared" si="9"/>
        <v/>
      </c>
      <c r="H47" s="6"/>
      <c r="I47" s="20" t="str">
        <f>IF($F47="组件","C"&amp;TEXT(COUNTIFS($A$6:$A47,$A47,$F$6:$F47,"组件"),"000"),"")</f>
        <v/>
      </c>
      <c r="J47" s="6" t="str">
        <f t="shared" si="10"/>
        <v/>
      </c>
      <c r="K47" s="6"/>
      <c r="L47" s="6"/>
      <c r="M47" s="6"/>
      <c r="N47" s="6"/>
      <c r="O47" s="6"/>
      <c r="P47" s="14"/>
      <c r="Q47" s="14"/>
      <c r="R47" s="23" t="str">
        <f>IF(OR($F47="",$F47="订单头"),"",IF(AND($F47="零件",$J47&lt;&gt;""),IFERROR(SUMIFS($R$6:$R46,$A$6:$A46,$A47,$I$6:$I46,$J47)*IF($Q47="",1,$Q47),""),IF($P47="","",$P47*IF($Q47="",1,$Q47))))</f>
        <v/>
      </c>
      <c r="S47" s="6"/>
      <c r="T47" s="6"/>
      <c r="U47" s="6"/>
      <c r="V47" s="11"/>
      <c r="W47" s="7"/>
      <c r="X47" s="25" t="str">
        <f t="shared" si="13"/>
        <v/>
      </c>
      <c r="Y47" s="25" t="str">
        <f t="shared" si="11"/>
        <v/>
      </c>
      <c r="Z47" s="25" t="str">
        <f>IF(AND($F47="零件",$J47&lt;&gt;""),COUNTIFS($A$6:$A47,$A47,$J$6:$J47,$J47,$F$6:$F47,"零件"),"")</f>
        <v/>
      </c>
      <c r="AA47" s="25" t="str">
        <f t="shared" si="14"/>
        <v/>
      </c>
      <c r="AB47" s="25" t="str">
        <f t="shared" si="15"/>
        <v/>
      </c>
      <c r="AC47" s="25" t="str">
        <f t="shared" si="16"/>
        <v/>
      </c>
      <c r="AD47" s="25" t="str">
        <f t="shared" si="17"/>
        <v/>
      </c>
      <c r="AE47" s="25">
        <f t="shared" si="12"/>
        <v>0</v>
      </c>
    </row>
    <row r="48" spans="1:31" ht="25.5" customHeight="1">
      <c r="A48" s="17" t="str">
        <f>IF($F48="","",COUNTIF($F$6:$F48,"订单头"))</f>
        <v/>
      </c>
      <c r="B48" s="6"/>
      <c r="C48" s="11"/>
      <c r="D48" s="6"/>
      <c r="E48" s="6"/>
      <c r="F48" s="6"/>
      <c r="G48" s="20" t="str">
        <f t="shared" si="9"/>
        <v/>
      </c>
      <c r="H48" s="6"/>
      <c r="I48" s="20" t="str">
        <f>IF($F48="组件","C"&amp;TEXT(COUNTIFS($A$6:$A48,$A48,$F$6:$F48,"组件"),"000"),"")</f>
        <v/>
      </c>
      <c r="J48" s="6" t="str">
        <f t="shared" si="10"/>
        <v/>
      </c>
      <c r="K48" s="6"/>
      <c r="L48" s="6"/>
      <c r="M48" s="6"/>
      <c r="N48" s="6"/>
      <c r="O48" s="6"/>
      <c r="P48" s="14"/>
      <c r="Q48" s="14"/>
      <c r="R48" s="23" t="str">
        <f>IF(OR($F48="",$F48="订单头"),"",IF(AND($F48="零件",$J48&lt;&gt;""),IFERROR(SUMIFS($R$6:$R47,$A$6:$A47,$A48,$I$6:$I47,$J48)*IF($Q48="",1,$Q48),""),IF($P48="","",$P48*IF($Q48="",1,$Q48))))</f>
        <v/>
      </c>
      <c r="S48" s="6"/>
      <c r="T48" s="6"/>
      <c r="U48" s="6"/>
      <c r="V48" s="11"/>
      <c r="W48" s="7"/>
      <c r="X48" s="25" t="str">
        <f t="shared" si="13"/>
        <v/>
      </c>
      <c r="Y48" s="25" t="str">
        <f t="shared" si="11"/>
        <v/>
      </c>
      <c r="Z48" s="25" t="str">
        <f>IF(AND($F48="零件",$J48&lt;&gt;""),COUNTIFS($A$6:$A48,$A48,$J$6:$J48,$J48,$F$6:$F48,"零件"),"")</f>
        <v/>
      </c>
      <c r="AA48" s="25" t="str">
        <f t="shared" si="14"/>
        <v/>
      </c>
      <c r="AB48" s="25" t="str">
        <f t="shared" si="15"/>
        <v/>
      </c>
      <c r="AC48" s="25" t="str">
        <f t="shared" si="16"/>
        <v/>
      </c>
      <c r="AD48" s="25" t="str">
        <f t="shared" si="17"/>
        <v/>
      </c>
      <c r="AE48" s="25">
        <f t="shared" si="12"/>
        <v>0</v>
      </c>
    </row>
    <row r="49" spans="1:31" ht="25.5" customHeight="1">
      <c r="A49" s="17" t="str">
        <f>IF($F49="","",COUNTIF($F$6:$F49,"订单头"))</f>
        <v/>
      </c>
      <c r="B49" s="6"/>
      <c r="C49" s="11"/>
      <c r="D49" s="6"/>
      <c r="E49" s="6"/>
      <c r="F49" s="6"/>
      <c r="G49" s="20" t="str">
        <f t="shared" si="9"/>
        <v/>
      </c>
      <c r="H49" s="6"/>
      <c r="I49" s="20" t="str">
        <f>IF($F49="组件","C"&amp;TEXT(COUNTIFS($A$6:$A49,$A49,$F$6:$F49,"组件"),"000"),"")</f>
        <v/>
      </c>
      <c r="J49" s="6" t="str">
        <f t="shared" si="10"/>
        <v/>
      </c>
      <c r="K49" s="6"/>
      <c r="L49" s="6"/>
      <c r="M49" s="6"/>
      <c r="N49" s="6"/>
      <c r="O49" s="6"/>
      <c r="P49" s="14"/>
      <c r="Q49" s="14"/>
      <c r="R49" s="23" t="str">
        <f>IF(OR($F49="",$F49="订单头"),"",IF(AND($F49="零件",$J49&lt;&gt;""),IFERROR(SUMIFS($R$6:$R48,$A$6:$A48,$A49,$I$6:$I48,$J49)*IF($Q49="",1,$Q49),""),IF($P49="","",$P49*IF($Q49="",1,$Q49))))</f>
        <v/>
      </c>
      <c r="S49" s="6"/>
      <c r="T49" s="6"/>
      <c r="U49" s="6"/>
      <c r="V49" s="11"/>
      <c r="W49" s="7"/>
      <c r="X49" s="25" t="str">
        <f t="shared" si="13"/>
        <v/>
      </c>
      <c r="Y49" s="25" t="str">
        <f t="shared" si="11"/>
        <v/>
      </c>
      <c r="Z49" s="25" t="str">
        <f>IF(AND($F49="零件",$J49&lt;&gt;""),COUNTIFS($A$6:$A49,$A49,$J$6:$J49,$J49,$F$6:$F49,"零件"),"")</f>
        <v/>
      </c>
      <c r="AA49" s="25" t="str">
        <f t="shared" si="14"/>
        <v/>
      </c>
      <c r="AB49" s="25" t="str">
        <f t="shared" si="15"/>
        <v/>
      </c>
      <c r="AC49" s="25" t="str">
        <f t="shared" si="16"/>
        <v/>
      </c>
      <c r="AD49" s="25" t="str">
        <f t="shared" si="17"/>
        <v/>
      </c>
      <c r="AE49" s="25">
        <f t="shared" si="12"/>
        <v>0</v>
      </c>
    </row>
    <row r="50" spans="1:31" ht="25.5" customHeight="1">
      <c r="A50" s="17" t="str">
        <f>IF($F50="","",COUNTIF($F$6:$F50,"订单头"))</f>
        <v/>
      </c>
      <c r="B50" s="6"/>
      <c r="C50" s="11"/>
      <c r="D50" s="6"/>
      <c r="E50" s="6"/>
      <c r="F50" s="6"/>
      <c r="G50" s="20" t="str">
        <f t="shared" si="9"/>
        <v/>
      </c>
      <c r="H50" s="6"/>
      <c r="I50" s="20" t="str">
        <f>IF($F50="组件","C"&amp;TEXT(COUNTIFS($A$6:$A50,$A50,$F$6:$F50,"组件"),"000"),"")</f>
        <v/>
      </c>
      <c r="J50" s="6" t="str">
        <f t="shared" si="10"/>
        <v/>
      </c>
      <c r="K50" s="6"/>
      <c r="L50" s="6"/>
      <c r="M50" s="6"/>
      <c r="N50" s="6"/>
      <c r="O50" s="6"/>
      <c r="P50" s="14"/>
      <c r="Q50" s="14"/>
      <c r="R50" s="23" t="str">
        <f>IF(OR($F50="",$F50="订单头"),"",IF(AND($F50="零件",$J50&lt;&gt;""),IFERROR(SUMIFS($R$6:$R49,$A$6:$A49,$A50,$I$6:$I49,$J50)*IF($Q50="",1,$Q50),""),IF($P50="","",$P50*IF($Q50="",1,$Q50))))</f>
        <v/>
      </c>
      <c r="S50" s="6"/>
      <c r="T50" s="6"/>
      <c r="U50" s="6"/>
      <c r="V50" s="11"/>
      <c r="W50" s="7"/>
      <c r="X50" s="25" t="str">
        <f t="shared" si="13"/>
        <v/>
      </c>
      <c r="Y50" s="25" t="str">
        <f t="shared" si="11"/>
        <v/>
      </c>
      <c r="Z50" s="25" t="str">
        <f>IF(AND($F50="零件",$J50&lt;&gt;""),COUNTIFS($A$6:$A50,$A50,$J$6:$J50,$J50,$F$6:$F50,"零件"),"")</f>
        <v/>
      </c>
      <c r="AA50" s="25" t="str">
        <f t="shared" si="14"/>
        <v/>
      </c>
      <c r="AB50" s="25" t="str">
        <f t="shared" si="15"/>
        <v/>
      </c>
      <c r="AC50" s="25" t="str">
        <f t="shared" si="16"/>
        <v/>
      </c>
      <c r="AD50" s="25" t="str">
        <f t="shared" si="17"/>
        <v/>
      </c>
      <c r="AE50" s="25">
        <f t="shared" si="12"/>
        <v>0</v>
      </c>
    </row>
    <row r="51" spans="1:31" ht="25.5" customHeight="1">
      <c r="A51" s="17" t="str">
        <f>IF($F51="","",COUNTIF($F$6:$F51,"订单头"))</f>
        <v/>
      </c>
      <c r="B51" s="6"/>
      <c r="C51" s="11"/>
      <c r="D51" s="6"/>
      <c r="E51" s="6"/>
      <c r="F51" s="6"/>
      <c r="G51" s="20" t="str">
        <f t="shared" si="9"/>
        <v/>
      </c>
      <c r="H51" s="6"/>
      <c r="I51" s="20" t="str">
        <f>IF($F51="组件","C"&amp;TEXT(COUNTIFS($A$6:$A51,$A51,$F$6:$F51,"组件"),"000"),"")</f>
        <v/>
      </c>
      <c r="J51" s="6" t="str">
        <f t="shared" si="10"/>
        <v/>
      </c>
      <c r="K51" s="6"/>
      <c r="L51" s="6"/>
      <c r="M51" s="6"/>
      <c r="N51" s="6"/>
      <c r="O51" s="6"/>
      <c r="P51" s="14"/>
      <c r="Q51" s="14"/>
      <c r="R51" s="23" t="str">
        <f>IF(OR($F51="",$F51="订单头"),"",IF(AND($F51="零件",$J51&lt;&gt;""),IFERROR(SUMIFS($R$6:$R50,$A$6:$A50,$A51,$I$6:$I50,$J51)*IF($Q51="",1,$Q51),""),IF($P51="","",$P51*IF($Q51="",1,$Q51))))</f>
        <v/>
      </c>
      <c r="S51" s="6"/>
      <c r="T51" s="6"/>
      <c r="U51" s="6"/>
      <c r="V51" s="11"/>
      <c r="W51" s="7"/>
      <c r="X51" s="25" t="str">
        <f t="shared" si="13"/>
        <v/>
      </c>
      <c r="Y51" s="25" t="str">
        <f t="shared" si="11"/>
        <v/>
      </c>
      <c r="Z51" s="25" t="str">
        <f>IF(AND($F51="零件",$J51&lt;&gt;""),COUNTIFS($A$6:$A51,$A51,$J$6:$J51,$J51,$F$6:$F51,"零件"),"")</f>
        <v/>
      </c>
      <c r="AA51" s="25" t="str">
        <f t="shared" si="14"/>
        <v/>
      </c>
      <c r="AB51" s="25" t="str">
        <f t="shared" si="15"/>
        <v/>
      </c>
      <c r="AC51" s="25" t="str">
        <f t="shared" si="16"/>
        <v/>
      </c>
      <c r="AD51" s="25" t="str">
        <f t="shared" si="17"/>
        <v/>
      </c>
      <c r="AE51" s="25">
        <f t="shared" si="12"/>
        <v>0</v>
      </c>
    </row>
    <row r="52" spans="1:31" ht="25.5" customHeight="1">
      <c r="A52" s="17" t="str">
        <f>IF($F52="","",COUNTIF($F$6:$F52,"订单头"))</f>
        <v/>
      </c>
      <c r="B52" s="6"/>
      <c r="C52" s="11"/>
      <c r="D52" s="6"/>
      <c r="E52" s="6"/>
      <c r="F52" s="6"/>
      <c r="G52" s="20" t="str">
        <f t="shared" si="9"/>
        <v/>
      </c>
      <c r="H52" s="6"/>
      <c r="I52" s="20" t="str">
        <f>IF($F52="组件","C"&amp;TEXT(COUNTIFS($A$6:$A52,$A52,$F$6:$F52,"组件"),"000"),"")</f>
        <v/>
      </c>
      <c r="J52" s="6" t="str">
        <f t="shared" si="10"/>
        <v/>
      </c>
      <c r="K52" s="6"/>
      <c r="L52" s="6"/>
      <c r="M52" s="6"/>
      <c r="N52" s="6"/>
      <c r="O52" s="6"/>
      <c r="P52" s="14"/>
      <c r="Q52" s="14"/>
      <c r="R52" s="23" t="str">
        <f>IF(OR($F52="",$F52="订单头"),"",IF(AND($F52="零件",$J52&lt;&gt;""),IFERROR(SUMIFS($R$6:$R51,$A$6:$A51,$A52,$I$6:$I51,$J52)*IF($Q52="",1,$Q52),""),IF($P52="","",$P52*IF($Q52="",1,$Q52))))</f>
        <v/>
      </c>
      <c r="S52" s="6"/>
      <c r="T52" s="6"/>
      <c r="U52" s="6"/>
      <c r="V52" s="11"/>
      <c r="W52" s="7"/>
      <c r="X52" s="25" t="str">
        <f t="shared" si="13"/>
        <v/>
      </c>
      <c r="Y52" s="25" t="str">
        <f t="shared" si="11"/>
        <v/>
      </c>
      <c r="Z52" s="25" t="str">
        <f>IF(AND($F52="零件",$J52&lt;&gt;""),COUNTIFS($A$6:$A52,$A52,$J$6:$J52,$J52,$F$6:$F52,"零件"),"")</f>
        <v/>
      </c>
      <c r="AA52" s="25" t="str">
        <f t="shared" si="14"/>
        <v/>
      </c>
      <c r="AB52" s="25" t="str">
        <f t="shared" si="15"/>
        <v/>
      </c>
      <c r="AC52" s="25" t="str">
        <f t="shared" si="16"/>
        <v/>
      </c>
      <c r="AD52" s="25" t="str">
        <f t="shared" si="17"/>
        <v/>
      </c>
      <c r="AE52" s="25">
        <f t="shared" si="12"/>
        <v>0</v>
      </c>
    </row>
    <row r="53" spans="1:31" ht="25.5" customHeight="1">
      <c r="A53" s="17" t="str">
        <f>IF($F53="","",COUNTIF($F$6:$F53,"订单头"))</f>
        <v/>
      </c>
      <c r="B53" s="6"/>
      <c r="C53" s="11"/>
      <c r="D53" s="6"/>
      <c r="E53" s="6"/>
      <c r="F53" s="6"/>
      <c r="G53" s="20" t="str">
        <f t="shared" si="9"/>
        <v/>
      </c>
      <c r="H53" s="6"/>
      <c r="I53" s="20" t="str">
        <f>IF($F53="组件","C"&amp;TEXT(COUNTIFS($A$6:$A53,$A53,$F$6:$F53,"组件"),"000"),"")</f>
        <v/>
      </c>
      <c r="J53" s="6" t="str">
        <f t="shared" si="10"/>
        <v/>
      </c>
      <c r="K53" s="6"/>
      <c r="L53" s="6"/>
      <c r="M53" s="6"/>
      <c r="N53" s="6"/>
      <c r="O53" s="6"/>
      <c r="P53" s="14"/>
      <c r="Q53" s="14"/>
      <c r="R53" s="23" t="str">
        <f>IF(OR($F53="",$F53="订单头"),"",IF(AND($F53="零件",$J53&lt;&gt;""),IFERROR(SUMIFS($R$6:$R52,$A$6:$A52,$A53,$I$6:$I52,$J53)*IF($Q53="",1,$Q53),""),IF($P53="","",$P53*IF($Q53="",1,$Q53))))</f>
        <v/>
      </c>
      <c r="S53" s="6"/>
      <c r="T53" s="6"/>
      <c r="U53" s="6"/>
      <c r="V53" s="11"/>
      <c r="W53" s="7"/>
      <c r="X53" s="25" t="str">
        <f t="shared" si="13"/>
        <v/>
      </c>
      <c r="Y53" s="25" t="str">
        <f t="shared" si="11"/>
        <v/>
      </c>
      <c r="Z53" s="25" t="str">
        <f>IF(AND($F53="零件",$J53&lt;&gt;""),COUNTIFS($A$6:$A53,$A53,$J$6:$J53,$J53,$F$6:$F53,"零件"),"")</f>
        <v/>
      </c>
      <c r="AA53" s="25" t="str">
        <f t="shared" si="14"/>
        <v/>
      </c>
      <c r="AB53" s="25" t="str">
        <f t="shared" si="15"/>
        <v/>
      </c>
      <c r="AC53" s="25" t="str">
        <f t="shared" si="16"/>
        <v/>
      </c>
      <c r="AD53" s="25" t="str">
        <f t="shared" si="17"/>
        <v/>
      </c>
      <c r="AE53" s="25">
        <f t="shared" si="12"/>
        <v>0</v>
      </c>
    </row>
    <row r="54" spans="1:31" ht="25.5" customHeight="1">
      <c r="A54" s="17" t="str">
        <f>IF($F54="","",COUNTIF($F$6:$F54,"订单头"))</f>
        <v/>
      </c>
      <c r="B54" s="6"/>
      <c r="C54" s="11"/>
      <c r="D54" s="6"/>
      <c r="E54" s="6"/>
      <c r="F54" s="6"/>
      <c r="G54" s="20" t="str">
        <f t="shared" si="9"/>
        <v/>
      </c>
      <c r="H54" s="6"/>
      <c r="I54" s="20" t="str">
        <f>IF($F54="组件","C"&amp;TEXT(COUNTIFS($A$6:$A54,$A54,$F$6:$F54,"组件"),"000"),"")</f>
        <v/>
      </c>
      <c r="J54" s="6" t="str">
        <f t="shared" si="10"/>
        <v/>
      </c>
      <c r="K54" s="6"/>
      <c r="L54" s="6"/>
      <c r="M54" s="6"/>
      <c r="N54" s="6"/>
      <c r="O54" s="6"/>
      <c r="P54" s="14"/>
      <c r="Q54" s="14"/>
      <c r="R54" s="23" t="str">
        <f>IF(OR($F54="",$F54="订单头"),"",IF(AND($F54="零件",$J54&lt;&gt;""),IFERROR(SUMIFS($R$6:$R53,$A$6:$A53,$A54,$I$6:$I53,$J54)*IF($Q54="",1,$Q54),""),IF($P54="","",$P54*IF($Q54="",1,$Q54))))</f>
        <v/>
      </c>
      <c r="S54" s="6"/>
      <c r="T54" s="6"/>
      <c r="U54" s="6"/>
      <c r="V54" s="11"/>
      <c r="W54" s="7"/>
      <c r="X54" s="25" t="str">
        <f t="shared" si="13"/>
        <v/>
      </c>
      <c r="Y54" s="25" t="str">
        <f t="shared" si="11"/>
        <v/>
      </c>
      <c r="Z54" s="25" t="str">
        <f>IF(AND($F54="零件",$J54&lt;&gt;""),COUNTIFS($A$6:$A54,$A54,$J$6:$J54,$J54,$F$6:$F54,"零件"),"")</f>
        <v/>
      </c>
      <c r="AA54" s="25" t="str">
        <f t="shared" si="14"/>
        <v/>
      </c>
      <c r="AB54" s="25" t="str">
        <f t="shared" si="15"/>
        <v/>
      </c>
      <c r="AC54" s="25" t="str">
        <f t="shared" si="16"/>
        <v/>
      </c>
      <c r="AD54" s="25" t="str">
        <f t="shared" si="17"/>
        <v/>
      </c>
      <c r="AE54" s="25">
        <f t="shared" si="12"/>
        <v>0</v>
      </c>
    </row>
    <row r="55" spans="1:31" ht="25.5" customHeight="1">
      <c r="A55" s="17" t="str">
        <f>IF($F55="","",COUNTIF($F$6:$F55,"订单头"))</f>
        <v/>
      </c>
      <c r="B55" s="6"/>
      <c r="C55" s="11"/>
      <c r="D55" s="6"/>
      <c r="E55" s="6"/>
      <c r="F55" s="6"/>
      <c r="G55" s="20" t="str">
        <f t="shared" si="9"/>
        <v/>
      </c>
      <c r="H55" s="6"/>
      <c r="I55" s="20" t="str">
        <f>IF($F55="组件","C"&amp;TEXT(COUNTIFS($A$6:$A55,$A55,$F$6:$F55,"组件"),"000"),"")</f>
        <v/>
      </c>
      <c r="J55" s="6" t="str">
        <f t="shared" si="10"/>
        <v/>
      </c>
      <c r="K55" s="6"/>
      <c r="L55" s="6"/>
      <c r="M55" s="6"/>
      <c r="N55" s="6"/>
      <c r="O55" s="6"/>
      <c r="P55" s="14"/>
      <c r="Q55" s="14"/>
      <c r="R55" s="23" t="str">
        <f>IF(OR($F55="",$F55="订单头"),"",IF(AND($F55="零件",$J55&lt;&gt;""),IFERROR(SUMIFS($R$6:$R54,$A$6:$A54,$A55,$I$6:$I54,$J55)*IF($Q55="",1,$Q55),""),IF($P55="","",$P55*IF($Q55="",1,$Q55))))</f>
        <v/>
      </c>
      <c r="S55" s="6"/>
      <c r="T55" s="6"/>
      <c r="U55" s="6"/>
      <c r="V55" s="11"/>
      <c r="W55" s="7"/>
      <c r="X55" s="25" t="str">
        <f t="shared" si="13"/>
        <v/>
      </c>
      <c r="Y55" s="25" t="str">
        <f t="shared" si="11"/>
        <v/>
      </c>
      <c r="Z55" s="25" t="str">
        <f>IF(AND($F55="零件",$J55&lt;&gt;""),COUNTIFS($A$6:$A55,$A55,$J$6:$J55,$J55,$F$6:$F55,"零件"),"")</f>
        <v/>
      </c>
      <c r="AA55" s="25" t="str">
        <f t="shared" si="14"/>
        <v/>
      </c>
      <c r="AB55" s="25" t="str">
        <f t="shared" si="15"/>
        <v/>
      </c>
      <c r="AC55" s="25" t="str">
        <f t="shared" si="16"/>
        <v/>
      </c>
      <c r="AD55" s="25" t="str">
        <f t="shared" si="17"/>
        <v/>
      </c>
      <c r="AE55" s="25">
        <f t="shared" si="12"/>
        <v>0</v>
      </c>
    </row>
    <row r="56" spans="1:31" ht="25.5" customHeight="1">
      <c r="A56" s="17" t="str">
        <f>IF($F56="","",COUNTIF($F$6:$F56,"订单头"))</f>
        <v/>
      </c>
      <c r="B56" s="6"/>
      <c r="C56" s="11"/>
      <c r="D56" s="6"/>
      <c r="E56" s="6"/>
      <c r="F56" s="6"/>
      <c r="G56" s="20" t="str">
        <f t="shared" si="9"/>
        <v/>
      </c>
      <c r="H56" s="6"/>
      <c r="I56" s="20" t="str">
        <f>IF($F56="组件","C"&amp;TEXT(COUNTIFS($A$6:$A56,$A56,$F$6:$F56,"组件"),"000"),"")</f>
        <v/>
      </c>
      <c r="J56" s="6" t="str">
        <f t="shared" si="10"/>
        <v/>
      </c>
      <c r="K56" s="6"/>
      <c r="L56" s="6"/>
      <c r="M56" s="6"/>
      <c r="N56" s="6"/>
      <c r="O56" s="6"/>
      <c r="P56" s="14"/>
      <c r="Q56" s="14"/>
      <c r="R56" s="23" t="str">
        <f>IF(OR($F56="",$F56="订单头"),"",IF(AND($F56="零件",$J56&lt;&gt;""),IFERROR(SUMIFS($R$6:$R55,$A$6:$A55,$A56,$I$6:$I55,$J56)*IF($Q56="",1,$Q56),""),IF($P56="","",$P56*IF($Q56="",1,$Q56))))</f>
        <v/>
      </c>
      <c r="S56" s="6"/>
      <c r="T56" s="6"/>
      <c r="U56" s="6"/>
      <c r="V56" s="11"/>
      <c r="W56" s="7"/>
      <c r="X56" s="25" t="str">
        <f t="shared" si="13"/>
        <v/>
      </c>
      <c r="Y56" s="25" t="str">
        <f t="shared" si="11"/>
        <v/>
      </c>
      <c r="Z56" s="25" t="str">
        <f>IF(AND($F56="零件",$J56&lt;&gt;""),COUNTIFS($A$6:$A56,$A56,$J$6:$J56,$J56,$F$6:$F56,"零件"),"")</f>
        <v/>
      </c>
      <c r="AA56" s="25" t="str">
        <f t="shared" si="14"/>
        <v/>
      </c>
      <c r="AB56" s="25" t="str">
        <f t="shared" si="15"/>
        <v/>
      </c>
      <c r="AC56" s="25" t="str">
        <f t="shared" si="16"/>
        <v/>
      </c>
      <c r="AD56" s="25" t="str">
        <f t="shared" si="17"/>
        <v/>
      </c>
      <c r="AE56" s="25">
        <f t="shared" si="12"/>
        <v>0</v>
      </c>
    </row>
    <row r="57" spans="1:31" ht="25.5" customHeight="1">
      <c r="A57" s="17" t="str">
        <f>IF($F57="","",COUNTIF($F$6:$F57,"订单头"))</f>
        <v/>
      </c>
      <c r="B57" s="6"/>
      <c r="C57" s="11"/>
      <c r="D57" s="6"/>
      <c r="E57" s="6"/>
      <c r="F57" s="6"/>
      <c r="G57" s="20" t="str">
        <f t="shared" si="9"/>
        <v/>
      </c>
      <c r="H57" s="6"/>
      <c r="I57" s="20" t="str">
        <f>IF($F57="组件","C"&amp;TEXT(COUNTIFS($A$6:$A57,$A57,$F$6:$F57,"组件"),"000"),"")</f>
        <v/>
      </c>
      <c r="J57" s="6" t="str">
        <f t="shared" si="10"/>
        <v/>
      </c>
      <c r="K57" s="6"/>
      <c r="L57" s="6"/>
      <c r="M57" s="6"/>
      <c r="N57" s="6"/>
      <c r="O57" s="6"/>
      <c r="P57" s="14"/>
      <c r="Q57" s="14"/>
      <c r="R57" s="23" t="str">
        <f>IF(OR($F57="",$F57="订单头"),"",IF(AND($F57="零件",$J57&lt;&gt;""),IFERROR(SUMIFS($R$6:$R56,$A$6:$A56,$A57,$I$6:$I56,$J57)*IF($Q57="",1,$Q57),""),IF($P57="","",$P57*IF($Q57="",1,$Q57))))</f>
        <v/>
      </c>
      <c r="S57" s="6"/>
      <c r="T57" s="6"/>
      <c r="U57" s="6"/>
      <c r="V57" s="11"/>
      <c r="W57" s="7"/>
      <c r="X57" s="25" t="str">
        <f t="shared" si="13"/>
        <v/>
      </c>
      <c r="Y57" s="25" t="str">
        <f t="shared" si="11"/>
        <v/>
      </c>
      <c r="Z57" s="25" t="str">
        <f>IF(AND($F57="零件",$J57&lt;&gt;""),COUNTIFS($A$6:$A57,$A57,$J$6:$J57,$J57,$F$6:$F57,"零件"),"")</f>
        <v/>
      </c>
      <c r="AA57" s="25" t="str">
        <f t="shared" si="14"/>
        <v/>
      </c>
      <c r="AB57" s="25" t="str">
        <f t="shared" si="15"/>
        <v/>
      </c>
      <c r="AC57" s="25" t="str">
        <f t="shared" si="16"/>
        <v/>
      </c>
      <c r="AD57" s="25" t="str">
        <f t="shared" si="17"/>
        <v/>
      </c>
      <c r="AE57" s="25">
        <f t="shared" si="12"/>
        <v>0</v>
      </c>
    </row>
    <row r="58" spans="1:31" ht="25.5" customHeight="1">
      <c r="A58" s="17" t="str">
        <f>IF($F58="","",COUNTIF($F$6:$F58,"订单头"))</f>
        <v/>
      </c>
      <c r="B58" s="6"/>
      <c r="C58" s="11"/>
      <c r="D58" s="6"/>
      <c r="E58" s="6"/>
      <c r="F58" s="6"/>
      <c r="G58" s="20" t="str">
        <f t="shared" si="9"/>
        <v/>
      </c>
      <c r="H58" s="6"/>
      <c r="I58" s="20" t="str">
        <f>IF($F58="组件","C"&amp;TEXT(COUNTIFS($A$6:$A58,$A58,$F$6:$F58,"组件"),"000"),"")</f>
        <v/>
      </c>
      <c r="J58" s="6" t="str">
        <f t="shared" si="10"/>
        <v/>
      </c>
      <c r="K58" s="6"/>
      <c r="L58" s="6"/>
      <c r="M58" s="6"/>
      <c r="N58" s="6"/>
      <c r="O58" s="6"/>
      <c r="P58" s="14"/>
      <c r="Q58" s="14"/>
      <c r="R58" s="23" t="str">
        <f>IF(OR($F58="",$F58="订单头"),"",IF(AND($F58="零件",$J58&lt;&gt;""),IFERROR(SUMIFS($R$6:$R57,$A$6:$A57,$A58,$I$6:$I57,$J58)*IF($Q58="",1,$Q58),""),IF($P58="","",$P58*IF($Q58="",1,$Q58))))</f>
        <v/>
      </c>
      <c r="S58" s="6"/>
      <c r="T58" s="6"/>
      <c r="U58" s="6"/>
      <c r="V58" s="11"/>
      <c r="W58" s="7"/>
      <c r="X58" s="25" t="str">
        <f t="shared" si="13"/>
        <v/>
      </c>
      <c r="Y58" s="25" t="str">
        <f t="shared" si="11"/>
        <v/>
      </c>
      <c r="Z58" s="25" t="str">
        <f>IF(AND($F58="零件",$J58&lt;&gt;""),COUNTIFS($A$6:$A58,$A58,$J$6:$J58,$J58,$F$6:$F58,"零件"),"")</f>
        <v/>
      </c>
      <c r="AA58" s="25" t="str">
        <f t="shared" si="14"/>
        <v/>
      </c>
      <c r="AB58" s="25" t="str">
        <f t="shared" si="15"/>
        <v/>
      </c>
      <c r="AC58" s="25" t="str">
        <f t="shared" si="16"/>
        <v/>
      </c>
      <c r="AD58" s="25" t="str">
        <f t="shared" si="17"/>
        <v/>
      </c>
      <c r="AE58" s="25">
        <f t="shared" si="12"/>
        <v>0</v>
      </c>
    </row>
    <row r="59" spans="1:31" ht="25.5" customHeight="1">
      <c r="A59" s="17" t="str">
        <f>IF($F59="","",COUNTIF($F$6:$F59,"订单头"))</f>
        <v/>
      </c>
      <c r="B59" s="6"/>
      <c r="C59" s="11"/>
      <c r="D59" s="6"/>
      <c r="E59" s="6"/>
      <c r="F59" s="6"/>
      <c r="G59" s="20" t="str">
        <f t="shared" si="9"/>
        <v/>
      </c>
      <c r="H59" s="6"/>
      <c r="I59" s="20" t="str">
        <f>IF($F59="组件","C"&amp;TEXT(COUNTIFS($A$6:$A59,$A59,$F$6:$F59,"组件"),"000"),"")</f>
        <v/>
      </c>
      <c r="J59" s="6" t="str">
        <f t="shared" si="10"/>
        <v/>
      </c>
      <c r="K59" s="6"/>
      <c r="L59" s="6"/>
      <c r="M59" s="6"/>
      <c r="N59" s="6"/>
      <c r="O59" s="6"/>
      <c r="P59" s="14"/>
      <c r="Q59" s="14"/>
      <c r="R59" s="23" t="str">
        <f>IF(OR($F59="",$F59="订单头"),"",IF(AND($F59="零件",$J59&lt;&gt;""),IFERROR(SUMIFS($R$6:$R58,$A$6:$A58,$A59,$I$6:$I58,$J59)*IF($Q59="",1,$Q59),""),IF($P59="","",$P59*IF($Q59="",1,$Q59))))</f>
        <v/>
      </c>
      <c r="S59" s="6"/>
      <c r="T59" s="6"/>
      <c r="U59" s="6"/>
      <c r="V59" s="11"/>
      <c r="W59" s="7"/>
      <c r="X59" s="25" t="str">
        <f t="shared" si="13"/>
        <v/>
      </c>
      <c r="Y59" s="25" t="str">
        <f t="shared" si="11"/>
        <v/>
      </c>
      <c r="Z59" s="25" t="str">
        <f>IF(AND($F59="零件",$J59&lt;&gt;""),COUNTIFS($A$6:$A59,$A59,$J$6:$J59,$J59,$F$6:$F59,"零件"),"")</f>
        <v/>
      </c>
      <c r="AA59" s="25" t="str">
        <f t="shared" si="14"/>
        <v/>
      </c>
      <c r="AB59" s="25" t="str">
        <f t="shared" si="15"/>
        <v/>
      </c>
      <c r="AC59" s="25" t="str">
        <f t="shared" si="16"/>
        <v/>
      </c>
      <c r="AD59" s="25" t="str">
        <f t="shared" si="17"/>
        <v/>
      </c>
      <c r="AE59" s="25">
        <f t="shared" si="12"/>
        <v>0</v>
      </c>
    </row>
    <row r="60" spans="1:31" ht="25.5" customHeight="1">
      <c r="A60" s="17" t="str">
        <f>IF($F60="","",COUNTIF($F$6:$F60,"订单头"))</f>
        <v/>
      </c>
      <c r="B60" s="6"/>
      <c r="C60" s="11"/>
      <c r="D60" s="6"/>
      <c r="E60" s="6"/>
      <c r="F60" s="6"/>
      <c r="G60" s="20" t="str">
        <f t="shared" si="9"/>
        <v/>
      </c>
      <c r="H60" s="6"/>
      <c r="I60" s="20" t="str">
        <f>IF($F60="组件","C"&amp;TEXT(COUNTIFS($A$6:$A60,$A60,$F$6:$F60,"组件"),"000"),"")</f>
        <v/>
      </c>
      <c r="J60" s="6" t="str">
        <f t="shared" si="10"/>
        <v/>
      </c>
      <c r="K60" s="6"/>
      <c r="L60" s="6"/>
      <c r="M60" s="6"/>
      <c r="N60" s="6"/>
      <c r="O60" s="6"/>
      <c r="P60" s="14"/>
      <c r="Q60" s="14"/>
      <c r="R60" s="23" t="str">
        <f>IF(OR($F60="",$F60="订单头"),"",IF(AND($F60="零件",$J60&lt;&gt;""),IFERROR(SUMIFS($R$6:$R59,$A$6:$A59,$A60,$I$6:$I59,$J60)*IF($Q60="",1,$Q60),""),IF($P60="","",$P60*IF($Q60="",1,$Q60))))</f>
        <v/>
      </c>
      <c r="S60" s="6"/>
      <c r="T60" s="6"/>
      <c r="U60" s="6"/>
      <c r="V60" s="11"/>
      <c r="W60" s="7"/>
      <c r="X60" s="25" t="str">
        <f t="shared" si="13"/>
        <v/>
      </c>
      <c r="Y60" s="25" t="str">
        <f t="shared" si="11"/>
        <v/>
      </c>
      <c r="Z60" s="25" t="str">
        <f>IF(AND($F60="零件",$J60&lt;&gt;""),COUNTIFS($A$6:$A60,$A60,$J$6:$J60,$J60,$F$6:$F60,"零件"),"")</f>
        <v/>
      </c>
      <c r="AA60" s="25" t="str">
        <f t="shared" si="14"/>
        <v/>
      </c>
      <c r="AB60" s="25" t="str">
        <f t="shared" si="15"/>
        <v/>
      </c>
      <c r="AC60" s="25" t="str">
        <f t="shared" si="16"/>
        <v/>
      </c>
      <c r="AD60" s="25" t="str">
        <f t="shared" si="17"/>
        <v/>
      </c>
      <c r="AE60" s="25">
        <f t="shared" si="12"/>
        <v>0</v>
      </c>
    </row>
    <row r="61" spans="1:31" ht="25.5" customHeight="1">
      <c r="A61" s="17" t="str">
        <f>IF($F61="","",COUNTIF($F$6:$F61,"订单头"))</f>
        <v/>
      </c>
      <c r="B61" s="6"/>
      <c r="C61" s="11"/>
      <c r="D61" s="6"/>
      <c r="E61" s="6"/>
      <c r="F61" s="6"/>
      <c r="G61" s="20" t="str">
        <f t="shared" si="9"/>
        <v/>
      </c>
      <c r="H61" s="6"/>
      <c r="I61" s="20" t="str">
        <f>IF($F61="组件","C"&amp;TEXT(COUNTIFS($A$6:$A61,$A61,$F$6:$F61,"组件"),"000"),"")</f>
        <v/>
      </c>
      <c r="J61" s="6" t="str">
        <f t="shared" si="10"/>
        <v/>
      </c>
      <c r="K61" s="6"/>
      <c r="L61" s="6"/>
      <c r="M61" s="6"/>
      <c r="N61" s="6"/>
      <c r="O61" s="6"/>
      <c r="P61" s="14"/>
      <c r="Q61" s="14"/>
      <c r="R61" s="23" t="str">
        <f>IF(OR($F61="",$F61="订单头"),"",IF(AND($F61="零件",$J61&lt;&gt;""),IFERROR(SUMIFS($R$6:$R60,$A$6:$A60,$A61,$I$6:$I60,$J61)*IF($Q61="",1,$Q61),""),IF($P61="","",$P61*IF($Q61="",1,$Q61))))</f>
        <v/>
      </c>
      <c r="S61" s="6"/>
      <c r="T61" s="6"/>
      <c r="U61" s="6"/>
      <c r="V61" s="11"/>
      <c r="W61" s="7"/>
      <c r="X61" s="25" t="str">
        <f t="shared" si="13"/>
        <v/>
      </c>
      <c r="Y61" s="25" t="str">
        <f t="shared" si="11"/>
        <v/>
      </c>
      <c r="Z61" s="25" t="str">
        <f>IF(AND($F61="零件",$J61&lt;&gt;""),COUNTIFS($A$6:$A61,$A61,$J$6:$J61,$J61,$F$6:$F61,"零件"),"")</f>
        <v/>
      </c>
      <c r="AA61" s="25" t="str">
        <f t="shared" si="14"/>
        <v/>
      </c>
      <c r="AB61" s="25" t="str">
        <f t="shared" si="15"/>
        <v/>
      </c>
      <c r="AC61" s="25" t="str">
        <f t="shared" si="16"/>
        <v/>
      </c>
      <c r="AD61" s="25" t="str">
        <f t="shared" si="17"/>
        <v/>
      </c>
      <c r="AE61" s="25">
        <f t="shared" si="12"/>
        <v>0</v>
      </c>
    </row>
    <row r="62" spans="1:31" ht="25.5" customHeight="1">
      <c r="A62" s="17" t="str">
        <f>IF($F62="","",COUNTIF($F$6:$F62,"订单头"))</f>
        <v/>
      </c>
      <c r="B62" s="6"/>
      <c r="C62" s="11"/>
      <c r="D62" s="6"/>
      <c r="E62" s="6"/>
      <c r="F62" s="6"/>
      <c r="G62" s="20" t="str">
        <f t="shared" si="9"/>
        <v/>
      </c>
      <c r="H62" s="6"/>
      <c r="I62" s="20" t="str">
        <f>IF($F62="组件","C"&amp;TEXT(COUNTIFS($A$6:$A62,$A62,$F$6:$F62,"组件"),"000"),"")</f>
        <v/>
      </c>
      <c r="J62" s="6" t="str">
        <f t="shared" si="10"/>
        <v/>
      </c>
      <c r="K62" s="6"/>
      <c r="L62" s="6"/>
      <c r="M62" s="6"/>
      <c r="N62" s="6"/>
      <c r="O62" s="6"/>
      <c r="P62" s="14"/>
      <c r="Q62" s="14"/>
      <c r="R62" s="23" t="str">
        <f>IF(OR($F62="",$F62="订单头"),"",IF(AND($F62="零件",$J62&lt;&gt;""),IFERROR(SUMIFS($R$6:$R61,$A$6:$A61,$A62,$I$6:$I61,$J62)*IF($Q62="",1,$Q62),""),IF($P62="","",$P62*IF($Q62="",1,$Q62))))</f>
        <v/>
      </c>
      <c r="S62" s="6"/>
      <c r="T62" s="6"/>
      <c r="U62" s="6"/>
      <c r="V62" s="11"/>
      <c r="W62" s="7"/>
      <c r="X62" s="25" t="str">
        <f t="shared" si="13"/>
        <v/>
      </c>
      <c r="Y62" s="25" t="str">
        <f t="shared" si="11"/>
        <v/>
      </c>
      <c r="Z62" s="25" t="str">
        <f>IF(AND($F62="零件",$J62&lt;&gt;""),COUNTIFS($A$6:$A62,$A62,$J$6:$J62,$J62,$F$6:$F62,"零件"),"")</f>
        <v/>
      </c>
      <c r="AA62" s="25" t="str">
        <f t="shared" si="14"/>
        <v/>
      </c>
      <c r="AB62" s="25" t="str">
        <f t="shared" si="15"/>
        <v/>
      </c>
      <c r="AC62" s="25" t="str">
        <f t="shared" si="16"/>
        <v/>
      </c>
      <c r="AD62" s="25" t="str">
        <f t="shared" si="17"/>
        <v/>
      </c>
      <c r="AE62" s="25">
        <f t="shared" si="12"/>
        <v>0</v>
      </c>
    </row>
    <row r="63" spans="1:31" ht="25.5" customHeight="1">
      <c r="A63" s="17" t="str">
        <f>IF($F63="","",COUNTIF($F$6:$F63,"订单头"))</f>
        <v/>
      </c>
      <c r="B63" s="6"/>
      <c r="C63" s="11"/>
      <c r="D63" s="6"/>
      <c r="E63" s="6"/>
      <c r="F63" s="6"/>
      <c r="G63" s="20" t="str">
        <f t="shared" si="9"/>
        <v/>
      </c>
      <c r="H63" s="6"/>
      <c r="I63" s="20" t="str">
        <f>IF($F63="组件","C"&amp;TEXT(COUNTIFS($A$6:$A63,$A63,$F$6:$F63,"组件"),"000"),"")</f>
        <v/>
      </c>
      <c r="J63" s="6" t="str">
        <f t="shared" si="10"/>
        <v/>
      </c>
      <c r="K63" s="6"/>
      <c r="L63" s="6"/>
      <c r="M63" s="6"/>
      <c r="N63" s="6"/>
      <c r="O63" s="6"/>
      <c r="P63" s="14"/>
      <c r="Q63" s="14"/>
      <c r="R63" s="23" t="str">
        <f>IF(OR($F63="",$F63="订单头"),"",IF(AND($F63="零件",$J63&lt;&gt;""),IFERROR(SUMIFS($R$6:$R62,$A$6:$A62,$A63,$I$6:$I62,$J63)*IF($Q63="",1,$Q63),""),IF($P63="","",$P63*IF($Q63="",1,$Q63))))</f>
        <v/>
      </c>
      <c r="S63" s="6"/>
      <c r="T63" s="6"/>
      <c r="U63" s="6"/>
      <c r="V63" s="11"/>
      <c r="W63" s="7"/>
      <c r="X63" s="25" t="str">
        <f t="shared" si="13"/>
        <v/>
      </c>
      <c r="Y63" s="25" t="str">
        <f t="shared" si="11"/>
        <v/>
      </c>
      <c r="Z63" s="25" t="str">
        <f>IF(AND($F63="零件",$J63&lt;&gt;""),COUNTIFS($A$6:$A63,$A63,$J$6:$J63,$J63,$F$6:$F63,"零件"),"")</f>
        <v/>
      </c>
      <c r="AA63" s="25" t="str">
        <f t="shared" si="14"/>
        <v/>
      </c>
      <c r="AB63" s="25" t="str">
        <f t="shared" si="15"/>
        <v/>
      </c>
      <c r="AC63" s="25" t="str">
        <f t="shared" si="16"/>
        <v/>
      </c>
      <c r="AD63" s="25" t="str">
        <f t="shared" si="17"/>
        <v/>
      </c>
      <c r="AE63" s="25">
        <f t="shared" si="12"/>
        <v>0</v>
      </c>
    </row>
    <row r="64" spans="1:31" ht="25.5" customHeight="1">
      <c r="A64" s="17" t="str">
        <f>IF($F64="","",COUNTIF($F$6:$F64,"订单头"))</f>
        <v/>
      </c>
      <c r="B64" s="6"/>
      <c r="C64" s="11"/>
      <c r="D64" s="6"/>
      <c r="E64" s="6"/>
      <c r="F64" s="6"/>
      <c r="G64" s="20" t="str">
        <f t="shared" si="9"/>
        <v/>
      </c>
      <c r="H64" s="6"/>
      <c r="I64" s="20" t="str">
        <f>IF($F64="组件","C"&amp;TEXT(COUNTIFS($A$6:$A64,$A64,$F$6:$F64,"组件"),"000"),"")</f>
        <v/>
      </c>
      <c r="J64" s="6" t="str">
        <f t="shared" si="10"/>
        <v/>
      </c>
      <c r="K64" s="6"/>
      <c r="L64" s="6"/>
      <c r="M64" s="6"/>
      <c r="N64" s="6"/>
      <c r="O64" s="6"/>
      <c r="P64" s="14"/>
      <c r="Q64" s="14"/>
      <c r="R64" s="23" t="str">
        <f>IF(OR($F64="",$F64="订单头"),"",IF(AND($F64="零件",$J64&lt;&gt;""),IFERROR(SUMIFS($R$6:$R63,$A$6:$A63,$A64,$I$6:$I63,$J64)*IF($Q64="",1,$Q64),""),IF($P64="","",$P64*IF($Q64="",1,$Q64))))</f>
        <v/>
      </c>
      <c r="S64" s="6"/>
      <c r="T64" s="6"/>
      <c r="U64" s="6"/>
      <c r="V64" s="11"/>
      <c r="W64" s="7"/>
      <c r="X64" s="25" t="str">
        <f t="shared" si="13"/>
        <v/>
      </c>
      <c r="Y64" s="25" t="str">
        <f t="shared" si="11"/>
        <v/>
      </c>
      <c r="Z64" s="25" t="str">
        <f>IF(AND($F64="零件",$J64&lt;&gt;""),COUNTIFS($A$6:$A64,$A64,$J$6:$J64,$J64,$F$6:$F64,"零件"),"")</f>
        <v/>
      </c>
      <c r="AA64" s="25" t="str">
        <f t="shared" si="14"/>
        <v/>
      </c>
      <c r="AB64" s="25" t="str">
        <f t="shared" si="15"/>
        <v/>
      </c>
      <c r="AC64" s="25" t="str">
        <f t="shared" si="16"/>
        <v/>
      </c>
      <c r="AD64" s="25" t="str">
        <f t="shared" si="17"/>
        <v/>
      </c>
      <c r="AE64" s="25">
        <f t="shared" si="12"/>
        <v>0</v>
      </c>
    </row>
    <row r="65" spans="1:31" ht="25.5" customHeight="1">
      <c r="A65" s="17" t="str">
        <f>IF($F65="","",COUNTIF($F$6:$F65,"订单头"))</f>
        <v/>
      </c>
      <c r="B65" s="6"/>
      <c r="C65" s="11"/>
      <c r="D65" s="6"/>
      <c r="E65" s="6"/>
      <c r="F65" s="6"/>
      <c r="G65" s="20" t="str">
        <f t="shared" si="9"/>
        <v/>
      </c>
      <c r="H65" s="6"/>
      <c r="I65" s="20" t="str">
        <f>IF($F65="组件","C"&amp;TEXT(COUNTIFS($A$6:$A65,$A65,$F$6:$F65,"组件"),"000"),"")</f>
        <v/>
      </c>
      <c r="J65" s="6" t="str">
        <f t="shared" si="10"/>
        <v/>
      </c>
      <c r="K65" s="6"/>
      <c r="L65" s="6"/>
      <c r="M65" s="6"/>
      <c r="N65" s="6"/>
      <c r="O65" s="6"/>
      <c r="P65" s="14"/>
      <c r="Q65" s="14"/>
      <c r="R65" s="23" t="str">
        <f>IF(OR($F65="",$F65="订单头"),"",IF(AND($F65="零件",$J65&lt;&gt;""),IFERROR(SUMIFS($R$6:$R64,$A$6:$A64,$A65,$I$6:$I64,$J65)*IF($Q65="",1,$Q65),""),IF($P65="","",$P65*IF($Q65="",1,$Q65))))</f>
        <v/>
      </c>
      <c r="S65" s="6"/>
      <c r="T65" s="6"/>
      <c r="U65" s="6"/>
      <c r="V65" s="11"/>
      <c r="W65" s="7"/>
      <c r="X65" s="25" t="str">
        <f t="shared" si="13"/>
        <v/>
      </c>
      <c r="Y65" s="25" t="str">
        <f t="shared" si="11"/>
        <v/>
      </c>
      <c r="Z65" s="25" t="str">
        <f>IF(AND($F65="零件",$J65&lt;&gt;""),COUNTIFS($A$6:$A65,$A65,$J$6:$J65,$J65,$F$6:$F65,"零件"),"")</f>
        <v/>
      </c>
      <c r="AA65" s="25" t="str">
        <f t="shared" si="14"/>
        <v/>
      </c>
      <c r="AB65" s="25" t="str">
        <f t="shared" si="15"/>
        <v/>
      </c>
      <c r="AC65" s="25" t="str">
        <f t="shared" si="16"/>
        <v/>
      </c>
      <c r="AD65" s="25" t="str">
        <f t="shared" si="17"/>
        <v/>
      </c>
      <c r="AE65" s="25">
        <f t="shared" si="12"/>
        <v>0</v>
      </c>
    </row>
    <row r="66" spans="1:31" ht="25.5" customHeight="1">
      <c r="A66" s="17" t="str">
        <f>IF($F66="","",COUNTIF($F$6:$F66,"订单头"))</f>
        <v/>
      </c>
      <c r="B66" s="6"/>
      <c r="C66" s="11"/>
      <c r="D66" s="6"/>
      <c r="E66" s="6"/>
      <c r="F66" s="6"/>
      <c r="G66" s="20" t="str">
        <f t="shared" si="9"/>
        <v/>
      </c>
      <c r="H66" s="6"/>
      <c r="I66" s="20" t="str">
        <f>IF($F66="组件","C"&amp;TEXT(COUNTIFS($A$6:$A66,$A66,$F$6:$F66,"组件"),"000"),"")</f>
        <v/>
      </c>
      <c r="J66" s="6" t="str">
        <f t="shared" si="10"/>
        <v/>
      </c>
      <c r="K66" s="6"/>
      <c r="L66" s="6"/>
      <c r="M66" s="6"/>
      <c r="N66" s="6"/>
      <c r="O66" s="6"/>
      <c r="P66" s="14"/>
      <c r="Q66" s="14"/>
      <c r="R66" s="23" t="str">
        <f>IF(OR($F66="",$F66="订单头"),"",IF(AND($F66="零件",$J66&lt;&gt;""),IFERROR(SUMIFS($R$6:$R65,$A$6:$A65,$A66,$I$6:$I65,$J66)*IF($Q66="",1,$Q66),""),IF($P66="","",$P66*IF($Q66="",1,$Q66))))</f>
        <v/>
      </c>
      <c r="S66" s="6"/>
      <c r="T66" s="6"/>
      <c r="U66" s="6"/>
      <c r="V66" s="11"/>
      <c r="W66" s="7"/>
      <c r="X66" s="25" t="str">
        <f t="shared" si="13"/>
        <v/>
      </c>
      <c r="Y66" s="25" t="str">
        <f t="shared" si="11"/>
        <v/>
      </c>
      <c r="Z66" s="25" t="str">
        <f>IF(AND($F66="零件",$J66&lt;&gt;""),COUNTIFS($A$6:$A66,$A66,$J$6:$J66,$J66,$F$6:$F66,"零件"),"")</f>
        <v/>
      </c>
      <c r="AA66" s="25" t="str">
        <f t="shared" si="14"/>
        <v/>
      </c>
      <c r="AB66" s="25" t="str">
        <f t="shared" si="15"/>
        <v/>
      </c>
      <c r="AC66" s="25" t="str">
        <f t="shared" si="16"/>
        <v/>
      </c>
      <c r="AD66" s="25" t="str">
        <f t="shared" si="17"/>
        <v/>
      </c>
      <c r="AE66" s="25">
        <f t="shared" si="12"/>
        <v>0</v>
      </c>
    </row>
    <row r="67" spans="1:31" ht="25.5" customHeight="1">
      <c r="A67" s="17" t="str">
        <f>IF($F67="","",COUNTIF($F$6:$F67,"订单头"))</f>
        <v/>
      </c>
      <c r="B67" s="6"/>
      <c r="C67" s="11"/>
      <c r="D67" s="6"/>
      <c r="E67" s="6"/>
      <c r="F67" s="6"/>
      <c r="G67" s="20" t="str">
        <f t="shared" si="9"/>
        <v/>
      </c>
      <c r="H67" s="6"/>
      <c r="I67" s="20" t="str">
        <f>IF($F67="组件","C"&amp;TEXT(COUNTIFS($A$6:$A67,$A67,$F$6:$F67,"组件"),"000"),"")</f>
        <v/>
      </c>
      <c r="J67" s="6" t="str">
        <f t="shared" si="10"/>
        <v/>
      </c>
      <c r="K67" s="6"/>
      <c r="L67" s="6"/>
      <c r="M67" s="6"/>
      <c r="N67" s="6"/>
      <c r="O67" s="6"/>
      <c r="P67" s="14"/>
      <c r="Q67" s="14"/>
      <c r="R67" s="23" t="str">
        <f>IF(OR($F67="",$F67="订单头"),"",IF(AND($F67="零件",$J67&lt;&gt;""),IFERROR(SUMIFS($R$6:$R66,$A$6:$A66,$A67,$I$6:$I66,$J67)*IF($Q67="",1,$Q67),""),IF($P67="","",$P67*IF($Q67="",1,$Q67))))</f>
        <v/>
      </c>
      <c r="S67" s="6"/>
      <c r="T67" s="6"/>
      <c r="U67" s="6"/>
      <c r="V67" s="11"/>
      <c r="W67" s="7"/>
      <c r="X67" s="25" t="str">
        <f t="shared" si="13"/>
        <v/>
      </c>
      <c r="Y67" s="25" t="str">
        <f t="shared" si="11"/>
        <v/>
      </c>
      <c r="Z67" s="25" t="str">
        <f>IF(AND($F67="零件",$J67&lt;&gt;""),COUNTIFS($A$6:$A67,$A67,$J$6:$J67,$J67,$F$6:$F67,"零件"),"")</f>
        <v/>
      </c>
      <c r="AA67" s="25" t="str">
        <f t="shared" si="14"/>
        <v/>
      </c>
      <c r="AB67" s="25" t="str">
        <f t="shared" si="15"/>
        <v/>
      </c>
      <c r="AC67" s="25" t="str">
        <f t="shared" si="16"/>
        <v/>
      </c>
      <c r="AD67" s="25" t="str">
        <f t="shared" si="17"/>
        <v/>
      </c>
      <c r="AE67" s="25">
        <f t="shared" si="12"/>
        <v>0</v>
      </c>
    </row>
    <row r="68" spans="1:31" ht="25.5" customHeight="1">
      <c r="A68" s="17" t="str">
        <f>IF($F68="","",COUNTIF($F$6:$F68,"订单头"))</f>
        <v/>
      </c>
      <c r="B68" s="6"/>
      <c r="C68" s="11"/>
      <c r="D68" s="6"/>
      <c r="E68" s="6"/>
      <c r="F68" s="6"/>
      <c r="G68" s="20" t="str">
        <f t="shared" si="9"/>
        <v/>
      </c>
      <c r="H68" s="6"/>
      <c r="I68" s="20" t="str">
        <f>IF($F68="组件","C"&amp;TEXT(COUNTIFS($A$6:$A68,$A68,$F$6:$F68,"组件"),"000"),"")</f>
        <v/>
      </c>
      <c r="J68" s="6" t="str">
        <f t="shared" si="10"/>
        <v/>
      </c>
      <c r="K68" s="6"/>
      <c r="L68" s="6"/>
      <c r="M68" s="6"/>
      <c r="N68" s="6"/>
      <c r="O68" s="6"/>
      <c r="P68" s="14"/>
      <c r="Q68" s="14"/>
      <c r="R68" s="23" t="str">
        <f>IF(OR($F68="",$F68="订单头"),"",IF(AND($F68="零件",$J68&lt;&gt;""),IFERROR(SUMIFS($R$6:$R67,$A$6:$A67,$A68,$I$6:$I67,$J68)*IF($Q68="",1,$Q68),""),IF($P68="","",$P68*IF($Q68="",1,$Q68))))</f>
        <v/>
      </c>
      <c r="S68" s="6"/>
      <c r="T68" s="6"/>
      <c r="U68" s="6"/>
      <c r="V68" s="11"/>
      <c r="W68" s="7"/>
      <c r="X68" s="25" t="str">
        <f t="shared" si="13"/>
        <v/>
      </c>
      <c r="Y68" s="25" t="str">
        <f t="shared" si="11"/>
        <v/>
      </c>
      <c r="Z68" s="25" t="str">
        <f>IF(AND($F68="零件",$J68&lt;&gt;""),COUNTIFS($A$6:$A68,$A68,$J$6:$J68,$J68,$F$6:$F68,"零件"),"")</f>
        <v/>
      </c>
      <c r="AA68" s="25" t="str">
        <f t="shared" si="14"/>
        <v/>
      </c>
      <c r="AB68" s="25" t="str">
        <f t="shared" si="15"/>
        <v/>
      </c>
      <c r="AC68" s="25" t="str">
        <f t="shared" si="16"/>
        <v/>
      </c>
      <c r="AD68" s="25" t="str">
        <f t="shared" si="17"/>
        <v/>
      </c>
      <c r="AE68" s="25">
        <f t="shared" si="12"/>
        <v>0</v>
      </c>
    </row>
    <row r="69" spans="1:31" ht="25.5" customHeight="1">
      <c r="A69" s="17" t="str">
        <f>IF($F69="","",COUNTIF($F$6:$F69,"订单头"))</f>
        <v/>
      </c>
      <c r="B69" s="6"/>
      <c r="C69" s="11"/>
      <c r="D69" s="6"/>
      <c r="E69" s="6"/>
      <c r="F69" s="6"/>
      <c r="G69" s="20" t="str">
        <f t="shared" si="9"/>
        <v/>
      </c>
      <c r="H69" s="6"/>
      <c r="I69" s="20" t="str">
        <f>IF($F69="组件","C"&amp;TEXT(COUNTIFS($A$6:$A69,$A69,$F$6:$F69,"组件"),"000"),"")</f>
        <v/>
      </c>
      <c r="J69" s="6" t="str">
        <f t="shared" si="10"/>
        <v/>
      </c>
      <c r="K69" s="6"/>
      <c r="L69" s="6"/>
      <c r="M69" s="6"/>
      <c r="N69" s="6"/>
      <c r="O69" s="6"/>
      <c r="P69" s="14"/>
      <c r="Q69" s="14"/>
      <c r="R69" s="23" t="str">
        <f>IF(OR($F69="",$F69="订单头"),"",IF(AND($F69="零件",$J69&lt;&gt;""),IFERROR(SUMIFS($R$6:$R68,$A$6:$A68,$A69,$I$6:$I68,$J69)*IF($Q69="",1,$Q69),""),IF($P69="","",$P69*IF($Q69="",1,$Q69))))</f>
        <v/>
      </c>
      <c r="S69" s="6"/>
      <c r="T69" s="6"/>
      <c r="U69" s="6"/>
      <c r="V69" s="11"/>
      <c r="W69" s="7"/>
      <c r="X69" s="25" t="str">
        <f t="shared" si="13"/>
        <v/>
      </c>
      <c r="Y69" s="25" t="str">
        <f t="shared" si="11"/>
        <v/>
      </c>
      <c r="Z69" s="25" t="str">
        <f>IF(AND($F69="零件",$J69&lt;&gt;""),COUNTIFS($A$6:$A69,$A69,$J$6:$J69,$J69,$F$6:$F69,"零件"),"")</f>
        <v/>
      </c>
      <c r="AA69" s="25" t="str">
        <f t="shared" si="14"/>
        <v/>
      </c>
      <c r="AB69" s="25" t="str">
        <f t="shared" si="15"/>
        <v/>
      </c>
      <c r="AC69" s="25" t="str">
        <f t="shared" si="16"/>
        <v/>
      </c>
      <c r="AD69" s="25" t="str">
        <f t="shared" si="17"/>
        <v/>
      </c>
      <c r="AE69" s="25">
        <f t="shared" si="12"/>
        <v>0</v>
      </c>
    </row>
    <row r="70" spans="1:31" ht="25.5" customHeight="1">
      <c r="A70" s="17" t="str">
        <f>IF($F70="","",COUNTIF($F$6:$F70,"订单头"))</f>
        <v/>
      </c>
      <c r="B70" s="6"/>
      <c r="C70" s="11"/>
      <c r="D70" s="6"/>
      <c r="E70" s="6"/>
      <c r="F70" s="6"/>
      <c r="G70" s="20" t="str">
        <f t="shared" ref="G70:G101" si="18">IF($F70="","",IF($F70="订单头","订单头",IF(AND($F70="零件",$J70&lt;&gt;""),IFERROR(SUMIFS($Y$6:$Y$205,$A$6:$A$205,$A70,$I$6:$I$205,$J70)&amp;"."&amp;$Z70,"父组件不存在"),$Y70)))</f>
        <v/>
      </c>
      <c r="H70" s="6"/>
      <c r="I70" s="20" t="str">
        <f>IF($F70="组件","C"&amp;TEXT(COUNTIFS($A$6:$A70,$A70,$F$6:$F70,"组件"),"000"),"")</f>
        <v/>
      </c>
      <c r="J70" s="6" t="str">
        <f t="shared" ref="J70:J101" si="19">IF($F70="零件",IF($P70&lt;&gt;"","",IF(AND($A70=$A69,$F69="组件"),$I69,IF(AND($A70=$A69,$F69="零件",$J69&lt;&gt;""),$J69,""))),"")</f>
        <v/>
      </c>
      <c r="K70" s="6"/>
      <c r="L70" s="6"/>
      <c r="M70" s="6"/>
      <c r="N70" s="6"/>
      <c r="O70" s="6"/>
      <c r="P70" s="14"/>
      <c r="Q70" s="14"/>
      <c r="R70" s="23" t="str">
        <f>IF(OR($F70="",$F70="订单头"),"",IF(AND($F70="零件",$J70&lt;&gt;""),IFERROR(SUMIFS($R$6:$R69,$A$6:$A69,$A70,$I$6:$I69,$J70)*IF($Q70="",1,$Q70),""),IF($P70="","",$P70*IF($Q70="",1,$Q70))))</f>
        <v/>
      </c>
      <c r="S70" s="6"/>
      <c r="T70" s="6"/>
      <c r="U70" s="6"/>
      <c r="V70" s="11"/>
      <c r="W70" s="7"/>
      <c r="X70" s="25" t="str">
        <f t="shared" si="13"/>
        <v/>
      </c>
      <c r="Y70" s="25" t="str">
        <f t="shared" ref="Y70:Y101" si="20">IF($F70="","",IF($F70="订单头","",IF(AND($F70="零件",$J70&lt;&gt;""),"",$X70)))</f>
        <v/>
      </c>
      <c r="Z70" s="25" t="str">
        <f>IF(AND($F70="零件",$J70&lt;&gt;""),COUNTIFS($A$6:$A70,$A70,$J$6:$J70,$J70,$F$6:$F70,"零件"),"")</f>
        <v/>
      </c>
      <c r="AA70" s="25" t="str">
        <f t="shared" si="14"/>
        <v/>
      </c>
      <c r="AB70" s="25" t="str">
        <f t="shared" si="15"/>
        <v/>
      </c>
      <c r="AC70" s="25" t="str">
        <f t="shared" si="16"/>
        <v/>
      </c>
      <c r="AD70" s="25" t="str">
        <f t="shared" si="17"/>
        <v/>
      </c>
      <c r="AE70" s="25">
        <f t="shared" ref="AE70:AE101" si="21">IF(OR($F70="组件",$F70="零件"),1,0)</f>
        <v>0</v>
      </c>
    </row>
    <row r="71" spans="1:31" ht="25.5" customHeight="1">
      <c r="A71" s="17" t="str">
        <f>IF($F71="","",COUNTIF($F$6:$F71,"订单头"))</f>
        <v/>
      </c>
      <c r="B71" s="6"/>
      <c r="C71" s="11"/>
      <c r="D71" s="6"/>
      <c r="E71" s="6"/>
      <c r="F71" s="6"/>
      <c r="G71" s="20" t="str">
        <f t="shared" si="18"/>
        <v/>
      </c>
      <c r="H71" s="6"/>
      <c r="I71" s="20" t="str">
        <f>IF($F71="组件","C"&amp;TEXT(COUNTIFS($A$6:$A71,$A71,$F$6:$F71,"组件"),"000"),"")</f>
        <v/>
      </c>
      <c r="J71" s="6" t="str">
        <f t="shared" si="19"/>
        <v/>
      </c>
      <c r="K71" s="6"/>
      <c r="L71" s="6"/>
      <c r="M71" s="6"/>
      <c r="N71" s="6"/>
      <c r="O71" s="6"/>
      <c r="P71" s="14"/>
      <c r="Q71" s="14"/>
      <c r="R71" s="23" t="str">
        <f>IF(OR($F71="",$F71="订单头"),"",IF(AND($F71="零件",$J71&lt;&gt;""),IFERROR(SUMIFS($R$6:$R70,$A$6:$A70,$A71,$I$6:$I70,$J71)*IF($Q71="",1,$Q71),""),IF($P71="","",$P71*IF($Q71="",1,$Q71))))</f>
        <v/>
      </c>
      <c r="S71" s="6"/>
      <c r="T71" s="6"/>
      <c r="U71" s="6"/>
      <c r="V71" s="11"/>
      <c r="W71" s="7"/>
      <c r="X71" s="25" t="str">
        <f t="shared" ref="X71:X102" si="22">IF($F71="","",IF($F71="订单头",0,IF($A71=$A70,$X70,0)+IF(OR($F71="组件",AND($F71="零件",$J71="")),1,0)))</f>
        <v/>
      </c>
      <c r="Y71" s="25" t="str">
        <f t="shared" si="20"/>
        <v/>
      </c>
      <c r="Z71" s="25" t="str">
        <f>IF(AND($F71="零件",$J71&lt;&gt;""),COUNTIFS($A$6:$A71,$A71,$J$6:$J71,$J71,$F$6:$F71,"零件"),"")</f>
        <v/>
      </c>
      <c r="AA71" s="25" t="str">
        <f t="shared" ref="AA71:AA102" si="23">IF($F71="","",IF($F71="订单头",$B71,IF($A71=$A70,$AA70,"")))</f>
        <v/>
      </c>
      <c r="AB71" s="25" t="str">
        <f t="shared" ref="AB71:AB102" si="24">IF($F71="","",IF($F71="订单头",$C71,IF($A71=$A70,$AB70,"")))</f>
        <v/>
      </c>
      <c r="AC71" s="25" t="str">
        <f t="shared" ref="AC71:AC102" si="25">IF($F71="","",IF($F71="订单头",$D71,IF($A71=$A70,$AC70,"")))</f>
        <v/>
      </c>
      <c r="AD71" s="25" t="str">
        <f t="shared" ref="AD71:AD102" si="26">IF($F71="","",IF($F71="订单头",$E71,IF($A71=$A70,$AD70,"")))</f>
        <v/>
      </c>
      <c r="AE71" s="25">
        <f t="shared" si="21"/>
        <v>0</v>
      </c>
    </row>
    <row r="72" spans="1:31" ht="25.5" customHeight="1">
      <c r="A72" s="17" t="str">
        <f>IF($F72="","",COUNTIF($F$6:$F72,"订单头"))</f>
        <v/>
      </c>
      <c r="B72" s="6"/>
      <c r="C72" s="11"/>
      <c r="D72" s="6"/>
      <c r="E72" s="6"/>
      <c r="F72" s="6"/>
      <c r="G72" s="20" t="str">
        <f t="shared" si="18"/>
        <v/>
      </c>
      <c r="H72" s="6"/>
      <c r="I72" s="20" t="str">
        <f>IF($F72="组件","C"&amp;TEXT(COUNTIFS($A$6:$A72,$A72,$F$6:$F72,"组件"),"000"),"")</f>
        <v/>
      </c>
      <c r="J72" s="6" t="str">
        <f t="shared" si="19"/>
        <v/>
      </c>
      <c r="K72" s="6"/>
      <c r="L72" s="6"/>
      <c r="M72" s="6"/>
      <c r="N72" s="6"/>
      <c r="O72" s="6"/>
      <c r="P72" s="14"/>
      <c r="Q72" s="14"/>
      <c r="R72" s="23" t="str">
        <f>IF(OR($F72="",$F72="订单头"),"",IF(AND($F72="零件",$J72&lt;&gt;""),IFERROR(SUMIFS($R$6:$R71,$A$6:$A71,$A72,$I$6:$I71,$J72)*IF($Q72="",1,$Q72),""),IF($P72="","",$P72*IF($Q72="",1,$Q72))))</f>
        <v/>
      </c>
      <c r="S72" s="6"/>
      <c r="T72" s="6"/>
      <c r="U72" s="6"/>
      <c r="V72" s="11"/>
      <c r="W72" s="7"/>
      <c r="X72" s="25" t="str">
        <f t="shared" si="22"/>
        <v/>
      </c>
      <c r="Y72" s="25" t="str">
        <f t="shared" si="20"/>
        <v/>
      </c>
      <c r="Z72" s="25" t="str">
        <f>IF(AND($F72="零件",$J72&lt;&gt;""),COUNTIFS($A$6:$A72,$A72,$J$6:$J72,$J72,$F$6:$F72,"零件"),"")</f>
        <v/>
      </c>
      <c r="AA72" s="25" t="str">
        <f t="shared" si="23"/>
        <v/>
      </c>
      <c r="AB72" s="25" t="str">
        <f t="shared" si="24"/>
        <v/>
      </c>
      <c r="AC72" s="25" t="str">
        <f t="shared" si="25"/>
        <v/>
      </c>
      <c r="AD72" s="25" t="str">
        <f t="shared" si="26"/>
        <v/>
      </c>
      <c r="AE72" s="25">
        <f t="shared" si="21"/>
        <v>0</v>
      </c>
    </row>
    <row r="73" spans="1:31" ht="25.5" customHeight="1">
      <c r="A73" s="17" t="str">
        <f>IF($F73="","",COUNTIF($F$6:$F73,"订单头"))</f>
        <v/>
      </c>
      <c r="B73" s="6"/>
      <c r="C73" s="11"/>
      <c r="D73" s="6"/>
      <c r="E73" s="6"/>
      <c r="F73" s="6"/>
      <c r="G73" s="20" t="str">
        <f t="shared" si="18"/>
        <v/>
      </c>
      <c r="H73" s="6"/>
      <c r="I73" s="20" t="str">
        <f>IF($F73="组件","C"&amp;TEXT(COUNTIFS($A$6:$A73,$A73,$F$6:$F73,"组件"),"000"),"")</f>
        <v/>
      </c>
      <c r="J73" s="6" t="str">
        <f t="shared" si="19"/>
        <v/>
      </c>
      <c r="K73" s="6"/>
      <c r="L73" s="6"/>
      <c r="M73" s="6"/>
      <c r="N73" s="6"/>
      <c r="O73" s="6"/>
      <c r="P73" s="14"/>
      <c r="Q73" s="14"/>
      <c r="R73" s="23" t="str">
        <f>IF(OR($F73="",$F73="订单头"),"",IF(AND($F73="零件",$J73&lt;&gt;""),IFERROR(SUMIFS($R$6:$R72,$A$6:$A72,$A73,$I$6:$I72,$J73)*IF($Q73="",1,$Q73),""),IF($P73="","",$P73*IF($Q73="",1,$Q73))))</f>
        <v/>
      </c>
      <c r="S73" s="6"/>
      <c r="T73" s="6"/>
      <c r="U73" s="6"/>
      <c r="V73" s="11"/>
      <c r="W73" s="7"/>
      <c r="X73" s="25" t="str">
        <f t="shared" si="22"/>
        <v/>
      </c>
      <c r="Y73" s="25" t="str">
        <f t="shared" si="20"/>
        <v/>
      </c>
      <c r="Z73" s="25" t="str">
        <f>IF(AND($F73="零件",$J73&lt;&gt;""),COUNTIFS($A$6:$A73,$A73,$J$6:$J73,$J73,$F$6:$F73,"零件"),"")</f>
        <v/>
      </c>
      <c r="AA73" s="25" t="str">
        <f t="shared" si="23"/>
        <v/>
      </c>
      <c r="AB73" s="25" t="str">
        <f t="shared" si="24"/>
        <v/>
      </c>
      <c r="AC73" s="25" t="str">
        <f t="shared" si="25"/>
        <v/>
      </c>
      <c r="AD73" s="25" t="str">
        <f t="shared" si="26"/>
        <v/>
      </c>
      <c r="AE73" s="25">
        <f t="shared" si="21"/>
        <v>0</v>
      </c>
    </row>
    <row r="74" spans="1:31" ht="25.5" customHeight="1">
      <c r="A74" s="17" t="str">
        <f>IF($F74="","",COUNTIF($F$6:$F74,"订单头"))</f>
        <v/>
      </c>
      <c r="B74" s="6"/>
      <c r="C74" s="11"/>
      <c r="D74" s="6"/>
      <c r="E74" s="6"/>
      <c r="F74" s="6"/>
      <c r="G74" s="20" t="str">
        <f t="shared" si="18"/>
        <v/>
      </c>
      <c r="H74" s="6"/>
      <c r="I74" s="20" t="str">
        <f>IF($F74="组件","C"&amp;TEXT(COUNTIFS($A$6:$A74,$A74,$F$6:$F74,"组件"),"000"),"")</f>
        <v/>
      </c>
      <c r="J74" s="6" t="str">
        <f t="shared" si="19"/>
        <v/>
      </c>
      <c r="K74" s="6"/>
      <c r="L74" s="6"/>
      <c r="M74" s="6"/>
      <c r="N74" s="6"/>
      <c r="O74" s="6"/>
      <c r="P74" s="14"/>
      <c r="Q74" s="14"/>
      <c r="R74" s="23" t="str">
        <f>IF(OR($F74="",$F74="订单头"),"",IF(AND($F74="零件",$J74&lt;&gt;""),IFERROR(SUMIFS($R$6:$R73,$A$6:$A73,$A74,$I$6:$I73,$J74)*IF($Q74="",1,$Q74),""),IF($P74="","",$P74*IF($Q74="",1,$Q74))))</f>
        <v/>
      </c>
      <c r="S74" s="6"/>
      <c r="T74" s="6"/>
      <c r="U74" s="6"/>
      <c r="V74" s="11"/>
      <c r="W74" s="7"/>
      <c r="X74" s="25" t="str">
        <f t="shared" si="22"/>
        <v/>
      </c>
      <c r="Y74" s="25" t="str">
        <f t="shared" si="20"/>
        <v/>
      </c>
      <c r="Z74" s="25" t="str">
        <f>IF(AND($F74="零件",$J74&lt;&gt;""),COUNTIFS($A$6:$A74,$A74,$J$6:$J74,$J74,$F$6:$F74,"零件"),"")</f>
        <v/>
      </c>
      <c r="AA74" s="25" t="str">
        <f t="shared" si="23"/>
        <v/>
      </c>
      <c r="AB74" s="25" t="str">
        <f t="shared" si="24"/>
        <v/>
      </c>
      <c r="AC74" s="25" t="str">
        <f t="shared" si="25"/>
        <v/>
      </c>
      <c r="AD74" s="25" t="str">
        <f t="shared" si="26"/>
        <v/>
      </c>
      <c r="AE74" s="25">
        <f t="shared" si="21"/>
        <v>0</v>
      </c>
    </row>
    <row r="75" spans="1:31" ht="25.5" customHeight="1">
      <c r="A75" s="17" t="str">
        <f>IF($F75="","",COUNTIF($F$6:$F75,"订单头"))</f>
        <v/>
      </c>
      <c r="B75" s="6"/>
      <c r="C75" s="11"/>
      <c r="D75" s="6"/>
      <c r="E75" s="6"/>
      <c r="F75" s="6"/>
      <c r="G75" s="20" t="str">
        <f t="shared" si="18"/>
        <v/>
      </c>
      <c r="H75" s="6"/>
      <c r="I75" s="20" t="str">
        <f>IF($F75="组件","C"&amp;TEXT(COUNTIFS($A$6:$A75,$A75,$F$6:$F75,"组件"),"000"),"")</f>
        <v/>
      </c>
      <c r="J75" s="6" t="str">
        <f t="shared" si="19"/>
        <v/>
      </c>
      <c r="K75" s="6"/>
      <c r="L75" s="6"/>
      <c r="M75" s="6"/>
      <c r="N75" s="6"/>
      <c r="O75" s="6"/>
      <c r="P75" s="14"/>
      <c r="Q75" s="14"/>
      <c r="R75" s="23" t="str">
        <f>IF(OR($F75="",$F75="订单头"),"",IF(AND($F75="零件",$J75&lt;&gt;""),IFERROR(SUMIFS($R$6:$R74,$A$6:$A74,$A75,$I$6:$I74,$J75)*IF($Q75="",1,$Q75),""),IF($P75="","",$P75*IF($Q75="",1,$Q75))))</f>
        <v/>
      </c>
      <c r="S75" s="6"/>
      <c r="T75" s="6"/>
      <c r="U75" s="6"/>
      <c r="V75" s="11"/>
      <c r="W75" s="7"/>
      <c r="X75" s="25" t="str">
        <f t="shared" si="22"/>
        <v/>
      </c>
      <c r="Y75" s="25" t="str">
        <f t="shared" si="20"/>
        <v/>
      </c>
      <c r="Z75" s="25" t="str">
        <f>IF(AND($F75="零件",$J75&lt;&gt;""),COUNTIFS($A$6:$A75,$A75,$J$6:$J75,$J75,$F$6:$F75,"零件"),"")</f>
        <v/>
      </c>
      <c r="AA75" s="25" t="str">
        <f t="shared" si="23"/>
        <v/>
      </c>
      <c r="AB75" s="25" t="str">
        <f t="shared" si="24"/>
        <v/>
      </c>
      <c r="AC75" s="25" t="str">
        <f t="shared" si="25"/>
        <v/>
      </c>
      <c r="AD75" s="25" t="str">
        <f t="shared" si="26"/>
        <v/>
      </c>
      <c r="AE75" s="25">
        <f t="shared" si="21"/>
        <v>0</v>
      </c>
    </row>
    <row r="76" spans="1:31" ht="25.5" customHeight="1">
      <c r="A76" s="17" t="str">
        <f>IF($F76="","",COUNTIF($F$6:$F76,"订单头"))</f>
        <v/>
      </c>
      <c r="B76" s="6"/>
      <c r="C76" s="11"/>
      <c r="D76" s="6"/>
      <c r="E76" s="6"/>
      <c r="F76" s="6"/>
      <c r="G76" s="20" t="str">
        <f t="shared" si="18"/>
        <v/>
      </c>
      <c r="H76" s="6"/>
      <c r="I76" s="20" t="str">
        <f>IF($F76="组件","C"&amp;TEXT(COUNTIFS($A$6:$A76,$A76,$F$6:$F76,"组件"),"000"),"")</f>
        <v/>
      </c>
      <c r="J76" s="6" t="str">
        <f t="shared" si="19"/>
        <v/>
      </c>
      <c r="K76" s="6"/>
      <c r="L76" s="6"/>
      <c r="M76" s="6"/>
      <c r="N76" s="6"/>
      <c r="O76" s="6"/>
      <c r="P76" s="14"/>
      <c r="Q76" s="14"/>
      <c r="R76" s="23" t="str">
        <f>IF(OR($F76="",$F76="订单头"),"",IF(AND($F76="零件",$J76&lt;&gt;""),IFERROR(SUMIFS($R$6:$R75,$A$6:$A75,$A76,$I$6:$I75,$J76)*IF($Q76="",1,$Q76),""),IF($P76="","",$P76*IF($Q76="",1,$Q76))))</f>
        <v/>
      </c>
      <c r="S76" s="6"/>
      <c r="T76" s="6"/>
      <c r="U76" s="6"/>
      <c r="V76" s="11"/>
      <c r="W76" s="7"/>
      <c r="X76" s="25" t="str">
        <f t="shared" si="22"/>
        <v/>
      </c>
      <c r="Y76" s="25" t="str">
        <f t="shared" si="20"/>
        <v/>
      </c>
      <c r="Z76" s="25" t="str">
        <f>IF(AND($F76="零件",$J76&lt;&gt;""),COUNTIFS($A$6:$A76,$A76,$J$6:$J76,$J76,$F$6:$F76,"零件"),"")</f>
        <v/>
      </c>
      <c r="AA76" s="25" t="str">
        <f t="shared" si="23"/>
        <v/>
      </c>
      <c r="AB76" s="25" t="str">
        <f t="shared" si="24"/>
        <v/>
      </c>
      <c r="AC76" s="25" t="str">
        <f t="shared" si="25"/>
        <v/>
      </c>
      <c r="AD76" s="25" t="str">
        <f t="shared" si="26"/>
        <v/>
      </c>
      <c r="AE76" s="25">
        <f t="shared" si="21"/>
        <v>0</v>
      </c>
    </row>
    <row r="77" spans="1:31" ht="25.5" customHeight="1">
      <c r="A77" s="17" t="str">
        <f>IF($F77="","",COUNTIF($F$6:$F77,"订单头"))</f>
        <v/>
      </c>
      <c r="B77" s="6"/>
      <c r="C77" s="11"/>
      <c r="D77" s="6"/>
      <c r="E77" s="6"/>
      <c r="F77" s="6"/>
      <c r="G77" s="20" t="str">
        <f t="shared" si="18"/>
        <v/>
      </c>
      <c r="H77" s="6"/>
      <c r="I77" s="20" t="str">
        <f>IF($F77="组件","C"&amp;TEXT(COUNTIFS($A$6:$A77,$A77,$F$6:$F77,"组件"),"000"),"")</f>
        <v/>
      </c>
      <c r="J77" s="6" t="str">
        <f t="shared" si="19"/>
        <v/>
      </c>
      <c r="K77" s="6"/>
      <c r="L77" s="6"/>
      <c r="M77" s="6"/>
      <c r="N77" s="6"/>
      <c r="O77" s="6"/>
      <c r="P77" s="14"/>
      <c r="Q77" s="14"/>
      <c r="R77" s="23" t="str">
        <f>IF(OR($F77="",$F77="订单头"),"",IF(AND($F77="零件",$J77&lt;&gt;""),IFERROR(SUMIFS($R$6:$R76,$A$6:$A76,$A77,$I$6:$I76,$J77)*IF($Q77="",1,$Q77),""),IF($P77="","",$P77*IF($Q77="",1,$Q77))))</f>
        <v/>
      </c>
      <c r="S77" s="6"/>
      <c r="T77" s="6"/>
      <c r="U77" s="6"/>
      <c r="V77" s="11"/>
      <c r="W77" s="7"/>
      <c r="X77" s="25" t="str">
        <f t="shared" si="22"/>
        <v/>
      </c>
      <c r="Y77" s="25" t="str">
        <f t="shared" si="20"/>
        <v/>
      </c>
      <c r="Z77" s="25" t="str">
        <f>IF(AND($F77="零件",$J77&lt;&gt;""),COUNTIFS($A$6:$A77,$A77,$J$6:$J77,$J77,$F$6:$F77,"零件"),"")</f>
        <v/>
      </c>
      <c r="AA77" s="25" t="str">
        <f t="shared" si="23"/>
        <v/>
      </c>
      <c r="AB77" s="25" t="str">
        <f t="shared" si="24"/>
        <v/>
      </c>
      <c r="AC77" s="25" t="str">
        <f t="shared" si="25"/>
        <v/>
      </c>
      <c r="AD77" s="25" t="str">
        <f t="shared" si="26"/>
        <v/>
      </c>
      <c r="AE77" s="25">
        <f t="shared" si="21"/>
        <v>0</v>
      </c>
    </row>
    <row r="78" spans="1:31" ht="25.5" customHeight="1">
      <c r="A78" s="17" t="str">
        <f>IF($F78="","",COUNTIF($F$6:$F78,"订单头"))</f>
        <v/>
      </c>
      <c r="B78" s="6"/>
      <c r="C78" s="11"/>
      <c r="D78" s="6"/>
      <c r="E78" s="6"/>
      <c r="F78" s="6"/>
      <c r="G78" s="20" t="str">
        <f t="shared" si="18"/>
        <v/>
      </c>
      <c r="H78" s="6"/>
      <c r="I78" s="20" t="str">
        <f>IF($F78="组件","C"&amp;TEXT(COUNTIFS($A$6:$A78,$A78,$F$6:$F78,"组件"),"000"),"")</f>
        <v/>
      </c>
      <c r="J78" s="6" t="str">
        <f t="shared" si="19"/>
        <v/>
      </c>
      <c r="K78" s="6"/>
      <c r="L78" s="6"/>
      <c r="M78" s="6"/>
      <c r="N78" s="6"/>
      <c r="O78" s="6"/>
      <c r="P78" s="14"/>
      <c r="Q78" s="14"/>
      <c r="R78" s="23" t="str">
        <f>IF(OR($F78="",$F78="订单头"),"",IF(AND($F78="零件",$J78&lt;&gt;""),IFERROR(SUMIFS($R$6:$R77,$A$6:$A77,$A78,$I$6:$I77,$J78)*IF($Q78="",1,$Q78),""),IF($P78="","",$P78*IF($Q78="",1,$Q78))))</f>
        <v/>
      </c>
      <c r="S78" s="6"/>
      <c r="T78" s="6"/>
      <c r="U78" s="6"/>
      <c r="V78" s="11"/>
      <c r="W78" s="7"/>
      <c r="X78" s="25" t="str">
        <f t="shared" si="22"/>
        <v/>
      </c>
      <c r="Y78" s="25" t="str">
        <f t="shared" si="20"/>
        <v/>
      </c>
      <c r="Z78" s="25" t="str">
        <f>IF(AND($F78="零件",$J78&lt;&gt;""),COUNTIFS($A$6:$A78,$A78,$J$6:$J78,$J78,$F$6:$F78,"零件"),"")</f>
        <v/>
      </c>
      <c r="AA78" s="25" t="str">
        <f t="shared" si="23"/>
        <v/>
      </c>
      <c r="AB78" s="25" t="str">
        <f t="shared" si="24"/>
        <v/>
      </c>
      <c r="AC78" s="25" t="str">
        <f t="shared" si="25"/>
        <v/>
      </c>
      <c r="AD78" s="25" t="str">
        <f t="shared" si="26"/>
        <v/>
      </c>
      <c r="AE78" s="25">
        <f t="shared" si="21"/>
        <v>0</v>
      </c>
    </row>
    <row r="79" spans="1:31" ht="25.5" customHeight="1">
      <c r="A79" s="17" t="str">
        <f>IF($F79="","",COUNTIF($F$6:$F79,"订单头"))</f>
        <v/>
      </c>
      <c r="B79" s="6"/>
      <c r="C79" s="11"/>
      <c r="D79" s="6"/>
      <c r="E79" s="6"/>
      <c r="F79" s="6"/>
      <c r="G79" s="20" t="str">
        <f t="shared" si="18"/>
        <v/>
      </c>
      <c r="H79" s="6"/>
      <c r="I79" s="20" t="str">
        <f>IF($F79="组件","C"&amp;TEXT(COUNTIFS($A$6:$A79,$A79,$F$6:$F79,"组件"),"000"),"")</f>
        <v/>
      </c>
      <c r="J79" s="6" t="str">
        <f t="shared" si="19"/>
        <v/>
      </c>
      <c r="K79" s="6"/>
      <c r="L79" s="6"/>
      <c r="M79" s="6"/>
      <c r="N79" s="6"/>
      <c r="O79" s="6"/>
      <c r="P79" s="14"/>
      <c r="Q79" s="14"/>
      <c r="R79" s="23" t="str">
        <f>IF(OR($F79="",$F79="订单头"),"",IF(AND($F79="零件",$J79&lt;&gt;""),IFERROR(SUMIFS($R$6:$R78,$A$6:$A78,$A79,$I$6:$I78,$J79)*IF($Q79="",1,$Q79),""),IF($P79="","",$P79*IF($Q79="",1,$Q79))))</f>
        <v/>
      </c>
      <c r="S79" s="6"/>
      <c r="T79" s="6"/>
      <c r="U79" s="6"/>
      <c r="V79" s="11"/>
      <c r="W79" s="7"/>
      <c r="X79" s="25" t="str">
        <f t="shared" si="22"/>
        <v/>
      </c>
      <c r="Y79" s="25" t="str">
        <f t="shared" si="20"/>
        <v/>
      </c>
      <c r="Z79" s="25" t="str">
        <f>IF(AND($F79="零件",$J79&lt;&gt;""),COUNTIFS($A$6:$A79,$A79,$J$6:$J79,$J79,$F$6:$F79,"零件"),"")</f>
        <v/>
      </c>
      <c r="AA79" s="25" t="str">
        <f t="shared" si="23"/>
        <v/>
      </c>
      <c r="AB79" s="25" t="str">
        <f t="shared" si="24"/>
        <v/>
      </c>
      <c r="AC79" s="25" t="str">
        <f t="shared" si="25"/>
        <v/>
      </c>
      <c r="AD79" s="25" t="str">
        <f t="shared" si="26"/>
        <v/>
      </c>
      <c r="AE79" s="25">
        <f t="shared" si="21"/>
        <v>0</v>
      </c>
    </row>
    <row r="80" spans="1:31" ht="25.5" customHeight="1">
      <c r="A80" s="17" t="str">
        <f>IF($F80="","",COUNTIF($F$6:$F80,"订单头"))</f>
        <v/>
      </c>
      <c r="B80" s="6"/>
      <c r="C80" s="11"/>
      <c r="D80" s="6"/>
      <c r="E80" s="6"/>
      <c r="F80" s="6"/>
      <c r="G80" s="20" t="str">
        <f t="shared" si="18"/>
        <v/>
      </c>
      <c r="H80" s="6"/>
      <c r="I80" s="20" t="str">
        <f>IF($F80="组件","C"&amp;TEXT(COUNTIFS($A$6:$A80,$A80,$F$6:$F80,"组件"),"000"),"")</f>
        <v/>
      </c>
      <c r="J80" s="6" t="str">
        <f t="shared" si="19"/>
        <v/>
      </c>
      <c r="K80" s="6"/>
      <c r="L80" s="6"/>
      <c r="M80" s="6"/>
      <c r="N80" s="6"/>
      <c r="O80" s="6"/>
      <c r="P80" s="14"/>
      <c r="Q80" s="14"/>
      <c r="R80" s="23" t="str">
        <f>IF(OR($F80="",$F80="订单头"),"",IF(AND($F80="零件",$J80&lt;&gt;""),IFERROR(SUMIFS($R$6:$R79,$A$6:$A79,$A80,$I$6:$I79,$J80)*IF($Q80="",1,$Q80),""),IF($P80="","",$P80*IF($Q80="",1,$Q80))))</f>
        <v/>
      </c>
      <c r="S80" s="6"/>
      <c r="T80" s="6"/>
      <c r="U80" s="6"/>
      <c r="V80" s="11"/>
      <c r="W80" s="7"/>
      <c r="X80" s="25" t="str">
        <f t="shared" si="22"/>
        <v/>
      </c>
      <c r="Y80" s="25" t="str">
        <f t="shared" si="20"/>
        <v/>
      </c>
      <c r="Z80" s="25" t="str">
        <f>IF(AND($F80="零件",$J80&lt;&gt;""),COUNTIFS($A$6:$A80,$A80,$J$6:$J80,$J80,$F$6:$F80,"零件"),"")</f>
        <v/>
      </c>
      <c r="AA80" s="25" t="str">
        <f t="shared" si="23"/>
        <v/>
      </c>
      <c r="AB80" s="25" t="str">
        <f t="shared" si="24"/>
        <v/>
      </c>
      <c r="AC80" s="25" t="str">
        <f t="shared" si="25"/>
        <v/>
      </c>
      <c r="AD80" s="25" t="str">
        <f t="shared" si="26"/>
        <v/>
      </c>
      <c r="AE80" s="25">
        <f t="shared" si="21"/>
        <v>0</v>
      </c>
    </row>
    <row r="81" spans="1:31" ht="25.5" customHeight="1">
      <c r="A81" s="17" t="str">
        <f>IF($F81="","",COUNTIF($F$6:$F81,"订单头"))</f>
        <v/>
      </c>
      <c r="B81" s="6"/>
      <c r="C81" s="11"/>
      <c r="D81" s="6"/>
      <c r="E81" s="6"/>
      <c r="F81" s="6"/>
      <c r="G81" s="20" t="str">
        <f t="shared" si="18"/>
        <v/>
      </c>
      <c r="H81" s="6"/>
      <c r="I81" s="20" t="str">
        <f>IF($F81="组件","C"&amp;TEXT(COUNTIFS($A$6:$A81,$A81,$F$6:$F81,"组件"),"000"),"")</f>
        <v/>
      </c>
      <c r="J81" s="6" t="str">
        <f t="shared" si="19"/>
        <v/>
      </c>
      <c r="K81" s="6"/>
      <c r="L81" s="6"/>
      <c r="M81" s="6"/>
      <c r="N81" s="6"/>
      <c r="O81" s="6"/>
      <c r="P81" s="14"/>
      <c r="Q81" s="14"/>
      <c r="R81" s="23" t="str">
        <f>IF(OR($F81="",$F81="订单头"),"",IF(AND($F81="零件",$J81&lt;&gt;""),IFERROR(SUMIFS($R$6:$R80,$A$6:$A80,$A81,$I$6:$I80,$J81)*IF($Q81="",1,$Q81),""),IF($P81="","",$P81*IF($Q81="",1,$Q81))))</f>
        <v/>
      </c>
      <c r="S81" s="6"/>
      <c r="T81" s="6"/>
      <c r="U81" s="6"/>
      <c r="V81" s="11"/>
      <c r="W81" s="7"/>
      <c r="X81" s="25" t="str">
        <f t="shared" si="22"/>
        <v/>
      </c>
      <c r="Y81" s="25" t="str">
        <f t="shared" si="20"/>
        <v/>
      </c>
      <c r="Z81" s="25" t="str">
        <f>IF(AND($F81="零件",$J81&lt;&gt;""),COUNTIFS($A$6:$A81,$A81,$J$6:$J81,$J81,$F$6:$F81,"零件"),"")</f>
        <v/>
      </c>
      <c r="AA81" s="25" t="str">
        <f t="shared" si="23"/>
        <v/>
      </c>
      <c r="AB81" s="25" t="str">
        <f t="shared" si="24"/>
        <v/>
      </c>
      <c r="AC81" s="25" t="str">
        <f t="shared" si="25"/>
        <v/>
      </c>
      <c r="AD81" s="25" t="str">
        <f t="shared" si="26"/>
        <v/>
      </c>
      <c r="AE81" s="25">
        <f t="shared" si="21"/>
        <v>0</v>
      </c>
    </row>
    <row r="82" spans="1:31" ht="25.5" customHeight="1">
      <c r="A82" s="17" t="str">
        <f>IF($F82="","",COUNTIF($F$6:$F82,"订单头"))</f>
        <v/>
      </c>
      <c r="B82" s="6"/>
      <c r="C82" s="11"/>
      <c r="D82" s="6"/>
      <c r="E82" s="6"/>
      <c r="F82" s="6"/>
      <c r="G82" s="20" t="str">
        <f t="shared" si="18"/>
        <v/>
      </c>
      <c r="H82" s="6"/>
      <c r="I82" s="20" t="str">
        <f>IF($F82="组件","C"&amp;TEXT(COUNTIFS($A$6:$A82,$A82,$F$6:$F82,"组件"),"000"),"")</f>
        <v/>
      </c>
      <c r="J82" s="6" t="str">
        <f t="shared" si="19"/>
        <v/>
      </c>
      <c r="K82" s="6"/>
      <c r="L82" s="6"/>
      <c r="M82" s="6"/>
      <c r="N82" s="6"/>
      <c r="O82" s="6"/>
      <c r="P82" s="14"/>
      <c r="Q82" s="14"/>
      <c r="R82" s="23" t="str">
        <f>IF(OR($F82="",$F82="订单头"),"",IF(AND($F82="零件",$J82&lt;&gt;""),IFERROR(SUMIFS($R$6:$R81,$A$6:$A81,$A82,$I$6:$I81,$J82)*IF($Q82="",1,$Q82),""),IF($P82="","",$P82*IF($Q82="",1,$Q82))))</f>
        <v/>
      </c>
      <c r="S82" s="6"/>
      <c r="T82" s="6"/>
      <c r="U82" s="6"/>
      <c r="V82" s="11"/>
      <c r="W82" s="7"/>
      <c r="X82" s="25" t="str">
        <f t="shared" si="22"/>
        <v/>
      </c>
      <c r="Y82" s="25" t="str">
        <f t="shared" si="20"/>
        <v/>
      </c>
      <c r="Z82" s="25" t="str">
        <f>IF(AND($F82="零件",$J82&lt;&gt;""),COUNTIFS($A$6:$A82,$A82,$J$6:$J82,$J82,$F$6:$F82,"零件"),"")</f>
        <v/>
      </c>
      <c r="AA82" s="25" t="str">
        <f t="shared" si="23"/>
        <v/>
      </c>
      <c r="AB82" s="25" t="str">
        <f t="shared" si="24"/>
        <v/>
      </c>
      <c r="AC82" s="25" t="str">
        <f t="shared" si="25"/>
        <v/>
      </c>
      <c r="AD82" s="25" t="str">
        <f t="shared" si="26"/>
        <v/>
      </c>
      <c r="AE82" s="25">
        <f t="shared" si="21"/>
        <v>0</v>
      </c>
    </row>
    <row r="83" spans="1:31" ht="25.5" customHeight="1">
      <c r="A83" s="17" t="str">
        <f>IF($F83="","",COUNTIF($F$6:$F83,"订单头"))</f>
        <v/>
      </c>
      <c r="B83" s="6"/>
      <c r="C83" s="11"/>
      <c r="D83" s="6"/>
      <c r="E83" s="6"/>
      <c r="F83" s="6"/>
      <c r="G83" s="20" t="str">
        <f t="shared" si="18"/>
        <v/>
      </c>
      <c r="H83" s="6"/>
      <c r="I83" s="20" t="str">
        <f>IF($F83="组件","C"&amp;TEXT(COUNTIFS($A$6:$A83,$A83,$F$6:$F83,"组件"),"000"),"")</f>
        <v/>
      </c>
      <c r="J83" s="6" t="str">
        <f t="shared" si="19"/>
        <v/>
      </c>
      <c r="K83" s="6"/>
      <c r="L83" s="6"/>
      <c r="M83" s="6"/>
      <c r="N83" s="6"/>
      <c r="O83" s="6"/>
      <c r="P83" s="14"/>
      <c r="Q83" s="14"/>
      <c r="R83" s="23" t="str">
        <f>IF(OR($F83="",$F83="订单头"),"",IF(AND($F83="零件",$J83&lt;&gt;""),IFERROR(SUMIFS($R$6:$R82,$A$6:$A82,$A83,$I$6:$I82,$J83)*IF($Q83="",1,$Q83),""),IF($P83="","",$P83*IF($Q83="",1,$Q83))))</f>
        <v/>
      </c>
      <c r="S83" s="6"/>
      <c r="T83" s="6"/>
      <c r="U83" s="6"/>
      <c r="V83" s="11"/>
      <c r="W83" s="7"/>
      <c r="X83" s="25" t="str">
        <f t="shared" si="22"/>
        <v/>
      </c>
      <c r="Y83" s="25" t="str">
        <f t="shared" si="20"/>
        <v/>
      </c>
      <c r="Z83" s="25" t="str">
        <f>IF(AND($F83="零件",$J83&lt;&gt;""),COUNTIFS($A$6:$A83,$A83,$J$6:$J83,$J83,$F$6:$F83,"零件"),"")</f>
        <v/>
      </c>
      <c r="AA83" s="25" t="str">
        <f t="shared" si="23"/>
        <v/>
      </c>
      <c r="AB83" s="25" t="str">
        <f t="shared" si="24"/>
        <v/>
      </c>
      <c r="AC83" s="25" t="str">
        <f t="shared" si="25"/>
        <v/>
      </c>
      <c r="AD83" s="25" t="str">
        <f t="shared" si="26"/>
        <v/>
      </c>
      <c r="AE83" s="25">
        <f t="shared" si="21"/>
        <v>0</v>
      </c>
    </row>
    <row r="84" spans="1:31" ht="25.5" customHeight="1">
      <c r="A84" s="17" t="str">
        <f>IF($F84="","",COUNTIF($F$6:$F84,"订单头"))</f>
        <v/>
      </c>
      <c r="B84" s="6"/>
      <c r="C84" s="11"/>
      <c r="D84" s="6"/>
      <c r="E84" s="6"/>
      <c r="F84" s="6"/>
      <c r="G84" s="20" t="str">
        <f t="shared" si="18"/>
        <v/>
      </c>
      <c r="H84" s="6"/>
      <c r="I84" s="20" t="str">
        <f>IF($F84="组件","C"&amp;TEXT(COUNTIFS($A$6:$A84,$A84,$F$6:$F84,"组件"),"000"),"")</f>
        <v/>
      </c>
      <c r="J84" s="6" t="str">
        <f t="shared" si="19"/>
        <v/>
      </c>
      <c r="K84" s="6"/>
      <c r="L84" s="6"/>
      <c r="M84" s="6"/>
      <c r="N84" s="6"/>
      <c r="O84" s="6"/>
      <c r="P84" s="14"/>
      <c r="Q84" s="14"/>
      <c r="R84" s="23" t="str">
        <f>IF(OR($F84="",$F84="订单头"),"",IF(AND($F84="零件",$J84&lt;&gt;""),IFERROR(SUMIFS($R$6:$R83,$A$6:$A83,$A84,$I$6:$I83,$J84)*IF($Q84="",1,$Q84),""),IF($P84="","",$P84*IF($Q84="",1,$Q84))))</f>
        <v/>
      </c>
      <c r="S84" s="6"/>
      <c r="T84" s="6"/>
      <c r="U84" s="6"/>
      <c r="V84" s="11"/>
      <c r="W84" s="7"/>
      <c r="X84" s="25" t="str">
        <f t="shared" si="22"/>
        <v/>
      </c>
      <c r="Y84" s="25" t="str">
        <f t="shared" si="20"/>
        <v/>
      </c>
      <c r="Z84" s="25" t="str">
        <f>IF(AND($F84="零件",$J84&lt;&gt;""),COUNTIFS($A$6:$A84,$A84,$J$6:$J84,$J84,$F$6:$F84,"零件"),"")</f>
        <v/>
      </c>
      <c r="AA84" s="25" t="str">
        <f t="shared" si="23"/>
        <v/>
      </c>
      <c r="AB84" s="25" t="str">
        <f t="shared" si="24"/>
        <v/>
      </c>
      <c r="AC84" s="25" t="str">
        <f t="shared" si="25"/>
        <v/>
      </c>
      <c r="AD84" s="25" t="str">
        <f t="shared" si="26"/>
        <v/>
      </c>
      <c r="AE84" s="25">
        <f t="shared" si="21"/>
        <v>0</v>
      </c>
    </row>
    <row r="85" spans="1:31" ht="25.5" customHeight="1">
      <c r="A85" s="17" t="str">
        <f>IF($F85="","",COUNTIF($F$6:$F85,"订单头"))</f>
        <v/>
      </c>
      <c r="B85" s="6"/>
      <c r="C85" s="11"/>
      <c r="D85" s="6"/>
      <c r="E85" s="6"/>
      <c r="F85" s="6"/>
      <c r="G85" s="20" t="str">
        <f t="shared" si="18"/>
        <v/>
      </c>
      <c r="H85" s="6"/>
      <c r="I85" s="20" t="str">
        <f>IF($F85="组件","C"&amp;TEXT(COUNTIFS($A$6:$A85,$A85,$F$6:$F85,"组件"),"000"),"")</f>
        <v/>
      </c>
      <c r="J85" s="6" t="str">
        <f t="shared" si="19"/>
        <v/>
      </c>
      <c r="K85" s="6"/>
      <c r="L85" s="6"/>
      <c r="M85" s="6"/>
      <c r="N85" s="6"/>
      <c r="O85" s="6"/>
      <c r="P85" s="14"/>
      <c r="Q85" s="14"/>
      <c r="R85" s="23" t="str">
        <f>IF(OR($F85="",$F85="订单头"),"",IF(AND($F85="零件",$J85&lt;&gt;""),IFERROR(SUMIFS($R$6:$R84,$A$6:$A84,$A85,$I$6:$I84,$J85)*IF($Q85="",1,$Q85),""),IF($P85="","",$P85*IF($Q85="",1,$Q85))))</f>
        <v/>
      </c>
      <c r="S85" s="6"/>
      <c r="T85" s="6"/>
      <c r="U85" s="6"/>
      <c r="V85" s="11"/>
      <c r="W85" s="7"/>
      <c r="X85" s="25" t="str">
        <f t="shared" si="22"/>
        <v/>
      </c>
      <c r="Y85" s="25" t="str">
        <f t="shared" si="20"/>
        <v/>
      </c>
      <c r="Z85" s="25" t="str">
        <f>IF(AND($F85="零件",$J85&lt;&gt;""),COUNTIFS($A$6:$A85,$A85,$J$6:$J85,$J85,$F$6:$F85,"零件"),"")</f>
        <v/>
      </c>
      <c r="AA85" s="25" t="str">
        <f t="shared" si="23"/>
        <v/>
      </c>
      <c r="AB85" s="25" t="str">
        <f t="shared" si="24"/>
        <v/>
      </c>
      <c r="AC85" s="25" t="str">
        <f t="shared" si="25"/>
        <v/>
      </c>
      <c r="AD85" s="25" t="str">
        <f t="shared" si="26"/>
        <v/>
      </c>
      <c r="AE85" s="25">
        <f t="shared" si="21"/>
        <v>0</v>
      </c>
    </row>
    <row r="86" spans="1:31" ht="25.5" customHeight="1">
      <c r="A86" s="17" t="str">
        <f>IF($F86="","",COUNTIF($F$6:$F86,"订单头"))</f>
        <v/>
      </c>
      <c r="B86" s="6"/>
      <c r="C86" s="11"/>
      <c r="D86" s="6"/>
      <c r="E86" s="6"/>
      <c r="F86" s="6"/>
      <c r="G86" s="20" t="str">
        <f t="shared" si="18"/>
        <v/>
      </c>
      <c r="H86" s="6"/>
      <c r="I86" s="20" t="str">
        <f>IF($F86="组件","C"&amp;TEXT(COUNTIFS($A$6:$A86,$A86,$F$6:$F86,"组件"),"000"),"")</f>
        <v/>
      </c>
      <c r="J86" s="6" t="str">
        <f t="shared" si="19"/>
        <v/>
      </c>
      <c r="K86" s="6"/>
      <c r="L86" s="6"/>
      <c r="M86" s="6"/>
      <c r="N86" s="6"/>
      <c r="O86" s="6"/>
      <c r="P86" s="14"/>
      <c r="Q86" s="14"/>
      <c r="R86" s="23" t="str">
        <f>IF(OR($F86="",$F86="订单头"),"",IF(AND($F86="零件",$J86&lt;&gt;""),IFERROR(SUMIFS($R$6:$R85,$A$6:$A85,$A86,$I$6:$I85,$J86)*IF($Q86="",1,$Q86),""),IF($P86="","",$P86*IF($Q86="",1,$Q86))))</f>
        <v/>
      </c>
      <c r="S86" s="6"/>
      <c r="T86" s="6"/>
      <c r="U86" s="6"/>
      <c r="V86" s="11"/>
      <c r="W86" s="7"/>
      <c r="X86" s="25" t="str">
        <f t="shared" si="22"/>
        <v/>
      </c>
      <c r="Y86" s="25" t="str">
        <f t="shared" si="20"/>
        <v/>
      </c>
      <c r="Z86" s="25" t="str">
        <f>IF(AND($F86="零件",$J86&lt;&gt;""),COUNTIFS($A$6:$A86,$A86,$J$6:$J86,$J86,$F$6:$F86,"零件"),"")</f>
        <v/>
      </c>
      <c r="AA86" s="25" t="str">
        <f t="shared" si="23"/>
        <v/>
      </c>
      <c r="AB86" s="25" t="str">
        <f t="shared" si="24"/>
        <v/>
      </c>
      <c r="AC86" s="25" t="str">
        <f t="shared" si="25"/>
        <v/>
      </c>
      <c r="AD86" s="25" t="str">
        <f t="shared" si="26"/>
        <v/>
      </c>
      <c r="AE86" s="25">
        <f t="shared" si="21"/>
        <v>0</v>
      </c>
    </row>
    <row r="87" spans="1:31" ht="25.5" customHeight="1">
      <c r="A87" s="17" t="str">
        <f>IF($F87="","",COUNTIF($F$6:$F87,"订单头"))</f>
        <v/>
      </c>
      <c r="B87" s="6"/>
      <c r="C87" s="11"/>
      <c r="D87" s="6"/>
      <c r="E87" s="6"/>
      <c r="F87" s="6"/>
      <c r="G87" s="20" t="str">
        <f t="shared" si="18"/>
        <v/>
      </c>
      <c r="H87" s="6"/>
      <c r="I87" s="20" t="str">
        <f>IF($F87="组件","C"&amp;TEXT(COUNTIFS($A$6:$A87,$A87,$F$6:$F87,"组件"),"000"),"")</f>
        <v/>
      </c>
      <c r="J87" s="6" t="str">
        <f t="shared" si="19"/>
        <v/>
      </c>
      <c r="K87" s="6"/>
      <c r="L87" s="6"/>
      <c r="M87" s="6"/>
      <c r="N87" s="6"/>
      <c r="O87" s="6"/>
      <c r="P87" s="14"/>
      <c r="Q87" s="14"/>
      <c r="R87" s="23" t="str">
        <f>IF(OR($F87="",$F87="订单头"),"",IF(AND($F87="零件",$J87&lt;&gt;""),IFERROR(SUMIFS($R$6:$R86,$A$6:$A86,$A87,$I$6:$I86,$J87)*IF($Q87="",1,$Q87),""),IF($P87="","",$P87*IF($Q87="",1,$Q87))))</f>
        <v/>
      </c>
      <c r="S87" s="6"/>
      <c r="T87" s="6"/>
      <c r="U87" s="6"/>
      <c r="V87" s="11"/>
      <c r="W87" s="7"/>
      <c r="X87" s="25" t="str">
        <f t="shared" si="22"/>
        <v/>
      </c>
      <c r="Y87" s="25" t="str">
        <f t="shared" si="20"/>
        <v/>
      </c>
      <c r="Z87" s="25" t="str">
        <f>IF(AND($F87="零件",$J87&lt;&gt;""),COUNTIFS($A$6:$A87,$A87,$J$6:$J87,$J87,$F$6:$F87,"零件"),"")</f>
        <v/>
      </c>
      <c r="AA87" s="25" t="str">
        <f t="shared" si="23"/>
        <v/>
      </c>
      <c r="AB87" s="25" t="str">
        <f t="shared" si="24"/>
        <v/>
      </c>
      <c r="AC87" s="25" t="str">
        <f t="shared" si="25"/>
        <v/>
      </c>
      <c r="AD87" s="25" t="str">
        <f t="shared" si="26"/>
        <v/>
      </c>
      <c r="AE87" s="25">
        <f t="shared" si="21"/>
        <v>0</v>
      </c>
    </row>
    <row r="88" spans="1:31" ht="25.5" customHeight="1">
      <c r="A88" s="17" t="str">
        <f>IF($F88="","",COUNTIF($F$6:$F88,"订单头"))</f>
        <v/>
      </c>
      <c r="B88" s="6"/>
      <c r="C88" s="11"/>
      <c r="D88" s="6"/>
      <c r="E88" s="6"/>
      <c r="F88" s="6"/>
      <c r="G88" s="20" t="str">
        <f t="shared" si="18"/>
        <v/>
      </c>
      <c r="H88" s="6"/>
      <c r="I88" s="20" t="str">
        <f>IF($F88="组件","C"&amp;TEXT(COUNTIFS($A$6:$A88,$A88,$F$6:$F88,"组件"),"000"),"")</f>
        <v/>
      </c>
      <c r="J88" s="6" t="str">
        <f t="shared" si="19"/>
        <v/>
      </c>
      <c r="K88" s="6"/>
      <c r="L88" s="6"/>
      <c r="M88" s="6"/>
      <c r="N88" s="6"/>
      <c r="O88" s="6"/>
      <c r="P88" s="14"/>
      <c r="Q88" s="14"/>
      <c r="R88" s="23" t="str">
        <f>IF(OR($F88="",$F88="订单头"),"",IF(AND($F88="零件",$J88&lt;&gt;""),IFERROR(SUMIFS($R$6:$R87,$A$6:$A87,$A88,$I$6:$I87,$J88)*IF($Q88="",1,$Q88),""),IF($P88="","",$P88*IF($Q88="",1,$Q88))))</f>
        <v/>
      </c>
      <c r="S88" s="6"/>
      <c r="T88" s="6"/>
      <c r="U88" s="6"/>
      <c r="V88" s="11"/>
      <c r="W88" s="7"/>
      <c r="X88" s="25" t="str">
        <f t="shared" si="22"/>
        <v/>
      </c>
      <c r="Y88" s="25" t="str">
        <f t="shared" si="20"/>
        <v/>
      </c>
      <c r="Z88" s="25" t="str">
        <f>IF(AND($F88="零件",$J88&lt;&gt;""),COUNTIFS($A$6:$A88,$A88,$J$6:$J88,$J88,$F$6:$F88,"零件"),"")</f>
        <v/>
      </c>
      <c r="AA88" s="25" t="str">
        <f t="shared" si="23"/>
        <v/>
      </c>
      <c r="AB88" s="25" t="str">
        <f t="shared" si="24"/>
        <v/>
      </c>
      <c r="AC88" s="25" t="str">
        <f t="shared" si="25"/>
        <v/>
      </c>
      <c r="AD88" s="25" t="str">
        <f t="shared" si="26"/>
        <v/>
      </c>
      <c r="AE88" s="25">
        <f t="shared" si="21"/>
        <v>0</v>
      </c>
    </row>
    <row r="89" spans="1:31" ht="25.5" customHeight="1">
      <c r="A89" s="17" t="str">
        <f>IF($F89="","",COUNTIF($F$6:$F89,"订单头"))</f>
        <v/>
      </c>
      <c r="B89" s="6"/>
      <c r="C89" s="11"/>
      <c r="D89" s="6"/>
      <c r="E89" s="6"/>
      <c r="F89" s="6"/>
      <c r="G89" s="20" t="str">
        <f t="shared" si="18"/>
        <v/>
      </c>
      <c r="H89" s="6"/>
      <c r="I89" s="20" t="str">
        <f>IF($F89="组件","C"&amp;TEXT(COUNTIFS($A$6:$A89,$A89,$F$6:$F89,"组件"),"000"),"")</f>
        <v/>
      </c>
      <c r="J89" s="6" t="str">
        <f t="shared" si="19"/>
        <v/>
      </c>
      <c r="K89" s="6"/>
      <c r="L89" s="6"/>
      <c r="M89" s="6"/>
      <c r="N89" s="6"/>
      <c r="O89" s="6"/>
      <c r="P89" s="14"/>
      <c r="Q89" s="14"/>
      <c r="R89" s="23" t="str">
        <f>IF(OR($F89="",$F89="订单头"),"",IF(AND($F89="零件",$J89&lt;&gt;""),IFERROR(SUMIFS($R$6:$R88,$A$6:$A88,$A89,$I$6:$I88,$J89)*IF($Q89="",1,$Q89),""),IF($P89="","",$P89*IF($Q89="",1,$Q89))))</f>
        <v/>
      </c>
      <c r="S89" s="6"/>
      <c r="T89" s="6"/>
      <c r="U89" s="6"/>
      <c r="V89" s="11"/>
      <c r="W89" s="7"/>
      <c r="X89" s="25" t="str">
        <f t="shared" si="22"/>
        <v/>
      </c>
      <c r="Y89" s="25" t="str">
        <f t="shared" si="20"/>
        <v/>
      </c>
      <c r="Z89" s="25" t="str">
        <f>IF(AND($F89="零件",$J89&lt;&gt;""),COUNTIFS($A$6:$A89,$A89,$J$6:$J89,$J89,$F$6:$F89,"零件"),"")</f>
        <v/>
      </c>
      <c r="AA89" s="25" t="str">
        <f t="shared" si="23"/>
        <v/>
      </c>
      <c r="AB89" s="25" t="str">
        <f t="shared" si="24"/>
        <v/>
      </c>
      <c r="AC89" s="25" t="str">
        <f t="shared" si="25"/>
        <v/>
      </c>
      <c r="AD89" s="25" t="str">
        <f t="shared" si="26"/>
        <v/>
      </c>
      <c r="AE89" s="25">
        <f t="shared" si="21"/>
        <v>0</v>
      </c>
    </row>
    <row r="90" spans="1:31" ht="25.5" customHeight="1">
      <c r="A90" s="17" t="str">
        <f>IF($F90="","",COUNTIF($F$6:$F90,"订单头"))</f>
        <v/>
      </c>
      <c r="B90" s="6"/>
      <c r="C90" s="11"/>
      <c r="D90" s="6"/>
      <c r="E90" s="6"/>
      <c r="F90" s="6"/>
      <c r="G90" s="20" t="str">
        <f t="shared" si="18"/>
        <v/>
      </c>
      <c r="H90" s="6"/>
      <c r="I90" s="20" t="str">
        <f>IF($F90="组件","C"&amp;TEXT(COUNTIFS($A$6:$A90,$A90,$F$6:$F90,"组件"),"000"),"")</f>
        <v/>
      </c>
      <c r="J90" s="6" t="str">
        <f t="shared" si="19"/>
        <v/>
      </c>
      <c r="K90" s="6"/>
      <c r="L90" s="6"/>
      <c r="M90" s="6"/>
      <c r="N90" s="6"/>
      <c r="O90" s="6"/>
      <c r="P90" s="14"/>
      <c r="Q90" s="14"/>
      <c r="R90" s="23" t="str">
        <f>IF(OR($F90="",$F90="订单头"),"",IF(AND($F90="零件",$J90&lt;&gt;""),IFERROR(SUMIFS($R$6:$R89,$A$6:$A89,$A90,$I$6:$I89,$J90)*IF($Q90="",1,$Q90),""),IF($P90="","",$P90*IF($Q90="",1,$Q90))))</f>
        <v/>
      </c>
      <c r="S90" s="6"/>
      <c r="T90" s="6"/>
      <c r="U90" s="6"/>
      <c r="V90" s="11"/>
      <c r="W90" s="7"/>
      <c r="X90" s="25" t="str">
        <f t="shared" si="22"/>
        <v/>
      </c>
      <c r="Y90" s="25" t="str">
        <f t="shared" si="20"/>
        <v/>
      </c>
      <c r="Z90" s="25" t="str">
        <f>IF(AND($F90="零件",$J90&lt;&gt;""),COUNTIFS($A$6:$A90,$A90,$J$6:$J90,$J90,$F$6:$F90,"零件"),"")</f>
        <v/>
      </c>
      <c r="AA90" s="25" t="str">
        <f t="shared" si="23"/>
        <v/>
      </c>
      <c r="AB90" s="25" t="str">
        <f t="shared" si="24"/>
        <v/>
      </c>
      <c r="AC90" s="25" t="str">
        <f t="shared" si="25"/>
        <v/>
      </c>
      <c r="AD90" s="25" t="str">
        <f t="shared" si="26"/>
        <v/>
      </c>
      <c r="AE90" s="25">
        <f t="shared" si="21"/>
        <v>0</v>
      </c>
    </row>
    <row r="91" spans="1:31" ht="25.5" customHeight="1">
      <c r="A91" s="17" t="str">
        <f>IF($F91="","",COUNTIF($F$6:$F91,"订单头"))</f>
        <v/>
      </c>
      <c r="B91" s="6"/>
      <c r="C91" s="11"/>
      <c r="D91" s="6"/>
      <c r="E91" s="6"/>
      <c r="F91" s="6"/>
      <c r="G91" s="20" t="str">
        <f t="shared" si="18"/>
        <v/>
      </c>
      <c r="H91" s="6"/>
      <c r="I91" s="20" t="str">
        <f>IF($F91="组件","C"&amp;TEXT(COUNTIFS($A$6:$A91,$A91,$F$6:$F91,"组件"),"000"),"")</f>
        <v/>
      </c>
      <c r="J91" s="6" t="str">
        <f t="shared" si="19"/>
        <v/>
      </c>
      <c r="K91" s="6"/>
      <c r="L91" s="6"/>
      <c r="M91" s="6"/>
      <c r="N91" s="6"/>
      <c r="O91" s="6"/>
      <c r="P91" s="14"/>
      <c r="Q91" s="14"/>
      <c r="R91" s="23" t="str">
        <f>IF(OR($F91="",$F91="订单头"),"",IF(AND($F91="零件",$J91&lt;&gt;""),IFERROR(SUMIFS($R$6:$R90,$A$6:$A90,$A91,$I$6:$I90,$J91)*IF($Q91="",1,$Q91),""),IF($P91="","",$P91*IF($Q91="",1,$Q91))))</f>
        <v/>
      </c>
      <c r="S91" s="6"/>
      <c r="T91" s="6"/>
      <c r="U91" s="6"/>
      <c r="V91" s="11"/>
      <c r="W91" s="7"/>
      <c r="X91" s="25" t="str">
        <f t="shared" si="22"/>
        <v/>
      </c>
      <c r="Y91" s="25" t="str">
        <f t="shared" si="20"/>
        <v/>
      </c>
      <c r="Z91" s="25" t="str">
        <f>IF(AND($F91="零件",$J91&lt;&gt;""),COUNTIFS($A$6:$A91,$A91,$J$6:$J91,$J91,$F$6:$F91,"零件"),"")</f>
        <v/>
      </c>
      <c r="AA91" s="25" t="str">
        <f t="shared" si="23"/>
        <v/>
      </c>
      <c r="AB91" s="25" t="str">
        <f t="shared" si="24"/>
        <v/>
      </c>
      <c r="AC91" s="25" t="str">
        <f t="shared" si="25"/>
        <v/>
      </c>
      <c r="AD91" s="25" t="str">
        <f t="shared" si="26"/>
        <v/>
      </c>
      <c r="AE91" s="25">
        <f t="shared" si="21"/>
        <v>0</v>
      </c>
    </row>
    <row r="92" spans="1:31" ht="25.5" customHeight="1">
      <c r="A92" s="17" t="str">
        <f>IF($F92="","",COUNTIF($F$6:$F92,"订单头"))</f>
        <v/>
      </c>
      <c r="B92" s="6"/>
      <c r="C92" s="11"/>
      <c r="D92" s="6"/>
      <c r="E92" s="6"/>
      <c r="F92" s="6"/>
      <c r="G92" s="20" t="str">
        <f t="shared" si="18"/>
        <v/>
      </c>
      <c r="H92" s="6"/>
      <c r="I92" s="20" t="str">
        <f>IF($F92="组件","C"&amp;TEXT(COUNTIFS($A$6:$A92,$A92,$F$6:$F92,"组件"),"000"),"")</f>
        <v/>
      </c>
      <c r="J92" s="6" t="str">
        <f t="shared" si="19"/>
        <v/>
      </c>
      <c r="K92" s="6"/>
      <c r="L92" s="6"/>
      <c r="M92" s="6"/>
      <c r="N92" s="6"/>
      <c r="O92" s="6"/>
      <c r="P92" s="14"/>
      <c r="Q92" s="14"/>
      <c r="R92" s="23" t="str">
        <f>IF(OR($F92="",$F92="订单头"),"",IF(AND($F92="零件",$J92&lt;&gt;""),IFERROR(SUMIFS($R$6:$R91,$A$6:$A91,$A92,$I$6:$I91,$J92)*IF($Q92="",1,$Q92),""),IF($P92="","",$P92*IF($Q92="",1,$Q92))))</f>
        <v/>
      </c>
      <c r="S92" s="6"/>
      <c r="T92" s="6"/>
      <c r="U92" s="6"/>
      <c r="V92" s="11"/>
      <c r="W92" s="7"/>
      <c r="X92" s="25" t="str">
        <f t="shared" si="22"/>
        <v/>
      </c>
      <c r="Y92" s="25" t="str">
        <f t="shared" si="20"/>
        <v/>
      </c>
      <c r="Z92" s="25" t="str">
        <f>IF(AND($F92="零件",$J92&lt;&gt;""),COUNTIFS($A$6:$A92,$A92,$J$6:$J92,$J92,$F$6:$F92,"零件"),"")</f>
        <v/>
      </c>
      <c r="AA92" s="25" t="str">
        <f t="shared" si="23"/>
        <v/>
      </c>
      <c r="AB92" s="25" t="str">
        <f t="shared" si="24"/>
        <v/>
      </c>
      <c r="AC92" s="25" t="str">
        <f t="shared" si="25"/>
        <v/>
      </c>
      <c r="AD92" s="25" t="str">
        <f t="shared" si="26"/>
        <v/>
      </c>
      <c r="AE92" s="25">
        <f t="shared" si="21"/>
        <v>0</v>
      </c>
    </row>
    <row r="93" spans="1:31" ht="25.5" customHeight="1">
      <c r="A93" s="17" t="str">
        <f>IF($F93="","",COUNTIF($F$6:$F93,"订单头"))</f>
        <v/>
      </c>
      <c r="B93" s="6"/>
      <c r="C93" s="11"/>
      <c r="D93" s="6"/>
      <c r="E93" s="6"/>
      <c r="F93" s="6"/>
      <c r="G93" s="20" t="str">
        <f t="shared" si="18"/>
        <v/>
      </c>
      <c r="H93" s="6"/>
      <c r="I93" s="20" t="str">
        <f>IF($F93="组件","C"&amp;TEXT(COUNTIFS($A$6:$A93,$A93,$F$6:$F93,"组件"),"000"),"")</f>
        <v/>
      </c>
      <c r="J93" s="6" t="str">
        <f t="shared" si="19"/>
        <v/>
      </c>
      <c r="K93" s="6"/>
      <c r="L93" s="6"/>
      <c r="M93" s="6"/>
      <c r="N93" s="6"/>
      <c r="O93" s="6"/>
      <c r="P93" s="14"/>
      <c r="Q93" s="14"/>
      <c r="R93" s="23" t="str">
        <f>IF(OR($F93="",$F93="订单头"),"",IF(AND($F93="零件",$J93&lt;&gt;""),IFERROR(SUMIFS($R$6:$R92,$A$6:$A92,$A93,$I$6:$I92,$J93)*IF($Q93="",1,$Q93),""),IF($P93="","",$P93*IF($Q93="",1,$Q93))))</f>
        <v/>
      </c>
      <c r="S93" s="6"/>
      <c r="T93" s="6"/>
      <c r="U93" s="6"/>
      <c r="V93" s="11"/>
      <c r="W93" s="7"/>
      <c r="X93" s="25" t="str">
        <f t="shared" si="22"/>
        <v/>
      </c>
      <c r="Y93" s="25" t="str">
        <f t="shared" si="20"/>
        <v/>
      </c>
      <c r="Z93" s="25" t="str">
        <f>IF(AND($F93="零件",$J93&lt;&gt;""),COUNTIFS($A$6:$A93,$A93,$J$6:$J93,$J93,$F$6:$F93,"零件"),"")</f>
        <v/>
      </c>
      <c r="AA93" s="25" t="str">
        <f t="shared" si="23"/>
        <v/>
      </c>
      <c r="AB93" s="25" t="str">
        <f t="shared" si="24"/>
        <v/>
      </c>
      <c r="AC93" s="25" t="str">
        <f t="shared" si="25"/>
        <v/>
      </c>
      <c r="AD93" s="25" t="str">
        <f t="shared" si="26"/>
        <v/>
      </c>
      <c r="AE93" s="25">
        <f t="shared" si="21"/>
        <v>0</v>
      </c>
    </row>
    <row r="94" spans="1:31" ht="25.5" customHeight="1">
      <c r="A94" s="17" t="str">
        <f>IF($F94="","",COUNTIF($F$6:$F94,"订单头"))</f>
        <v/>
      </c>
      <c r="B94" s="6"/>
      <c r="C94" s="11"/>
      <c r="D94" s="6"/>
      <c r="E94" s="6"/>
      <c r="F94" s="6"/>
      <c r="G94" s="20" t="str">
        <f t="shared" si="18"/>
        <v/>
      </c>
      <c r="H94" s="6"/>
      <c r="I94" s="20" t="str">
        <f>IF($F94="组件","C"&amp;TEXT(COUNTIFS($A$6:$A94,$A94,$F$6:$F94,"组件"),"000"),"")</f>
        <v/>
      </c>
      <c r="J94" s="6" t="str">
        <f t="shared" si="19"/>
        <v/>
      </c>
      <c r="K94" s="6"/>
      <c r="L94" s="6"/>
      <c r="M94" s="6"/>
      <c r="N94" s="6"/>
      <c r="O94" s="6"/>
      <c r="P94" s="14"/>
      <c r="Q94" s="14"/>
      <c r="R94" s="23" t="str">
        <f>IF(OR($F94="",$F94="订单头"),"",IF(AND($F94="零件",$J94&lt;&gt;""),IFERROR(SUMIFS($R$6:$R93,$A$6:$A93,$A94,$I$6:$I93,$J94)*IF($Q94="",1,$Q94),""),IF($P94="","",$P94*IF($Q94="",1,$Q94))))</f>
        <v/>
      </c>
      <c r="S94" s="6"/>
      <c r="T94" s="6"/>
      <c r="U94" s="6"/>
      <c r="V94" s="11"/>
      <c r="W94" s="7"/>
      <c r="X94" s="25" t="str">
        <f t="shared" si="22"/>
        <v/>
      </c>
      <c r="Y94" s="25" t="str">
        <f t="shared" si="20"/>
        <v/>
      </c>
      <c r="Z94" s="25" t="str">
        <f>IF(AND($F94="零件",$J94&lt;&gt;""),COUNTIFS($A$6:$A94,$A94,$J$6:$J94,$J94,$F$6:$F94,"零件"),"")</f>
        <v/>
      </c>
      <c r="AA94" s="25" t="str">
        <f t="shared" si="23"/>
        <v/>
      </c>
      <c r="AB94" s="25" t="str">
        <f t="shared" si="24"/>
        <v/>
      </c>
      <c r="AC94" s="25" t="str">
        <f t="shared" si="25"/>
        <v/>
      </c>
      <c r="AD94" s="25" t="str">
        <f t="shared" si="26"/>
        <v/>
      </c>
      <c r="AE94" s="25">
        <f t="shared" si="21"/>
        <v>0</v>
      </c>
    </row>
    <row r="95" spans="1:31" ht="25.5" customHeight="1">
      <c r="A95" s="17" t="str">
        <f>IF($F95="","",COUNTIF($F$6:$F95,"订单头"))</f>
        <v/>
      </c>
      <c r="B95" s="6"/>
      <c r="C95" s="11"/>
      <c r="D95" s="6"/>
      <c r="E95" s="6"/>
      <c r="F95" s="6"/>
      <c r="G95" s="20" t="str">
        <f t="shared" si="18"/>
        <v/>
      </c>
      <c r="H95" s="6"/>
      <c r="I95" s="20" t="str">
        <f>IF($F95="组件","C"&amp;TEXT(COUNTIFS($A$6:$A95,$A95,$F$6:$F95,"组件"),"000"),"")</f>
        <v/>
      </c>
      <c r="J95" s="6" t="str">
        <f t="shared" si="19"/>
        <v/>
      </c>
      <c r="K95" s="6"/>
      <c r="L95" s="6"/>
      <c r="M95" s="6"/>
      <c r="N95" s="6"/>
      <c r="O95" s="6"/>
      <c r="P95" s="14"/>
      <c r="Q95" s="14"/>
      <c r="R95" s="23" t="str">
        <f>IF(OR($F95="",$F95="订单头"),"",IF(AND($F95="零件",$J95&lt;&gt;""),IFERROR(SUMIFS($R$6:$R94,$A$6:$A94,$A95,$I$6:$I94,$J95)*IF($Q95="",1,$Q95),""),IF($P95="","",$P95*IF($Q95="",1,$Q95))))</f>
        <v/>
      </c>
      <c r="S95" s="6"/>
      <c r="T95" s="6"/>
      <c r="U95" s="6"/>
      <c r="V95" s="11"/>
      <c r="W95" s="7"/>
      <c r="X95" s="25" t="str">
        <f t="shared" si="22"/>
        <v/>
      </c>
      <c r="Y95" s="25" t="str">
        <f t="shared" si="20"/>
        <v/>
      </c>
      <c r="Z95" s="25" t="str">
        <f>IF(AND($F95="零件",$J95&lt;&gt;""),COUNTIFS($A$6:$A95,$A95,$J$6:$J95,$J95,$F$6:$F95,"零件"),"")</f>
        <v/>
      </c>
      <c r="AA95" s="25" t="str">
        <f t="shared" si="23"/>
        <v/>
      </c>
      <c r="AB95" s="25" t="str">
        <f t="shared" si="24"/>
        <v/>
      </c>
      <c r="AC95" s="25" t="str">
        <f t="shared" si="25"/>
        <v/>
      </c>
      <c r="AD95" s="25" t="str">
        <f t="shared" si="26"/>
        <v/>
      </c>
      <c r="AE95" s="25">
        <f t="shared" si="21"/>
        <v>0</v>
      </c>
    </row>
    <row r="96" spans="1:31" ht="25.5" customHeight="1">
      <c r="A96" s="17" t="str">
        <f>IF($F96="","",COUNTIF($F$6:$F96,"订单头"))</f>
        <v/>
      </c>
      <c r="B96" s="6"/>
      <c r="C96" s="11"/>
      <c r="D96" s="6"/>
      <c r="E96" s="6"/>
      <c r="F96" s="6"/>
      <c r="G96" s="20" t="str">
        <f t="shared" si="18"/>
        <v/>
      </c>
      <c r="H96" s="6"/>
      <c r="I96" s="20" t="str">
        <f>IF($F96="组件","C"&amp;TEXT(COUNTIFS($A$6:$A96,$A96,$F$6:$F96,"组件"),"000"),"")</f>
        <v/>
      </c>
      <c r="J96" s="6" t="str">
        <f t="shared" si="19"/>
        <v/>
      </c>
      <c r="K96" s="6"/>
      <c r="L96" s="6"/>
      <c r="M96" s="6"/>
      <c r="N96" s="6"/>
      <c r="O96" s="6"/>
      <c r="P96" s="14"/>
      <c r="Q96" s="14"/>
      <c r="R96" s="23" t="str">
        <f>IF(OR($F96="",$F96="订单头"),"",IF(AND($F96="零件",$J96&lt;&gt;""),IFERROR(SUMIFS($R$6:$R95,$A$6:$A95,$A96,$I$6:$I95,$J96)*IF($Q96="",1,$Q96),""),IF($P96="","",$P96*IF($Q96="",1,$Q96))))</f>
        <v/>
      </c>
      <c r="S96" s="6"/>
      <c r="T96" s="6"/>
      <c r="U96" s="6"/>
      <c r="V96" s="11"/>
      <c r="W96" s="7"/>
      <c r="X96" s="25" t="str">
        <f t="shared" si="22"/>
        <v/>
      </c>
      <c r="Y96" s="25" t="str">
        <f t="shared" si="20"/>
        <v/>
      </c>
      <c r="Z96" s="25" t="str">
        <f>IF(AND($F96="零件",$J96&lt;&gt;""),COUNTIFS($A$6:$A96,$A96,$J$6:$J96,$J96,$F$6:$F96,"零件"),"")</f>
        <v/>
      </c>
      <c r="AA96" s="25" t="str">
        <f t="shared" si="23"/>
        <v/>
      </c>
      <c r="AB96" s="25" t="str">
        <f t="shared" si="24"/>
        <v/>
      </c>
      <c r="AC96" s="25" t="str">
        <f t="shared" si="25"/>
        <v/>
      </c>
      <c r="AD96" s="25" t="str">
        <f t="shared" si="26"/>
        <v/>
      </c>
      <c r="AE96" s="25">
        <f t="shared" si="21"/>
        <v>0</v>
      </c>
    </row>
    <row r="97" spans="1:31" ht="25.5" customHeight="1">
      <c r="A97" s="17" t="str">
        <f>IF($F97="","",COUNTIF($F$6:$F97,"订单头"))</f>
        <v/>
      </c>
      <c r="B97" s="6"/>
      <c r="C97" s="11"/>
      <c r="D97" s="6"/>
      <c r="E97" s="6"/>
      <c r="F97" s="6"/>
      <c r="G97" s="20" t="str">
        <f t="shared" si="18"/>
        <v/>
      </c>
      <c r="H97" s="6"/>
      <c r="I97" s="20" t="str">
        <f>IF($F97="组件","C"&amp;TEXT(COUNTIFS($A$6:$A97,$A97,$F$6:$F97,"组件"),"000"),"")</f>
        <v/>
      </c>
      <c r="J97" s="6" t="str">
        <f t="shared" si="19"/>
        <v/>
      </c>
      <c r="K97" s="6"/>
      <c r="L97" s="6"/>
      <c r="M97" s="6"/>
      <c r="N97" s="6"/>
      <c r="O97" s="6"/>
      <c r="P97" s="14"/>
      <c r="Q97" s="14"/>
      <c r="R97" s="23" t="str">
        <f>IF(OR($F97="",$F97="订单头"),"",IF(AND($F97="零件",$J97&lt;&gt;""),IFERROR(SUMIFS($R$6:$R96,$A$6:$A96,$A97,$I$6:$I96,$J97)*IF($Q97="",1,$Q97),""),IF($P97="","",$P97*IF($Q97="",1,$Q97))))</f>
        <v/>
      </c>
      <c r="S97" s="6"/>
      <c r="T97" s="6"/>
      <c r="U97" s="6"/>
      <c r="V97" s="11"/>
      <c r="W97" s="7"/>
      <c r="X97" s="25" t="str">
        <f t="shared" si="22"/>
        <v/>
      </c>
      <c r="Y97" s="25" t="str">
        <f t="shared" si="20"/>
        <v/>
      </c>
      <c r="Z97" s="25" t="str">
        <f>IF(AND($F97="零件",$J97&lt;&gt;""),COUNTIFS($A$6:$A97,$A97,$J$6:$J97,$J97,$F$6:$F97,"零件"),"")</f>
        <v/>
      </c>
      <c r="AA97" s="25" t="str">
        <f t="shared" si="23"/>
        <v/>
      </c>
      <c r="AB97" s="25" t="str">
        <f t="shared" si="24"/>
        <v/>
      </c>
      <c r="AC97" s="25" t="str">
        <f t="shared" si="25"/>
        <v/>
      </c>
      <c r="AD97" s="25" t="str">
        <f t="shared" si="26"/>
        <v/>
      </c>
      <c r="AE97" s="25">
        <f t="shared" si="21"/>
        <v>0</v>
      </c>
    </row>
    <row r="98" spans="1:31" ht="25.5" customHeight="1">
      <c r="A98" s="17" t="str">
        <f>IF($F98="","",COUNTIF($F$6:$F98,"订单头"))</f>
        <v/>
      </c>
      <c r="B98" s="6"/>
      <c r="C98" s="11"/>
      <c r="D98" s="6"/>
      <c r="E98" s="6"/>
      <c r="F98" s="6"/>
      <c r="G98" s="20" t="str">
        <f t="shared" si="18"/>
        <v/>
      </c>
      <c r="H98" s="6"/>
      <c r="I98" s="20" t="str">
        <f>IF($F98="组件","C"&amp;TEXT(COUNTIFS($A$6:$A98,$A98,$F$6:$F98,"组件"),"000"),"")</f>
        <v/>
      </c>
      <c r="J98" s="6" t="str">
        <f t="shared" si="19"/>
        <v/>
      </c>
      <c r="K98" s="6"/>
      <c r="L98" s="6"/>
      <c r="M98" s="6"/>
      <c r="N98" s="6"/>
      <c r="O98" s="6"/>
      <c r="P98" s="14"/>
      <c r="Q98" s="14"/>
      <c r="R98" s="23" t="str">
        <f>IF(OR($F98="",$F98="订单头"),"",IF(AND($F98="零件",$J98&lt;&gt;""),IFERROR(SUMIFS($R$6:$R97,$A$6:$A97,$A98,$I$6:$I97,$J98)*IF($Q98="",1,$Q98),""),IF($P98="","",$P98*IF($Q98="",1,$Q98))))</f>
        <v/>
      </c>
      <c r="S98" s="6"/>
      <c r="T98" s="6"/>
      <c r="U98" s="6"/>
      <c r="V98" s="11"/>
      <c r="W98" s="7"/>
      <c r="X98" s="25" t="str">
        <f t="shared" si="22"/>
        <v/>
      </c>
      <c r="Y98" s="25" t="str">
        <f t="shared" si="20"/>
        <v/>
      </c>
      <c r="Z98" s="25" t="str">
        <f>IF(AND($F98="零件",$J98&lt;&gt;""),COUNTIFS($A$6:$A98,$A98,$J$6:$J98,$J98,$F$6:$F98,"零件"),"")</f>
        <v/>
      </c>
      <c r="AA98" s="25" t="str">
        <f t="shared" si="23"/>
        <v/>
      </c>
      <c r="AB98" s="25" t="str">
        <f t="shared" si="24"/>
        <v/>
      </c>
      <c r="AC98" s="25" t="str">
        <f t="shared" si="25"/>
        <v/>
      </c>
      <c r="AD98" s="25" t="str">
        <f t="shared" si="26"/>
        <v/>
      </c>
      <c r="AE98" s="25">
        <f t="shared" si="21"/>
        <v>0</v>
      </c>
    </row>
    <row r="99" spans="1:31" ht="25.5" customHeight="1">
      <c r="A99" s="17" t="str">
        <f>IF($F99="","",COUNTIF($F$6:$F99,"订单头"))</f>
        <v/>
      </c>
      <c r="B99" s="6"/>
      <c r="C99" s="11"/>
      <c r="D99" s="6"/>
      <c r="E99" s="6"/>
      <c r="F99" s="6"/>
      <c r="G99" s="20" t="str">
        <f t="shared" si="18"/>
        <v/>
      </c>
      <c r="H99" s="6"/>
      <c r="I99" s="20" t="str">
        <f>IF($F99="组件","C"&amp;TEXT(COUNTIFS($A$6:$A99,$A99,$F$6:$F99,"组件"),"000"),"")</f>
        <v/>
      </c>
      <c r="J99" s="6" t="str">
        <f t="shared" si="19"/>
        <v/>
      </c>
      <c r="K99" s="6"/>
      <c r="L99" s="6"/>
      <c r="M99" s="6"/>
      <c r="N99" s="6"/>
      <c r="O99" s="6"/>
      <c r="P99" s="14"/>
      <c r="Q99" s="14"/>
      <c r="R99" s="23" t="str">
        <f>IF(OR($F99="",$F99="订单头"),"",IF(AND($F99="零件",$J99&lt;&gt;""),IFERROR(SUMIFS($R$6:$R98,$A$6:$A98,$A99,$I$6:$I98,$J99)*IF($Q99="",1,$Q99),""),IF($P99="","",$P99*IF($Q99="",1,$Q99))))</f>
        <v/>
      </c>
      <c r="S99" s="6"/>
      <c r="T99" s="6"/>
      <c r="U99" s="6"/>
      <c r="V99" s="11"/>
      <c r="W99" s="7"/>
      <c r="X99" s="25" t="str">
        <f t="shared" si="22"/>
        <v/>
      </c>
      <c r="Y99" s="25" t="str">
        <f t="shared" si="20"/>
        <v/>
      </c>
      <c r="Z99" s="25" t="str">
        <f>IF(AND($F99="零件",$J99&lt;&gt;""),COUNTIFS($A$6:$A99,$A99,$J$6:$J99,$J99,$F$6:$F99,"零件"),"")</f>
        <v/>
      </c>
      <c r="AA99" s="25" t="str">
        <f t="shared" si="23"/>
        <v/>
      </c>
      <c r="AB99" s="25" t="str">
        <f t="shared" si="24"/>
        <v/>
      </c>
      <c r="AC99" s="25" t="str">
        <f t="shared" si="25"/>
        <v/>
      </c>
      <c r="AD99" s="25" t="str">
        <f t="shared" si="26"/>
        <v/>
      </c>
      <c r="AE99" s="25">
        <f t="shared" si="21"/>
        <v>0</v>
      </c>
    </row>
    <row r="100" spans="1:31" ht="25.5" customHeight="1">
      <c r="A100" s="17" t="str">
        <f>IF($F100="","",COUNTIF($F$6:$F100,"订单头"))</f>
        <v/>
      </c>
      <c r="B100" s="6"/>
      <c r="C100" s="11"/>
      <c r="D100" s="6"/>
      <c r="E100" s="6"/>
      <c r="F100" s="6"/>
      <c r="G100" s="20" t="str">
        <f t="shared" si="18"/>
        <v/>
      </c>
      <c r="H100" s="6"/>
      <c r="I100" s="20" t="str">
        <f>IF($F100="组件","C"&amp;TEXT(COUNTIFS($A$6:$A100,$A100,$F$6:$F100,"组件"),"000"),"")</f>
        <v/>
      </c>
      <c r="J100" s="6" t="str">
        <f t="shared" si="19"/>
        <v/>
      </c>
      <c r="K100" s="6"/>
      <c r="L100" s="6"/>
      <c r="M100" s="6"/>
      <c r="N100" s="6"/>
      <c r="O100" s="6"/>
      <c r="P100" s="14"/>
      <c r="Q100" s="14"/>
      <c r="R100" s="23" t="str">
        <f>IF(OR($F100="",$F100="订单头"),"",IF(AND($F100="零件",$J100&lt;&gt;""),IFERROR(SUMIFS($R$6:$R99,$A$6:$A99,$A100,$I$6:$I99,$J100)*IF($Q100="",1,$Q100),""),IF($P100="","",$P100*IF($Q100="",1,$Q100))))</f>
        <v/>
      </c>
      <c r="S100" s="6"/>
      <c r="T100" s="6"/>
      <c r="U100" s="6"/>
      <c r="V100" s="11"/>
      <c r="W100" s="7"/>
      <c r="X100" s="25" t="str">
        <f t="shared" si="22"/>
        <v/>
      </c>
      <c r="Y100" s="25" t="str">
        <f t="shared" si="20"/>
        <v/>
      </c>
      <c r="Z100" s="25" t="str">
        <f>IF(AND($F100="零件",$J100&lt;&gt;""),COUNTIFS($A$6:$A100,$A100,$J$6:$J100,$J100,$F$6:$F100,"零件"),"")</f>
        <v/>
      </c>
      <c r="AA100" s="25" t="str">
        <f t="shared" si="23"/>
        <v/>
      </c>
      <c r="AB100" s="25" t="str">
        <f t="shared" si="24"/>
        <v/>
      </c>
      <c r="AC100" s="25" t="str">
        <f t="shared" si="25"/>
        <v/>
      </c>
      <c r="AD100" s="25" t="str">
        <f t="shared" si="26"/>
        <v/>
      </c>
      <c r="AE100" s="25">
        <f t="shared" si="21"/>
        <v>0</v>
      </c>
    </row>
    <row r="101" spans="1:31" ht="25.5" customHeight="1">
      <c r="A101" s="17" t="str">
        <f>IF($F101="","",COUNTIF($F$6:$F101,"订单头"))</f>
        <v/>
      </c>
      <c r="B101" s="6"/>
      <c r="C101" s="11"/>
      <c r="D101" s="6"/>
      <c r="E101" s="6"/>
      <c r="F101" s="6"/>
      <c r="G101" s="20" t="str">
        <f t="shared" si="18"/>
        <v/>
      </c>
      <c r="H101" s="6"/>
      <c r="I101" s="20" t="str">
        <f>IF($F101="组件","C"&amp;TEXT(COUNTIFS($A$6:$A101,$A101,$F$6:$F101,"组件"),"000"),"")</f>
        <v/>
      </c>
      <c r="J101" s="6" t="str">
        <f t="shared" si="19"/>
        <v/>
      </c>
      <c r="K101" s="6"/>
      <c r="L101" s="6"/>
      <c r="M101" s="6"/>
      <c r="N101" s="6"/>
      <c r="O101" s="6"/>
      <c r="P101" s="14"/>
      <c r="Q101" s="14"/>
      <c r="R101" s="23" t="str">
        <f>IF(OR($F101="",$F101="订单头"),"",IF(AND($F101="零件",$J101&lt;&gt;""),IFERROR(SUMIFS($R$6:$R100,$A$6:$A100,$A101,$I$6:$I100,$J101)*IF($Q101="",1,$Q101),""),IF($P101="","",$P101*IF($Q101="",1,$Q101))))</f>
        <v/>
      </c>
      <c r="S101" s="6"/>
      <c r="T101" s="6"/>
      <c r="U101" s="6"/>
      <c r="V101" s="11"/>
      <c r="W101" s="7"/>
      <c r="X101" s="25" t="str">
        <f t="shared" si="22"/>
        <v/>
      </c>
      <c r="Y101" s="25" t="str">
        <f t="shared" si="20"/>
        <v/>
      </c>
      <c r="Z101" s="25" t="str">
        <f>IF(AND($F101="零件",$J101&lt;&gt;""),COUNTIFS($A$6:$A101,$A101,$J$6:$J101,$J101,$F$6:$F101,"零件"),"")</f>
        <v/>
      </c>
      <c r="AA101" s="25" t="str">
        <f t="shared" si="23"/>
        <v/>
      </c>
      <c r="AB101" s="25" t="str">
        <f t="shared" si="24"/>
        <v/>
      </c>
      <c r="AC101" s="25" t="str">
        <f t="shared" si="25"/>
        <v/>
      </c>
      <c r="AD101" s="25" t="str">
        <f t="shared" si="26"/>
        <v/>
      </c>
      <c r="AE101" s="25">
        <f t="shared" si="21"/>
        <v>0</v>
      </c>
    </row>
    <row r="102" spans="1:31" ht="25.5" customHeight="1">
      <c r="A102" s="17" t="str">
        <f>IF($F102="","",COUNTIF($F$6:$F102,"订单头"))</f>
        <v/>
      </c>
      <c r="B102" s="6"/>
      <c r="C102" s="11"/>
      <c r="D102" s="6"/>
      <c r="E102" s="6"/>
      <c r="F102" s="6"/>
      <c r="G102" s="20" t="str">
        <f t="shared" ref="G102:G133" si="27">IF($F102="","",IF($F102="订单头","订单头",IF(AND($F102="零件",$J102&lt;&gt;""),IFERROR(SUMIFS($Y$6:$Y$205,$A$6:$A$205,$A102,$I$6:$I$205,$J102)&amp;"."&amp;$Z102,"父组件不存在"),$Y102)))</f>
        <v/>
      </c>
      <c r="H102" s="6"/>
      <c r="I102" s="20" t="str">
        <f>IF($F102="组件","C"&amp;TEXT(COUNTIFS($A$6:$A102,$A102,$F$6:$F102,"组件"),"000"),"")</f>
        <v/>
      </c>
      <c r="J102" s="6" t="str">
        <f t="shared" ref="J102:J133" si="28">IF($F102="零件",IF($P102&lt;&gt;"","",IF(AND($A102=$A101,$F101="组件"),$I101,IF(AND($A102=$A101,$F101="零件",$J101&lt;&gt;""),$J101,""))),"")</f>
        <v/>
      </c>
      <c r="K102" s="6"/>
      <c r="L102" s="6"/>
      <c r="M102" s="6"/>
      <c r="N102" s="6"/>
      <c r="O102" s="6"/>
      <c r="P102" s="14"/>
      <c r="Q102" s="14"/>
      <c r="R102" s="23" t="str">
        <f>IF(OR($F102="",$F102="订单头"),"",IF(AND($F102="零件",$J102&lt;&gt;""),IFERROR(SUMIFS($R$6:$R101,$A$6:$A101,$A102,$I$6:$I101,$J102)*IF($Q102="",1,$Q102),""),IF($P102="","",$P102*IF($Q102="",1,$Q102))))</f>
        <v/>
      </c>
      <c r="S102" s="6"/>
      <c r="T102" s="6"/>
      <c r="U102" s="6"/>
      <c r="V102" s="11"/>
      <c r="W102" s="7"/>
      <c r="X102" s="25" t="str">
        <f t="shared" si="22"/>
        <v/>
      </c>
      <c r="Y102" s="25" t="str">
        <f t="shared" ref="Y102:Y133" si="29">IF($F102="","",IF($F102="订单头","",IF(AND($F102="零件",$J102&lt;&gt;""),"",$X102)))</f>
        <v/>
      </c>
      <c r="Z102" s="25" t="str">
        <f>IF(AND($F102="零件",$J102&lt;&gt;""),COUNTIFS($A$6:$A102,$A102,$J$6:$J102,$J102,$F$6:$F102,"零件"),"")</f>
        <v/>
      </c>
      <c r="AA102" s="25" t="str">
        <f t="shared" si="23"/>
        <v/>
      </c>
      <c r="AB102" s="25" t="str">
        <f t="shared" si="24"/>
        <v/>
      </c>
      <c r="AC102" s="25" t="str">
        <f t="shared" si="25"/>
        <v/>
      </c>
      <c r="AD102" s="25" t="str">
        <f t="shared" si="26"/>
        <v/>
      </c>
      <c r="AE102" s="25">
        <f t="shared" ref="AE102:AE133" si="30">IF(OR($F102="组件",$F102="零件"),1,0)</f>
        <v>0</v>
      </c>
    </row>
    <row r="103" spans="1:31" ht="25.5" customHeight="1">
      <c r="A103" s="17" t="str">
        <f>IF($F103="","",COUNTIF($F$6:$F103,"订单头"))</f>
        <v/>
      </c>
      <c r="B103" s="6"/>
      <c r="C103" s="11"/>
      <c r="D103" s="6"/>
      <c r="E103" s="6"/>
      <c r="F103" s="6"/>
      <c r="G103" s="20" t="str">
        <f t="shared" si="27"/>
        <v/>
      </c>
      <c r="H103" s="6"/>
      <c r="I103" s="20" t="str">
        <f>IF($F103="组件","C"&amp;TEXT(COUNTIFS($A$6:$A103,$A103,$F$6:$F103,"组件"),"000"),"")</f>
        <v/>
      </c>
      <c r="J103" s="6" t="str">
        <f t="shared" si="28"/>
        <v/>
      </c>
      <c r="K103" s="6"/>
      <c r="L103" s="6"/>
      <c r="M103" s="6"/>
      <c r="N103" s="6"/>
      <c r="O103" s="6"/>
      <c r="P103" s="14"/>
      <c r="Q103" s="14"/>
      <c r="R103" s="23" t="str">
        <f>IF(OR($F103="",$F103="订单头"),"",IF(AND($F103="零件",$J103&lt;&gt;""),IFERROR(SUMIFS($R$6:$R102,$A$6:$A102,$A103,$I$6:$I102,$J103)*IF($Q103="",1,$Q103),""),IF($P103="","",$P103*IF($Q103="",1,$Q103))))</f>
        <v/>
      </c>
      <c r="S103" s="6"/>
      <c r="T103" s="6"/>
      <c r="U103" s="6"/>
      <c r="V103" s="11"/>
      <c r="W103" s="7"/>
      <c r="X103" s="25" t="str">
        <f t="shared" ref="X103:X134" si="31">IF($F103="","",IF($F103="订单头",0,IF($A103=$A102,$X102,0)+IF(OR($F103="组件",AND($F103="零件",$J103="")),1,0)))</f>
        <v/>
      </c>
      <c r="Y103" s="25" t="str">
        <f t="shared" si="29"/>
        <v/>
      </c>
      <c r="Z103" s="25" t="str">
        <f>IF(AND($F103="零件",$J103&lt;&gt;""),COUNTIFS($A$6:$A103,$A103,$J$6:$J103,$J103,$F$6:$F103,"零件"),"")</f>
        <v/>
      </c>
      <c r="AA103" s="25" t="str">
        <f t="shared" ref="AA103:AA134" si="32">IF($F103="","",IF($F103="订单头",$B103,IF($A103=$A102,$AA102,"")))</f>
        <v/>
      </c>
      <c r="AB103" s="25" t="str">
        <f t="shared" ref="AB103:AB134" si="33">IF($F103="","",IF($F103="订单头",$C103,IF($A103=$A102,$AB102,"")))</f>
        <v/>
      </c>
      <c r="AC103" s="25" t="str">
        <f t="shared" ref="AC103:AC134" si="34">IF($F103="","",IF($F103="订单头",$D103,IF($A103=$A102,$AC102,"")))</f>
        <v/>
      </c>
      <c r="AD103" s="25" t="str">
        <f t="shared" ref="AD103:AD134" si="35">IF($F103="","",IF($F103="订单头",$E103,IF($A103=$A102,$AD102,"")))</f>
        <v/>
      </c>
      <c r="AE103" s="25">
        <f t="shared" si="30"/>
        <v>0</v>
      </c>
    </row>
    <row r="104" spans="1:31" ht="25.5" customHeight="1">
      <c r="A104" s="17" t="str">
        <f>IF($F104="","",COUNTIF($F$6:$F104,"订单头"))</f>
        <v/>
      </c>
      <c r="B104" s="6"/>
      <c r="C104" s="11"/>
      <c r="D104" s="6"/>
      <c r="E104" s="6"/>
      <c r="F104" s="6"/>
      <c r="G104" s="20" t="str">
        <f t="shared" si="27"/>
        <v/>
      </c>
      <c r="H104" s="6"/>
      <c r="I104" s="20" t="str">
        <f>IF($F104="组件","C"&amp;TEXT(COUNTIFS($A$6:$A104,$A104,$F$6:$F104,"组件"),"000"),"")</f>
        <v/>
      </c>
      <c r="J104" s="6" t="str">
        <f t="shared" si="28"/>
        <v/>
      </c>
      <c r="K104" s="6"/>
      <c r="L104" s="6"/>
      <c r="M104" s="6"/>
      <c r="N104" s="6"/>
      <c r="O104" s="6"/>
      <c r="P104" s="14"/>
      <c r="Q104" s="14"/>
      <c r="R104" s="23" t="str">
        <f>IF(OR($F104="",$F104="订单头"),"",IF(AND($F104="零件",$J104&lt;&gt;""),IFERROR(SUMIFS($R$6:$R103,$A$6:$A103,$A104,$I$6:$I103,$J104)*IF($Q104="",1,$Q104),""),IF($P104="","",$P104*IF($Q104="",1,$Q104))))</f>
        <v/>
      </c>
      <c r="S104" s="6"/>
      <c r="T104" s="6"/>
      <c r="U104" s="6"/>
      <c r="V104" s="11"/>
      <c r="W104" s="7"/>
      <c r="X104" s="25" t="str">
        <f t="shared" si="31"/>
        <v/>
      </c>
      <c r="Y104" s="25" t="str">
        <f t="shared" si="29"/>
        <v/>
      </c>
      <c r="Z104" s="25" t="str">
        <f>IF(AND($F104="零件",$J104&lt;&gt;""),COUNTIFS($A$6:$A104,$A104,$J$6:$J104,$J104,$F$6:$F104,"零件"),"")</f>
        <v/>
      </c>
      <c r="AA104" s="25" t="str">
        <f t="shared" si="32"/>
        <v/>
      </c>
      <c r="AB104" s="25" t="str">
        <f t="shared" si="33"/>
        <v/>
      </c>
      <c r="AC104" s="25" t="str">
        <f t="shared" si="34"/>
        <v/>
      </c>
      <c r="AD104" s="25" t="str">
        <f t="shared" si="35"/>
        <v/>
      </c>
      <c r="AE104" s="25">
        <f t="shared" si="30"/>
        <v>0</v>
      </c>
    </row>
    <row r="105" spans="1:31" ht="25.5" customHeight="1">
      <c r="A105" s="17" t="str">
        <f>IF($F105="","",COUNTIF($F$6:$F105,"订单头"))</f>
        <v/>
      </c>
      <c r="B105" s="6"/>
      <c r="C105" s="11"/>
      <c r="D105" s="6"/>
      <c r="E105" s="6"/>
      <c r="F105" s="6"/>
      <c r="G105" s="20" t="str">
        <f t="shared" si="27"/>
        <v/>
      </c>
      <c r="H105" s="6"/>
      <c r="I105" s="20" t="str">
        <f>IF($F105="组件","C"&amp;TEXT(COUNTIFS($A$6:$A105,$A105,$F$6:$F105,"组件"),"000"),"")</f>
        <v/>
      </c>
      <c r="J105" s="6" t="str">
        <f t="shared" si="28"/>
        <v/>
      </c>
      <c r="K105" s="6"/>
      <c r="L105" s="6"/>
      <c r="M105" s="6"/>
      <c r="N105" s="6"/>
      <c r="O105" s="6"/>
      <c r="P105" s="14"/>
      <c r="Q105" s="14"/>
      <c r="R105" s="23" t="str">
        <f>IF(OR($F105="",$F105="订单头"),"",IF(AND($F105="零件",$J105&lt;&gt;""),IFERROR(SUMIFS($R$6:$R104,$A$6:$A104,$A105,$I$6:$I104,$J105)*IF($Q105="",1,$Q105),""),IF($P105="","",$P105*IF($Q105="",1,$Q105))))</f>
        <v/>
      </c>
      <c r="S105" s="6"/>
      <c r="T105" s="6"/>
      <c r="U105" s="6"/>
      <c r="V105" s="11"/>
      <c r="W105" s="7"/>
      <c r="X105" s="25" t="str">
        <f t="shared" si="31"/>
        <v/>
      </c>
      <c r="Y105" s="25" t="str">
        <f t="shared" si="29"/>
        <v/>
      </c>
      <c r="Z105" s="25" t="str">
        <f>IF(AND($F105="零件",$J105&lt;&gt;""),COUNTIFS($A$6:$A105,$A105,$J$6:$J105,$J105,$F$6:$F105,"零件"),"")</f>
        <v/>
      </c>
      <c r="AA105" s="25" t="str">
        <f t="shared" si="32"/>
        <v/>
      </c>
      <c r="AB105" s="25" t="str">
        <f t="shared" si="33"/>
        <v/>
      </c>
      <c r="AC105" s="25" t="str">
        <f t="shared" si="34"/>
        <v/>
      </c>
      <c r="AD105" s="25" t="str">
        <f t="shared" si="35"/>
        <v/>
      </c>
      <c r="AE105" s="25">
        <f t="shared" si="30"/>
        <v>0</v>
      </c>
    </row>
    <row r="106" spans="1:31" ht="25.5" customHeight="1">
      <c r="A106" s="17" t="str">
        <f>IF($F106="","",COUNTIF($F$6:$F106,"订单头"))</f>
        <v/>
      </c>
      <c r="B106" s="6"/>
      <c r="C106" s="11"/>
      <c r="D106" s="6"/>
      <c r="E106" s="6"/>
      <c r="F106" s="6"/>
      <c r="G106" s="20" t="str">
        <f t="shared" si="27"/>
        <v/>
      </c>
      <c r="H106" s="6"/>
      <c r="I106" s="20" t="str">
        <f>IF($F106="组件","C"&amp;TEXT(COUNTIFS($A$6:$A106,$A106,$F$6:$F106,"组件"),"000"),"")</f>
        <v/>
      </c>
      <c r="J106" s="6" t="str">
        <f t="shared" si="28"/>
        <v/>
      </c>
      <c r="K106" s="6"/>
      <c r="L106" s="6"/>
      <c r="M106" s="6"/>
      <c r="N106" s="6"/>
      <c r="O106" s="6"/>
      <c r="P106" s="14"/>
      <c r="Q106" s="14"/>
      <c r="R106" s="23" t="str">
        <f>IF(OR($F106="",$F106="订单头"),"",IF(AND($F106="零件",$J106&lt;&gt;""),IFERROR(SUMIFS($R$6:$R105,$A$6:$A105,$A106,$I$6:$I105,$J106)*IF($Q106="",1,$Q106),""),IF($P106="","",$P106*IF($Q106="",1,$Q106))))</f>
        <v/>
      </c>
      <c r="S106" s="6"/>
      <c r="T106" s="6"/>
      <c r="U106" s="6"/>
      <c r="V106" s="11"/>
      <c r="W106" s="7"/>
      <c r="X106" s="25" t="str">
        <f t="shared" si="31"/>
        <v/>
      </c>
      <c r="Y106" s="25" t="str">
        <f t="shared" si="29"/>
        <v/>
      </c>
      <c r="Z106" s="25" t="str">
        <f>IF(AND($F106="零件",$J106&lt;&gt;""),COUNTIFS($A$6:$A106,$A106,$J$6:$J106,$J106,$F$6:$F106,"零件"),"")</f>
        <v/>
      </c>
      <c r="AA106" s="25" t="str">
        <f t="shared" si="32"/>
        <v/>
      </c>
      <c r="AB106" s="25" t="str">
        <f t="shared" si="33"/>
        <v/>
      </c>
      <c r="AC106" s="25" t="str">
        <f t="shared" si="34"/>
        <v/>
      </c>
      <c r="AD106" s="25" t="str">
        <f t="shared" si="35"/>
        <v/>
      </c>
      <c r="AE106" s="25">
        <f t="shared" si="30"/>
        <v>0</v>
      </c>
    </row>
    <row r="107" spans="1:31" ht="25.5" customHeight="1">
      <c r="A107" s="17" t="str">
        <f>IF($F107="","",COUNTIF($F$6:$F107,"订单头"))</f>
        <v/>
      </c>
      <c r="B107" s="6"/>
      <c r="C107" s="11"/>
      <c r="D107" s="6"/>
      <c r="E107" s="6"/>
      <c r="F107" s="6"/>
      <c r="G107" s="20" t="str">
        <f t="shared" si="27"/>
        <v/>
      </c>
      <c r="H107" s="6"/>
      <c r="I107" s="20" t="str">
        <f>IF($F107="组件","C"&amp;TEXT(COUNTIFS($A$6:$A107,$A107,$F$6:$F107,"组件"),"000"),"")</f>
        <v/>
      </c>
      <c r="J107" s="6" t="str">
        <f t="shared" si="28"/>
        <v/>
      </c>
      <c r="K107" s="6"/>
      <c r="L107" s="6"/>
      <c r="M107" s="6"/>
      <c r="N107" s="6"/>
      <c r="O107" s="6"/>
      <c r="P107" s="14"/>
      <c r="Q107" s="14"/>
      <c r="R107" s="23" t="str">
        <f>IF(OR($F107="",$F107="订单头"),"",IF(AND($F107="零件",$J107&lt;&gt;""),IFERROR(SUMIFS($R$6:$R106,$A$6:$A106,$A107,$I$6:$I106,$J107)*IF($Q107="",1,$Q107),""),IF($P107="","",$P107*IF($Q107="",1,$Q107))))</f>
        <v/>
      </c>
      <c r="S107" s="6"/>
      <c r="T107" s="6"/>
      <c r="U107" s="6"/>
      <c r="V107" s="11"/>
      <c r="W107" s="7"/>
      <c r="X107" s="25" t="str">
        <f t="shared" si="31"/>
        <v/>
      </c>
      <c r="Y107" s="25" t="str">
        <f t="shared" si="29"/>
        <v/>
      </c>
      <c r="Z107" s="25" t="str">
        <f>IF(AND($F107="零件",$J107&lt;&gt;""),COUNTIFS($A$6:$A107,$A107,$J$6:$J107,$J107,$F$6:$F107,"零件"),"")</f>
        <v/>
      </c>
      <c r="AA107" s="25" t="str">
        <f t="shared" si="32"/>
        <v/>
      </c>
      <c r="AB107" s="25" t="str">
        <f t="shared" si="33"/>
        <v/>
      </c>
      <c r="AC107" s="25" t="str">
        <f t="shared" si="34"/>
        <v/>
      </c>
      <c r="AD107" s="25" t="str">
        <f t="shared" si="35"/>
        <v/>
      </c>
      <c r="AE107" s="25">
        <f t="shared" si="30"/>
        <v>0</v>
      </c>
    </row>
    <row r="108" spans="1:31" ht="25.5" customHeight="1">
      <c r="A108" s="17" t="str">
        <f>IF($F108="","",COUNTIF($F$6:$F108,"订单头"))</f>
        <v/>
      </c>
      <c r="B108" s="6"/>
      <c r="C108" s="11"/>
      <c r="D108" s="6"/>
      <c r="E108" s="6"/>
      <c r="F108" s="6"/>
      <c r="G108" s="20" t="str">
        <f t="shared" si="27"/>
        <v/>
      </c>
      <c r="H108" s="6"/>
      <c r="I108" s="20" t="str">
        <f>IF($F108="组件","C"&amp;TEXT(COUNTIFS($A$6:$A108,$A108,$F$6:$F108,"组件"),"000"),"")</f>
        <v/>
      </c>
      <c r="J108" s="6" t="str">
        <f t="shared" si="28"/>
        <v/>
      </c>
      <c r="K108" s="6"/>
      <c r="L108" s="6"/>
      <c r="M108" s="6"/>
      <c r="N108" s="6"/>
      <c r="O108" s="6"/>
      <c r="P108" s="14"/>
      <c r="Q108" s="14"/>
      <c r="R108" s="23" t="str">
        <f>IF(OR($F108="",$F108="订单头"),"",IF(AND($F108="零件",$J108&lt;&gt;""),IFERROR(SUMIFS($R$6:$R107,$A$6:$A107,$A108,$I$6:$I107,$J108)*IF($Q108="",1,$Q108),""),IF($P108="","",$P108*IF($Q108="",1,$Q108))))</f>
        <v/>
      </c>
      <c r="S108" s="6"/>
      <c r="T108" s="6"/>
      <c r="U108" s="6"/>
      <c r="V108" s="11"/>
      <c r="W108" s="7"/>
      <c r="X108" s="25" t="str">
        <f t="shared" si="31"/>
        <v/>
      </c>
      <c r="Y108" s="25" t="str">
        <f t="shared" si="29"/>
        <v/>
      </c>
      <c r="Z108" s="25" t="str">
        <f>IF(AND($F108="零件",$J108&lt;&gt;""),COUNTIFS($A$6:$A108,$A108,$J$6:$J108,$J108,$F$6:$F108,"零件"),"")</f>
        <v/>
      </c>
      <c r="AA108" s="25" t="str">
        <f t="shared" si="32"/>
        <v/>
      </c>
      <c r="AB108" s="25" t="str">
        <f t="shared" si="33"/>
        <v/>
      </c>
      <c r="AC108" s="25" t="str">
        <f t="shared" si="34"/>
        <v/>
      </c>
      <c r="AD108" s="25" t="str">
        <f t="shared" si="35"/>
        <v/>
      </c>
      <c r="AE108" s="25">
        <f t="shared" si="30"/>
        <v>0</v>
      </c>
    </row>
    <row r="109" spans="1:31" ht="25.5" customHeight="1">
      <c r="A109" s="17" t="str">
        <f>IF($F109="","",COUNTIF($F$6:$F109,"订单头"))</f>
        <v/>
      </c>
      <c r="B109" s="6"/>
      <c r="C109" s="11"/>
      <c r="D109" s="6"/>
      <c r="E109" s="6"/>
      <c r="F109" s="6"/>
      <c r="G109" s="20" t="str">
        <f t="shared" si="27"/>
        <v/>
      </c>
      <c r="H109" s="6"/>
      <c r="I109" s="20" t="str">
        <f>IF($F109="组件","C"&amp;TEXT(COUNTIFS($A$6:$A109,$A109,$F$6:$F109,"组件"),"000"),"")</f>
        <v/>
      </c>
      <c r="J109" s="6" t="str">
        <f t="shared" si="28"/>
        <v/>
      </c>
      <c r="K109" s="6"/>
      <c r="L109" s="6"/>
      <c r="M109" s="6"/>
      <c r="N109" s="6"/>
      <c r="O109" s="6"/>
      <c r="P109" s="14"/>
      <c r="Q109" s="14"/>
      <c r="R109" s="23" t="str">
        <f>IF(OR($F109="",$F109="订单头"),"",IF(AND($F109="零件",$J109&lt;&gt;""),IFERROR(SUMIFS($R$6:$R108,$A$6:$A108,$A109,$I$6:$I108,$J109)*IF($Q109="",1,$Q109),""),IF($P109="","",$P109*IF($Q109="",1,$Q109))))</f>
        <v/>
      </c>
      <c r="S109" s="6"/>
      <c r="T109" s="6"/>
      <c r="U109" s="6"/>
      <c r="V109" s="11"/>
      <c r="W109" s="7"/>
      <c r="X109" s="25" t="str">
        <f t="shared" si="31"/>
        <v/>
      </c>
      <c r="Y109" s="25" t="str">
        <f t="shared" si="29"/>
        <v/>
      </c>
      <c r="Z109" s="25" t="str">
        <f>IF(AND($F109="零件",$J109&lt;&gt;""),COUNTIFS($A$6:$A109,$A109,$J$6:$J109,$J109,$F$6:$F109,"零件"),"")</f>
        <v/>
      </c>
      <c r="AA109" s="25" t="str">
        <f t="shared" si="32"/>
        <v/>
      </c>
      <c r="AB109" s="25" t="str">
        <f t="shared" si="33"/>
        <v/>
      </c>
      <c r="AC109" s="25" t="str">
        <f t="shared" si="34"/>
        <v/>
      </c>
      <c r="AD109" s="25" t="str">
        <f t="shared" si="35"/>
        <v/>
      </c>
      <c r="AE109" s="25">
        <f t="shared" si="30"/>
        <v>0</v>
      </c>
    </row>
    <row r="110" spans="1:31" ht="25.5" customHeight="1">
      <c r="A110" s="17" t="str">
        <f>IF($F110="","",COUNTIF($F$6:$F110,"订单头"))</f>
        <v/>
      </c>
      <c r="B110" s="6"/>
      <c r="C110" s="11"/>
      <c r="D110" s="6"/>
      <c r="E110" s="6"/>
      <c r="F110" s="6"/>
      <c r="G110" s="20" t="str">
        <f t="shared" si="27"/>
        <v/>
      </c>
      <c r="H110" s="6"/>
      <c r="I110" s="20" t="str">
        <f>IF($F110="组件","C"&amp;TEXT(COUNTIFS($A$6:$A110,$A110,$F$6:$F110,"组件"),"000"),"")</f>
        <v/>
      </c>
      <c r="J110" s="6" t="str">
        <f t="shared" si="28"/>
        <v/>
      </c>
      <c r="K110" s="6"/>
      <c r="L110" s="6"/>
      <c r="M110" s="6"/>
      <c r="N110" s="6"/>
      <c r="O110" s="6"/>
      <c r="P110" s="14"/>
      <c r="Q110" s="14"/>
      <c r="R110" s="23" t="str">
        <f>IF(OR($F110="",$F110="订单头"),"",IF(AND($F110="零件",$J110&lt;&gt;""),IFERROR(SUMIFS($R$6:$R109,$A$6:$A109,$A110,$I$6:$I109,$J110)*IF($Q110="",1,$Q110),""),IF($P110="","",$P110*IF($Q110="",1,$Q110))))</f>
        <v/>
      </c>
      <c r="S110" s="6"/>
      <c r="T110" s="6"/>
      <c r="U110" s="6"/>
      <c r="V110" s="11"/>
      <c r="W110" s="7"/>
      <c r="X110" s="25" t="str">
        <f t="shared" si="31"/>
        <v/>
      </c>
      <c r="Y110" s="25" t="str">
        <f t="shared" si="29"/>
        <v/>
      </c>
      <c r="Z110" s="25" t="str">
        <f>IF(AND($F110="零件",$J110&lt;&gt;""),COUNTIFS($A$6:$A110,$A110,$J$6:$J110,$J110,$F$6:$F110,"零件"),"")</f>
        <v/>
      </c>
      <c r="AA110" s="25" t="str">
        <f t="shared" si="32"/>
        <v/>
      </c>
      <c r="AB110" s="25" t="str">
        <f t="shared" si="33"/>
        <v/>
      </c>
      <c r="AC110" s="25" t="str">
        <f t="shared" si="34"/>
        <v/>
      </c>
      <c r="AD110" s="25" t="str">
        <f t="shared" si="35"/>
        <v/>
      </c>
      <c r="AE110" s="25">
        <f t="shared" si="30"/>
        <v>0</v>
      </c>
    </row>
    <row r="111" spans="1:31" ht="25.5" customHeight="1">
      <c r="A111" s="17" t="str">
        <f>IF($F111="","",COUNTIF($F$6:$F111,"订单头"))</f>
        <v/>
      </c>
      <c r="B111" s="6"/>
      <c r="C111" s="11"/>
      <c r="D111" s="6"/>
      <c r="E111" s="6"/>
      <c r="F111" s="6"/>
      <c r="G111" s="20" t="str">
        <f t="shared" si="27"/>
        <v/>
      </c>
      <c r="H111" s="6"/>
      <c r="I111" s="20" t="str">
        <f>IF($F111="组件","C"&amp;TEXT(COUNTIFS($A$6:$A111,$A111,$F$6:$F111,"组件"),"000"),"")</f>
        <v/>
      </c>
      <c r="J111" s="6" t="str">
        <f t="shared" si="28"/>
        <v/>
      </c>
      <c r="K111" s="6"/>
      <c r="L111" s="6"/>
      <c r="M111" s="6"/>
      <c r="N111" s="6"/>
      <c r="O111" s="6"/>
      <c r="P111" s="14"/>
      <c r="Q111" s="14"/>
      <c r="R111" s="23" t="str">
        <f>IF(OR($F111="",$F111="订单头"),"",IF(AND($F111="零件",$J111&lt;&gt;""),IFERROR(SUMIFS($R$6:$R110,$A$6:$A110,$A111,$I$6:$I110,$J111)*IF($Q111="",1,$Q111),""),IF($P111="","",$P111*IF($Q111="",1,$Q111))))</f>
        <v/>
      </c>
      <c r="S111" s="6"/>
      <c r="T111" s="6"/>
      <c r="U111" s="6"/>
      <c r="V111" s="11"/>
      <c r="W111" s="7"/>
      <c r="X111" s="25" t="str">
        <f t="shared" si="31"/>
        <v/>
      </c>
      <c r="Y111" s="25" t="str">
        <f t="shared" si="29"/>
        <v/>
      </c>
      <c r="Z111" s="25" t="str">
        <f>IF(AND($F111="零件",$J111&lt;&gt;""),COUNTIFS($A$6:$A111,$A111,$J$6:$J111,$J111,$F$6:$F111,"零件"),"")</f>
        <v/>
      </c>
      <c r="AA111" s="25" t="str">
        <f t="shared" si="32"/>
        <v/>
      </c>
      <c r="AB111" s="25" t="str">
        <f t="shared" si="33"/>
        <v/>
      </c>
      <c r="AC111" s="25" t="str">
        <f t="shared" si="34"/>
        <v/>
      </c>
      <c r="AD111" s="25" t="str">
        <f t="shared" si="35"/>
        <v/>
      </c>
      <c r="AE111" s="25">
        <f t="shared" si="30"/>
        <v>0</v>
      </c>
    </row>
    <row r="112" spans="1:31" ht="25.5" customHeight="1">
      <c r="A112" s="17" t="str">
        <f>IF($F112="","",COUNTIF($F$6:$F112,"订单头"))</f>
        <v/>
      </c>
      <c r="B112" s="6"/>
      <c r="C112" s="11"/>
      <c r="D112" s="6"/>
      <c r="E112" s="6"/>
      <c r="F112" s="6"/>
      <c r="G112" s="20" t="str">
        <f t="shared" si="27"/>
        <v/>
      </c>
      <c r="H112" s="6"/>
      <c r="I112" s="20" t="str">
        <f>IF($F112="组件","C"&amp;TEXT(COUNTIFS($A$6:$A112,$A112,$F$6:$F112,"组件"),"000"),"")</f>
        <v/>
      </c>
      <c r="J112" s="6" t="str">
        <f t="shared" si="28"/>
        <v/>
      </c>
      <c r="K112" s="6"/>
      <c r="L112" s="6"/>
      <c r="M112" s="6"/>
      <c r="N112" s="6"/>
      <c r="O112" s="6"/>
      <c r="P112" s="14"/>
      <c r="Q112" s="14"/>
      <c r="R112" s="23" t="str">
        <f>IF(OR($F112="",$F112="订单头"),"",IF(AND($F112="零件",$J112&lt;&gt;""),IFERROR(SUMIFS($R$6:$R111,$A$6:$A111,$A112,$I$6:$I111,$J112)*IF($Q112="",1,$Q112),""),IF($P112="","",$P112*IF($Q112="",1,$Q112))))</f>
        <v/>
      </c>
      <c r="S112" s="6"/>
      <c r="T112" s="6"/>
      <c r="U112" s="6"/>
      <c r="V112" s="11"/>
      <c r="W112" s="7"/>
      <c r="X112" s="25" t="str">
        <f t="shared" si="31"/>
        <v/>
      </c>
      <c r="Y112" s="25" t="str">
        <f t="shared" si="29"/>
        <v/>
      </c>
      <c r="Z112" s="25" t="str">
        <f>IF(AND($F112="零件",$J112&lt;&gt;""),COUNTIFS($A$6:$A112,$A112,$J$6:$J112,$J112,$F$6:$F112,"零件"),"")</f>
        <v/>
      </c>
      <c r="AA112" s="25" t="str">
        <f t="shared" si="32"/>
        <v/>
      </c>
      <c r="AB112" s="25" t="str">
        <f t="shared" si="33"/>
        <v/>
      </c>
      <c r="AC112" s="25" t="str">
        <f t="shared" si="34"/>
        <v/>
      </c>
      <c r="AD112" s="25" t="str">
        <f t="shared" si="35"/>
        <v/>
      </c>
      <c r="AE112" s="25">
        <f t="shared" si="30"/>
        <v>0</v>
      </c>
    </row>
    <row r="113" spans="1:31" ht="25.5" customHeight="1">
      <c r="A113" s="17" t="str">
        <f>IF($F113="","",COUNTIF($F$6:$F113,"订单头"))</f>
        <v/>
      </c>
      <c r="B113" s="6"/>
      <c r="C113" s="11"/>
      <c r="D113" s="6"/>
      <c r="E113" s="6"/>
      <c r="F113" s="6"/>
      <c r="G113" s="20" t="str">
        <f t="shared" si="27"/>
        <v/>
      </c>
      <c r="H113" s="6"/>
      <c r="I113" s="20" t="str">
        <f>IF($F113="组件","C"&amp;TEXT(COUNTIFS($A$6:$A113,$A113,$F$6:$F113,"组件"),"000"),"")</f>
        <v/>
      </c>
      <c r="J113" s="6" t="str">
        <f t="shared" si="28"/>
        <v/>
      </c>
      <c r="K113" s="6"/>
      <c r="L113" s="6"/>
      <c r="M113" s="6"/>
      <c r="N113" s="6"/>
      <c r="O113" s="6"/>
      <c r="P113" s="14"/>
      <c r="Q113" s="14"/>
      <c r="R113" s="23" t="str">
        <f>IF(OR($F113="",$F113="订单头"),"",IF(AND($F113="零件",$J113&lt;&gt;""),IFERROR(SUMIFS($R$6:$R112,$A$6:$A112,$A113,$I$6:$I112,$J113)*IF($Q113="",1,$Q113),""),IF($P113="","",$P113*IF($Q113="",1,$Q113))))</f>
        <v/>
      </c>
      <c r="S113" s="6"/>
      <c r="T113" s="6"/>
      <c r="U113" s="6"/>
      <c r="V113" s="11"/>
      <c r="W113" s="7"/>
      <c r="X113" s="25" t="str">
        <f t="shared" si="31"/>
        <v/>
      </c>
      <c r="Y113" s="25" t="str">
        <f t="shared" si="29"/>
        <v/>
      </c>
      <c r="Z113" s="25" t="str">
        <f>IF(AND($F113="零件",$J113&lt;&gt;""),COUNTIFS($A$6:$A113,$A113,$J$6:$J113,$J113,$F$6:$F113,"零件"),"")</f>
        <v/>
      </c>
      <c r="AA113" s="25" t="str">
        <f t="shared" si="32"/>
        <v/>
      </c>
      <c r="AB113" s="25" t="str">
        <f t="shared" si="33"/>
        <v/>
      </c>
      <c r="AC113" s="25" t="str">
        <f t="shared" si="34"/>
        <v/>
      </c>
      <c r="AD113" s="25" t="str">
        <f t="shared" si="35"/>
        <v/>
      </c>
      <c r="AE113" s="25">
        <f t="shared" si="30"/>
        <v>0</v>
      </c>
    </row>
    <row r="114" spans="1:31" ht="25.5" customHeight="1">
      <c r="A114" s="17" t="str">
        <f>IF($F114="","",COUNTIF($F$6:$F114,"订单头"))</f>
        <v/>
      </c>
      <c r="B114" s="6"/>
      <c r="C114" s="11"/>
      <c r="D114" s="6"/>
      <c r="E114" s="6"/>
      <c r="F114" s="6"/>
      <c r="G114" s="20" t="str">
        <f t="shared" si="27"/>
        <v/>
      </c>
      <c r="H114" s="6"/>
      <c r="I114" s="20" t="str">
        <f>IF($F114="组件","C"&amp;TEXT(COUNTIFS($A$6:$A114,$A114,$F$6:$F114,"组件"),"000"),"")</f>
        <v/>
      </c>
      <c r="J114" s="6" t="str">
        <f t="shared" si="28"/>
        <v/>
      </c>
      <c r="K114" s="6"/>
      <c r="L114" s="6"/>
      <c r="M114" s="6"/>
      <c r="N114" s="6"/>
      <c r="O114" s="6"/>
      <c r="P114" s="14"/>
      <c r="Q114" s="14"/>
      <c r="R114" s="23" t="str">
        <f>IF(OR($F114="",$F114="订单头"),"",IF(AND($F114="零件",$J114&lt;&gt;""),IFERROR(SUMIFS($R$6:$R113,$A$6:$A113,$A114,$I$6:$I113,$J114)*IF($Q114="",1,$Q114),""),IF($P114="","",$P114*IF($Q114="",1,$Q114))))</f>
        <v/>
      </c>
      <c r="S114" s="6"/>
      <c r="T114" s="6"/>
      <c r="U114" s="6"/>
      <c r="V114" s="11"/>
      <c r="W114" s="7"/>
      <c r="X114" s="25" t="str">
        <f t="shared" si="31"/>
        <v/>
      </c>
      <c r="Y114" s="25" t="str">
        <f t="shared" si="29"/>
        <v/>
      </c>
      <c r="Z114" s="25" t="str">
        <f>IF(AND($F114="零件",$J114&lt;&gt;""),COUNTIFS($A$6:$A114,$A114,$J$6:$J114,$J114,$F$6:$F114,"零件"),"")</f>
        <v/>
      </c>
      <c r="AA114" s="25" t="str">
        <f t="shared" si="32"/>
        <v/>
      </c>
      <c r="AB114" s="25" t="str">
        <f t="shared" si="33"/>
        <v/>
      </c>
      <c r="AC114" s="25" t="str">
        <f t="shared" si="34"/>
        <v/>
      </c>
      <c r="AD114" s="25" t="str">
        <f t="shared" si="35"/>
        <v/>
      </c>
      <c r="AE114" s="25">
        <f t="shared" si="30"/>
        <v>0</v>
      </c>
    </row>
    <row r="115" spans="1:31" ht="25.5" customHeight="1">
      <c r="A115" s="17" t="str">
        <f>IF($F115="","",COUNTIF($F$6:$F115,"订单头"))</f>
        <v/>
      </c>
      <c r="B115" s="6"/>
      <c r="C115" s="11"/>
      <c r="D115" s="6"/>
      <c r="E115" s="6"/>
      <c r="F115" s="6"/>
      <c r="G115" s="20" t="str">
        <f t="shared" si="27"/>
        <v/>
      </c>
      <c r="H115" s="6"/>
      <c r="I115" s="20" t="str">
        <f>IF($F115="组件","C"&amp;TEXT(COUNTIFS($A$6:$A115,$A115,$F$6:$F115,"组件"),"000"),"")</f>
        <v/>
      </c>
      <c r="J115" s="6" t="str">
        <f t="shared" si="28"/>
        <v/>
      </c>
      <c r="K115" s="6"/>
      <c r="L115" s="6"/>
      <c r="M115" s="6"/>
      <c r="N115" s="6"/>
      <c r="O115" s="6"/>
      <c r="P115" s="14"/>
      <c r="Q115" s="14"/>
      <c r="R115" s="23" t="str">
        <f>IF(OR($F115="",$F115="订单头"),"",IF(AND($F115="零件",$J115&lt;&gt;""),IFERROR(SUMIFS($R$6:$R114,$A$6:$A114,$A115,$I$6:$I114,$J115)*IF($Q115="",1,$Q115),""),IF($P115="","",$P115*IF($Q115="",1,$Q115))))</f>
        <v/>
      </c>
      <c r="S115" s="6"/>
      <c r="T115" s="6"/>
      <c r="U115" s="6"/>
      <c r="V115" s="11"/>
      <c r="W115" s="7"/>
      <c r="X115" s="25" t="str">
        <f t="shared" si="31"/>
        <v/>
      </c>
      <c r="Y115" s="25" t="str">
        <f t="shared" si="29"/>
        <v/>
      </c>
      <c r="Z115" s="25" t="str">
        <f>IF(AND($F115="零件",$J115&lt;&gt;""),COUNTIFS($A$6:$A115,$A115,$J$6:$J115,$J115,$F$6:$F115,"零件"),"")</f>
        <v/>
      </c>
      <c r="AA115" s="25" t="str">
        <f t="shared" si="32"/>
        <v/>
      </c>
      <c r="AB115" s="25" t="str">
        <f t="shared" si="33"/>
        <v/>
      </c>
      <c r="AC115" s="25" t="str">
        <f t="shared" si="34"/>
        <v/>
      </c>
      <c r="AD115" s="25" t="str">
        <f t="shared" si="35"/>
        <v/>
      </c>
      <c r="AE115" s="25">
        <f t="shared" si="30"/>
        <v>0</v>
      </c>
    </row>
    <row r="116" spans="1:31" ht="25.5" customHeight="1">
      <c r="A116" s="17" t="str">
        <f>IF($F116="","",COUNTIF($F$6:$F116,"订单头"))</f>
        <v/>
      </c>
      <c r="B116" s="6"/>
      <c r="C116" s="11"/>
      <c r="D116" s="6"/>
      <c r="E116" s="6"/>
      <c r="F116" s="6"/>
      <c r="G116" s="20" t="str">
        <f t="shared" si="27"/>
        <v/>
      </c>
      <c r="H116" s="6"/>
      <c r="I116" s="20" t="str">
        <f>IF($F116="组件","C"&amp;TEXT(COUNTIFS($A$6:$A116,$A116,$F$6:$F116,"组件"),"000"),"")</f>
        <v/>
      </c>
      <c r="J116" s="6" t="str">
        <f t="shared" si="28"/>
        <v/>
      </c>
      <c r="K116" s="6"/>
      <c r="L116" s="6"/>
      <c r="M116" s="6"/>
      <c r="N116" s="6"/>
      <c r="O116" s="6"/>
      <c r="P116" s="14"/>
      <c r="Q116" s="14"/>
      <c r="R116" s="23" t="str">
        <f>IF(OR($F116="",$F116="订单头"),"",IF(AND($F116="零件",$J116&lt;&gt;""),IFERROR(SUMIFS($R$6:$R115,$A$6:$A115,$A116,$I$6:$I115,$J116)*IF($Q116="",1,$Q116),""),IF($P116="","",$P116*IF($Q116="",1,$Q116))))</f>
        <v/>
      </c>
      <c r="S116" s="6"/>
      <c r="T116" s="6"/>
      <c r="U116" s="6"/>
      <c r="V116" s="11"/>
      <c r="W116" s="7"/>
      <c r="X116" s="25" t="str">
        <f t="shared" si="31"/>
        <v/>
      </c>
      <c r="Y116" s="25" t="str">
        <f t="shared" si="29"/>
        <v/>
      </c>
      <c r="Z116" s="25" t="str">
        <f>IF(AND($F116="零件",$J116&lt;&gt;""),COUNTIFS($A$6:$A116,$A116,$J$6:$J116,$J116,$F$6:$F116,"零件"),"")</f>
        <v/>
      </c>
      <c r="AA116" s="25" t="str">
        <f t="shared" si="32"/>
        <v/>
      </c>
      <c r="AB116" s="25" t="str">
        <f t="shared" si="33"/>
        <v/>
      </c>
      <c r="AC116" s="25" t="str">
        <f t="shared" si="34"/>
        <v/>
      </c>
      <c r="AD116" s="25" t="str">
        <f t="shared" si="35"/>
        <v/>
      </c>
      <c r="AE116" s="25">
        <f t="shared" si="30"/>
        <v>0</v>
      </c>
    </row>
    <row r="117" spans="1:31" ht="25.5" customHeight="1">
      <c r="A117" s="17" t="str">
        <f>IF($F117="","",COUNTIF($F$6:$F117,"订单头"))</f>
        <v/>
      </c>
      <c r="B117" s="6"/>
      <c r="C117" s="11"/>
      <c r="D117" s="6"/>
      <c r="E117" s="6"/>
      <c r="F117" s="6"/>
      <c r="G117" s="20" t="str">
        <f t="shared" si="27"/>
        <v/>
      </c>
      <c r="H117" s="6"/>
      <c r="I117" s="20" t="str">
        <f>IF($F117="组件","C"&amp;TEXT(COUNTIFS($A$6:$A117,$A117,$F$6:$F117,"组件"),"000"),"")</f>
        <v/>
      </c>
      <c r="J117" s="6" t="str">
        <f t="shared" si="28"/>
        <v/>
      </c>
      <c r="K117" s="6"/>
      <c r="L117" s="6"/>
      <c r="M117" s="6"/>
      <c r="N117" s="6"/>
      <c r="O117" s="6"/>
      <c r="P117" s="14"/>
      <c r="Q117" s="14"/>
      <c r="R117" s="23" t="str">
        <f>IF(OR($F117="",$F117="订单头"),"",IF(AND($F117="零件",$J117&lt;&gt;""),IFERROR(SUMIFS($R$6:$R116,$A$6:$A116,$A117,$I$6:$I116,$J117)*IF($Q117="",1,$Q117),""),IF($P117="","",$P117*IF($Q117="",1,$Q117))))</f>
        <v/>
      </c>
      <c r="S117" s="6"/>
      <c r="T117" s="6"/>
      <c r="U117" s="6"/>
      <c r="V117" s="11"/>
      <c r="W117" s="7"/>
      <c r="X117" s="25" t="str">
        <f t="shared" si="31"/>
        <v/>
      </c>
      <c r="Y117" s="25" t="str">
        <f t="shared" si="29"/>
        <v/>
      </c>
      <c r="Z117" s="25" t="str">
        <f>IF(AND($F117="零件",$J117&lt;&gt;""),COUNTIFS($A$6:$A117,$A117,$J$6:$J117,$J117,$F$6:$F117,"零件"),"")</f>
        <v/>
      </c>
      <c r="AA117" s="25" t="str">
        <f t="shared" si="32"/>
        <v/>
      </c>
      <c r="AB117" s="25" t="str">
        <f t="shared" si="33"/>
        <v/>
      </c>
      <c r="AC117" s="25" t="str">
        <f t="shared" si="34"/>
        <v/>
      </c>
      <c r="AD117" s="25" t="str">
        <f t="shared" si="35"/>
        <v/>
      </c>
      <c r="AE117" s="25">
        <f t="shared" si="30"/>
        <v>0</v>
      </c>
    </row>
    <row r="118" spans="1:31" ht="25.5" customHeight="1">
      <c r="A118" s="17" t="str">
        <f>IF($F118="","",COUNTIF($F$6:$F118,"订单头"))</f>
        <v/>
      </c>
      <c r="B118" s="6"/>
      <c r="C118" s="11"/>
      <c r="D118" s="6"/>
      <c r="E118" s="6"/>
      <c r="F118" s="6"/>
      <c r="G118" s="20" t="str">
        <f t="shared" si="27"/>
        <v/>
      </c>
      <c r="H118" s="6"/>
      <c r="I118" s="20" t="str">
        <f>IF($F118="组件","C"&amp;TEXT(COUNTIFS($A$6:$A118,$A118,$F$6:$F118,"组件"),"000"),"")</f>
        <v/>
      </c>
      <c r="J118" s="6" t="str">
        <f t="shared" si="28"/>
        <v/>
      </c>
      <c r="K118" s="6"/>
      <c r="L118" s="6"/>
      <c r="M118" s="6"/>
      <c r="N118" s="6"/>
      <c r="O118" s="6"/>
      <c r="P118" s="14"/>
      <c r="Q118" s="14"/>
      <c r="R118" s="23" t="str">
        <f>IF(OR($F118="",$F118="订单头"),"",IF(AND($F118="零件",$J118&lt;&gt;""),IFERROR(SUMIFS($R$6:$R117,$A$6:$A117,$A118,$I$6:$I117,$J118)*IF($Q118="",1,$Q118),""),IF($P118="","",$P118*IF($Q118="",1,$Q118))))</f>
        <v/>
      </c>
      <c r="S118" s="6"/>
      <c r="T118" s="6"/>
      <c r="U118" s="6"/>
      <c r="V118" s="11"/>
      <c r="W118" s="7"/>
      <c r="X118" s="25" t="str">
        <f t="shared" si="31"/>
        <v/>
      </c>
      <c r="Y118" s="25" t="str">
        <f t="shared" si="29"/>
        <v/>
      </c>
      <c r="Z118" s="25" t="str">
        <f>IF(AND($F118="零件",$J118&lt;&gt;""),COUNTIFS($A$6:$A118,$A118,$J$6:$J118,$J118,$F$6:$F118,"零件"),"")</f>
        <v/>
      </c>
      <c r="AA118" s="25" t="str">
        <f t="shared" si="32"/>
        <v/>
      </c>
      <c r="AB118" s="25" t="str">
        <f t="shared" si="33"/>
        <v/>
      </c>
      <c r="AC118" s="25" t="str">
        <f t="shared" si="34"/>
        <v/>
      </c>
      <c r="AD118" s="25" t="str">
        <f t="shared" si="35"/>
        <v/>
      </c>
      <c r="AE118" s="25">
        <f t="shared" si="30"/>
        <v>0</v>
      </c>
    </row>
    <row r="119" spans="1:31" ht="25.5" customHeight="1">
      <c r="A119" s="17" t="str">
        <f>IF($F119="","",COUNTIF($F$6:$F119,"订单头"))</f>
        <v/>
      </c>
      <c r="B119" s="6"/>
      <c r="C119" s="11"/>
      <c r="D119" s="6"/>
      <c r="E119" s="6"/>
      <c r="F119" s="6"/>
      <c r="G119" s="20" t="str">
        <f t="shared" si="27"/>
        <v/>
      </c>
      <c r="H119" s="6"/>
      <c r="I119" s="20" t="str">
        <f>IF($F119="组件","C"&amp;TEXT(COUNTIFS($A$6:$A119,$A119,$F$6:$F119,"组件"),"000"),"")</f>
        <v/>
      </c>
      <c r="J119" s="6" t="str">
        <f t="shared" si="28"/>
        <v/>
      </c>
      <c r="K119" s="6"/>
      <c r="L119" s="6"/>
      <c r="M119" s="6"/>
      <c r="N119" s="6"/>
      <c r="O119" s="6"/>
      <c r="P119" s="14"/>
      <c r="Q119" s="14"/>
      <c r="R119" s="23" t="str">
        <f>IF(OR($F119="",$F119="订单头"),"",IF(AND($F119="零件",$J119&lt;&gt;""),IFERROR(SUMIFS($R$6:$R118,$A$6:$A118,$A119,$I$6:$I118,$J119)*IF($Q119="",1,$Q119),""),IF($P119="","",$P119*IF($Q119="",1,$Q119))))</f>
        <v/>
      </c>
      <c r="S119" s="6"/>
      <c r="T119" s="6"/>
      <c r="U119" s="6"/>
      <c r="V119" s="11"/>
      <c r="W119" s="7"/>
      <c r="X119" s="25" t="str">
        <f t="shared" si="31"/>
        <v/>
      </c>
      <c r="Y119" s="25" t="str">
        <f t="shared" si="29"/>
        <v/>
      </c>
      <c r="Z119" s="25" t="str">
        <f>IF(AND($F119="零件",$J119&lt;&gt;""),COUNTIFS($A$6:$A119,$A119,$J$6:$J119,$J119,$F$6:$F119,"零件"),"")</f>
        <v/>
      </c>
      <c r="AA119" s="25" t="str">
        <f t="shared" si="32"/>
        <v/>
      </c>
      <c r="AB119" s="25" t="str">
        <f t="shared" si="33"/>
        <v/>
      </c>
      <c r="AC119" s="25" t="str">
        <f t="shared" si="34"/>
        <v/>
      </c>
      <c r="AD119" s="25" t="str">
        <f t="shared" si="35"/>
        <v/>
      </c>
      <c r="AE119" s="25">
        <f t="shared" si="30"/>
        <v>0</v>
      </c>
    </row>
    <row r="120" spans="1:31" ht="25.5" customHeight="1">
      <c r="A120" s="17" t="str">
        <f>IF($F120="","",COUNTIF($F$6:$F120,"订单头"))</f>
        <v/>
      </c>
      <c r="B120" s="6"/>
      <c r="C120" s="11"/>
      <c r="D120" s="6"/>
      <c r="E120" s="6"/>
      <c r="F120" s="6"/>
      <c r="G120" s="20" t="str">
        <f t="shared" si="27"/>
        <v/>
      </c>
      <c r="H120" s="6"/>
      <c r="I120" s="20" t="str">
        <f>IF($F120="组件","C"&amp;TEXT(COUNTIFS($A$6:$A120,$A120,$F$6:$F120,"组件"),"000"),"")</f>
        <v/>
      </c>
      <c r="J120" s="6" t="str">
        <f t="shared" si="28"/>
        <v/>
      </c>
      <c r="K120" s="6"/>
      <c r="L120" s="6"/>
      <c r="M120" s="6"/>
      <c r="N120" s="6"/>
      <c r="O120" s="6"/>
      <c r="P120" s="14"/>
      <c r="Q120" s="14"/>
      <c r="R120" s="23" t="str">
        <f>IF(OR($F120="",$F120="订单头"),"",IF(AND($F120="零件",$J120&lt;&gt;""),IFERROR(SUMIFS($R$6:$R119,$A$6:$A119,$A120,$I$6:$I119,$J120)*IF($Q120="",1,$Q120),""),IF($P120="","",$P120*IF($Q120="",1,$Q120))))</f>
        <v/>
      </c>
      <c r="S120" s="6"/>
      <c r="T120" s="6"/>
      <c r="U120" s="6"/>
      <c r="V120" s="11"/>
      <c r="W120" s="7"/>
      <c r="X120" s="25" t="str">
        <f t="shared" si="31"/>
        <v/>
      </c>
      <c r="Y120" s="25" t="str">
        <f t="shared" si="29"/>
        <v/>
      </c>
      <c r="Z120" s="25" t="str">
        <f>IF(AND($F120="零件",$J120&lt;&gt;""),COUNTIFS($A$6:$A120,$A120,$J$6:$J120,$J120,$F$6:$F120,"零件"),"")</f>
        <v/>
      </c>
      <c r="AA120" s="25" t="str">
        <f t="shared" si="32"/>
        <v/>
      </c>
      <c r="AB120" s="25" t="str">
        <f t="shared" si="33"/>
        <v/>
      </c>
      <c r="AC120" s="25" t="str">
        <f t="shared" si="34"/>
        <v/>
      </c>
      <c r="AD120" s="25" t="str">
        <f t="shared" si="35"/>
        <v/>
      </c>
      <c r="AE120" s="25">
        <f t="shared" si="30"/>
        <v>0</v>
      </c>
    </row>
    <row r="121" spans="1:31" ht="25.5" customHeight="1">
      <c r="A121" s="17" t="str">
        <f>IF($F121="","",COUNTIF($F$6:$F121,"订单头"))</f>
        <v/>
      </c>
      <c r="B121" s="6"/>
      <c r="C121" s="11"/>
      <c r="D121" s="6"/>
      <c r="E121" s="6"/>
      <c r="F121" s="6"/>
      <c r="G121" s="20" t="str">
        <f t="shared" si="27"/>
        <v/>
      </c>
      <c r="H121" s="6"/>
      <c r="I121" s="20" t="str">
        <f>IF($F121="组件","C"&amp;TEXT(COUNTIFS($A$6:$A121,$A121,$F$6:$F121,"组件"),"000"),"")</f>
        <v/>
      </c>
      <c r="J121" s="6" t="str">
        <f t="shared" si="28"/>
        <v/>
      </c>
      <c r="K121" s="6"/>
      <c r="L121" s="6"/>
      <c r="M121" s="6"/>
      <c r="N121" s="6"/>
      <c r="O121" s="6"/>
      <c r="P121" s="14"/>
      <c r="Q121" s="14"/>
      <c r="R121" s="23" t="str">
        <f>IF(OR($F121="",$F121="订单头"),"",IF(AND($F121="零件",$J121&lt;&gt;""),IFERROR(SUMIFS($R$6:$R120,$A$6:$A120,$A121,$I$6:$I120,$J121)*IF($Q121="",1,$Q121),""),IF($P121="","",$P121*IF($Q121="",1,$Q121))))</f>
        <v/>
      </c>
      <c r="S121" s="6"/>
      <c r="T121" s="6"/>
      <c r="U121" s="6"/>
      <c r="V121" s="11"/>
      <c r="W121" s="7"/>
      <c r="X121" s="25" t="str">
        <f t="shared" si="31"/>
        <v/>
      </c>
      <c r="Y121" s="25" t="str">
        <f t="shared" si="29"/>
        <v/>
      </c>
      <c r="Z121" s="25" t="str">
        <f>IF(AND($F121="零件",$J121&lt;&gt;""),COUNTIFS($A$6:$A121,$A121,$J$6:$J121,$J121,$F$6:$F121,"零件"),"")</f>
        <v/>
      </c>
      <c r="AA121" s="25" t="str">
        <f t="shared" si="32"/>
        <v/>
      </c>
      <c r="AB121" s="25" t="str">
        <f t="shared" si="33"/>
        <v/>
      </c>
      <c r="AC121" s="25" t="str">
        <f t="shared" si="34"/>
        <v/>
      </c>
      <c r="AD121" s="25" t="str">
        <f t="shared" si="35"/>
        <v/>
      </c>
      <c r="AE121" s="25">
        <f t="shared" si="30"/>
        <v>0</v>
      </c>
    </row>
    <row r="122" spans="1:31" ht="25.5" customHeight="1">
      <c r="A122" s="17" t="str">
        <f>IF($F122="","",COUNTIF($F$6:$F122,"订单头"))</f>
        <v/>
      </c>
      <c r="B122" s="6"/>
      <c r="C122" s="11"/>
      <c r="D122" s="6"/>
      <c r="E122" s="6"/>
      <c r="F122" s="6"/>
      <c r="G122" s="20" t="str">
        <f t="shared" si="27"/>
        <v/>
      </c>
      <c r="H122" s="6"/>
      <c r="I122" s="20" t="str">
        <f>IF($F122="组件","C"&amp;TEXT(COUNTIFS($A$6:$A122,$A122,$F$6:$F122,"组件"),"000"),"")</f>
        <v/>
      </c>
      <c r="J122" s="6" t="str">
        <f t="shared" si="28"/>
        <v/>
      </c>
      <c r="K122" s="6"/>
      <c r="L122" s="6"/>
      <c r="M122" s="6"/>
      <c r="N122" s="6"/>
      <c r="O122" s="6"/>
      <c r="P122" s="14"/>
      <c r="Q122" s="14"/>
      <c r="R122" s="23" t="str">
        <f>IF(OR($F122="",$F122="订单头"),"",IF(AND($F122="零件",$J122&lt;&gt;""),IFERROR(SUMIFS($R$6:$R121,$A$6:$A121,$A122,$I$6:$I121,$J122)*IF($Q122="",1,$Q122),""),IF($P122="","",$P122*IF($Q122="",1,$Q122))))</f>
        <v/>
      </c>
      <c r="S122" s="6"/>
      <c r="T122" s="6"/>
      <c r="U122" s="6"/>
      <c r="V122" s="11"/>
      <c r="W122" s="7"/>
      <c r="X122" s="25" t="str">
        <f t="shared" si="31"/>
        <v/>
      </c>
      <c r="Y122" s="25" t="str">
        <f t="shared" si="29"/>
        <v/>
      </c>
      <c r="Z122" s="25" t="str">
        <f>IF(AND($F122="零件",$J122&lt;&gt;""),COUNTIFS($A$6:$A122,$A122,$J$6:$J122,$J122,$F$6:$F122,"零件"),"")</f>
        <v/>
      </c>
      <c r="AA122" s="25" t="str">
        <f t="shared" si="32"/>
        <v/>
      </c>
      <c r="AB122" s="25" t="str">
        <f t="shared" si="33"/>
        <v/>
      </c>
      <c r="AC122" s="25" t="str">
        <f t="shared" si="34"/>
        <v/>
      </c>
      <c r="AD122" s="25" t="str">
        <f t="shared" si="35"/>
        <v/>
      </c>
      <c r="AE122" s="25">
        <f t="shared" si="30"/>
        <v>0</v>
      </c>
    </row>
    <row r="123" spans="1:31" ht="25.5" customHeight="1">
      <c r="A123" s="17" t="str">
        <f>IF($F123="","",COUNTIF($F$6:$F123,"订单头"))</f>
        <v/>
      </c>
      <c r="B123" s="6"/>
      <c r="C123" s="11"/>
      <c r="D123" s="6"/>
      <c r="E123" s="6"/>
      <c r="F123" s="6"/>
      <c r="G123" s="20" t="str">
        <f t="shared" si="27"/>
        <v/>
      </c>
      <c r="H123" s="6"/>
      <c r="I123" s="20" t="str">
        <f>IF($F123="组件","C"&amp;TEXT(COUNTIFS($A$6:$A123,$A123,$F$6:$F123,"组件"),"000"),"")</f>
        <v/>
      </c>
      <c r="J123" s="6" t="str">
        <f t="shared" si="28"/>
        <v/>
      </c>
      <c r="K123" s="6"/>
      <c r="L123" s="6"/>
      <c r="M123" s="6"/>
      <c r="N123" s="6"/>
      <c r="O123" s="6"/>
      <c r="P123" s="14"/>
      <c r="Q123" s="14"/>
      <c r="R123" s="23" t="str">
        <f>IF(OR($F123="",$F123="订单头"),"",IF(AND($F123="零件",$J123&lt;&gt;""),IFERROR(SUMIFS($R$6:$R122,$A$6:$A122,$A123,$I$6:$I122,$J123)*IF($Q123="",1,$Q123),""),IF($P123="","",$P123*IF($Q123="",1,$Q123))))</f>
        <v/>
      </c>
      <c r="S123" s="6"/>
      <c r="T123" s="6"/>
      <c r="U123" s="6"/>
      <c r="V123" s="11"/>
      <c r="W123" s="7"/>
      <c r="X123" s="25" t="str">
        <f t="shared" si="31"/>
        <v/>
      </c>
      <c r="Y123" s="25" t="str">
        <f t="shared" si="29"/>
        <v/>
      </c>
      <c r="Z123" s="25" t="str">
        <f>IF(AND($F123="零件",$J123&lt;&gt;""),COUNTIFS($A$6:$A123,$A123,$J$6:$J123,$J123,$F$6:$F123,"零件"),"")</f>
        <v/>
      </c>
      <c r="AA123" s="25" t="str">
        <f t="shared" si="32"/>
        <v/>
      </c>
      <c r="AB123" s="25" t="str">
        <f t="shared" si="33"/>
        <v/>
      </c>
      <c r="AC123" s="25" t="str">
        <f t="shared" si="34"/>
        <v/>
      </c>
      <c r="AD123" s="25" t="str">
        <f t="shared" si="35"/>
        <v/>
      </c>
      <c r="AE123" s="25">
        <f t="shared" si="30"/>
        <v>0</v>
      </c>
    </row>
    <row r="124" spans="1:31" ht="25.5" customHeight="1">
      <c r="A124" s="17" t="str">
        <f>IF($F124="","",COUNTIF($F$6:$F124,"订单头"))</f>
        <v/>
      </c>
      <c r="B124" s="6"/>
      <c r="C124" s="11"/>
      <c r="D124" s="6"/>
      <c r="E124" s="6"/>
      <c r="F124" s="6"/>
      <c r="G124" s="20" t="str">
        <f t="shared" si="27"/>
        <v/>
      </c>
      <c r="H124" s="6"/>
      <c r="I124" s="20" t="str">
        <f>IF($F124="组件","C"&amp;TEXT(COUNTIFS($A$6:$A124,$A124,$F$6:$F124,"组件"),"000"),"")</f>
        <v/>
      </c>
      <c r="J124" s="6" t="str">
        <f t="shared" si="28"/>
        <v/>
      </c>
      <c r="K124" s="6"/>
      <c r="L124" s="6"/>
      <c r="M124" s="6"/>
      <c r="N124" s="6"/>
      <c r="O124" s="6"/>
      <c r="P124" s="14"/>
      <c r="Q124" s="14"/>
      <c r="R124" s="23" t="str">
        <f>IF(OR($F124="",$F124="订单头"),"",IF(AND($F124="零件",$J124&lt;&gt;""),IFERROR(SUMIFS($R$6:$R123,$A$6:$A123,$A124,$I$6:$I123,$J124)*IF($Q124="",1,$Q124),""),IF($P124="","",$P124*IF($Q124="",1,$Q124))))</f>
        <v/>
      </c>
      <c r="S124" s="6"/>
      <c r="T124" s="6"/>
      <c r="U124" s="6"/>
      <c r="V124" s="11"/>
      <c r="W124" s="7"/>
      <c r="X124" s="25" t="str">
        <f t="shared" si="31"/>
        <v/>
      </c>
      <c r="Y124" s="25" t="str">
        <f t="shared" si="29"/>
        <v/>
      </c>
      <c r="Z124" s="25" t="str">
        <f>IF(AND($F124="零件",$J124&lt;&gt;""),COUNTIFS($A$6:$A124,$A124,$J$6:$J124,$J124,$F$6:$F124,"零件"),"")</f>
        <v/>
      </c>
      <c r="AA124" s="25" t="str">
        <f t="shared" si="32"/>
        <v/>
      </c>
      <c r="AB124" s="25" t="str">
        <f t="shared" si="33"/>
        <v/>
      </c>
      <c r="AC124" s="25" t="str">
        <f t="shared" si="34"/>
        <v/>
      </c>
      <c r="AD124" s="25" t="str">
        <f t="shared" si="35"/>
        <v/>
      </c>
      <c r="AE124" s="25">
        <f t="shared" si="30"/>
        <v>0</v>
      </c>
    </row>
    <row r="125" spans="1:31" ht="25.5" customHeight="1">
      <c r="A125" s="17" t="str">
        <f>IF($F125="","",COUNTIF($F$6:$F125,"订单头"))</f>
        <v/>
      </c>
      <c r="B125" s="6"/>
      <c r="C125" s="11"/>
      <c r="D125" s="6"/>
      <c r="E125" s="6"/>
      <c r="F125" s="6"/>
      <c r="G125" s="20" t="str">
        <f t="shared" si="27"/>
        <v/>
      </c>
      <c r="H125" s="6"/>
      <c r="I125" s="20" t="str">
        <f>IF($F125="组件","C"&amp;TEXT(COUNTIFS($A$6:$A125,$A125,$F$6:$F125,"组件"),"000"),"")</f>
        <v/>
      </c>
      <c r="J125" s="6" t="str">
        <f t="shared" si="28"/>
        <v/>
      </c>
      <c r="K125" s="6"/>
      <c r="L125" s="6"/>
      <c r="M125" s="6"/>
      <c r="N125" s="6"/>
      <c r="O125" s="6"/>
      <c r="P125" s="14"/>
      <c r="Q125" s="14"/>
      <c r="R125" s="23" t="str">
        <f>IF(OR($F125="",$F125="订单头"),"",IF(AND($F125="零件",$J125&lt;&gt;""),IFERROR(SUMIFS($R$6:$R124,$A$6:$A124,$A125,$I$6:$I124,$J125)*IF($Q125="",1,$Q125),""),IF($P125="","",$P125*IF($Q125="",1,$Q125))))</f>
        <v/>
      </c>
      <c r="S125" s="6"/>
      <c r="T125" s="6"/>
      <c r="U125" s="6"/>
      <c r="V125" s="11"/>
      <c r="W125" s="7"/>
      <c r="X125" s="25" t="str">
        <f t="shared" si="31"/>
        <v/>
      </c>
      <c r="Y125" s="25" t="str">
        <f t="shared" si="29"/>
        <v/>
      </c>
      <c r="Z125" s="25" t="str">
        <f>IF(AND($F125="零件",$J125&lt;&gt;""),COUNTIFS($A$6:$A125,$A125,$J$6:$J125,$J125,$F$6:$F125,"零件"),"")</f>
        <v/>
      </c>
      <c r="AA125" s="25" t="str">
        <f t="shared" si="32"/>
        <v/>
      </c>
      <c r="AB125" s="25" t="str">
        <f t="shared" si="33"/>
        <v/>
      </c>
      <c r="AC125" s="25" t="str">
        <f t="shared" si="34"/>
        <v/>
      </c>
      <c r="AD125" s="25" t="str">
        <f t="shared" si="35"/>
        <v/>
      </c>
      <c r="AE125" s="25">
        <f t="shared" si="30"/>
        <v>0</v>
      </c>
    </row>
    <row r="126" spans="1:31" ht="25.5" customHeight="1">
      <c r="A126" s="17" t="str">
        <f>IF($F126="","",COUNTIF($F$6:$F126,"订单头"))</f>
        <v/>
      </c>
      <c r="B126" s="6"/>
      <c r="C126" s="11"/>
      <c r="D126" s="6"/>
      <c r="E126" s="6"/>
      <c r="F126" s="6"/>
      <c r="G126" s="20" t="str">
        <f t="shared" si="27"/>
        <v/>
      </c>
      <c r="H126" s="6"/>
      <c r="I126" s="20" t="str">
        <f>IF($F126="组件","C"&amp;TEXT(COUNTIFS($A$6:$A126,$A126,$F$6:$F126,"组件"),"000"),"")</f>
        <v/>
      </c>
      <c r="J126" s="6" t="str">
        <f t="shared" si="28"/>
        <v/>
      </c>
      <c r="K126" s="6"/>
      <c r="L126" s="6"/>
      <c r="M126" s="6"/>
      <c r="N126" s="6"/>
      <c r="O126" s="6"/>
      <c r="P126" s="14"/>
      <c r="Q126" s="14"/>
      <c r="R126" s="23" t="str">
        <f>IF(OR($F126="",$F126="订单头"),"",IF(AND($F126="零件",$J126&lt;&gt;""),IFERROR(SUMIFS($R$6:$R125,$A$6:$A125,$A126,$I$6:$I125,$J126)*IF($Q126="",1,$Q126),""),IF($P126="","",$P126*IF($Q126="",1,$Q126))))</f>
        <v/>
      </c>
      <c r="S126" s="6"/>
      <c r="T126" s="6"/>
      <c r="U126" s="6"/>
      <c r="V126" s="11"/>
      <c r="W126" s="7"/>
      <c r="X126" s="25" t="str">
        <f t="shared" si="31"/>
        <v/>
      </c>
      <c r="Y126" s="25" t="str">
        <f t="shared" si="29"/>
        <v/>
      </c>
      <c r="Z126" s="25" t="str">
        <f>IF(AND($F126="零件",$J126&lt;&gt;""),COUNTIFS($A$6:$A126,$A126,$J$6:$J126,$J126,$F$6:$F126,"零件"),"")</f>
        <v/>
      </c>
      <c r="AA126" s="25" t="str">
        <f t="shared" si="32"/>
        <v/>
      </c>
      <c r="AB126" s="25" t="str">
        <f t="shared" si="33"/>
        <v/>
      </c>
      <c r="AC126" s="25" t="str">
        <f t="shared" si="34"/>
        <v/>
      </c>
      <c r="AD126" s="25" t="str">
        <f t="shared" si="35"/>
        <v/>
      </c>
      <c r="AE126" s="25">
        <f t="shared" si="30"/>
        <v>0</v>
      </c>
    </row>
    <row r="127" spans="1:31" ht="25.5" customHeight="1">
      <c r="A127" s="17" t="str">
        <f>IF($F127="","",COUNTIF($F$6:$F127,"订单头"))</f>
        <v/>
      </c>
      <c r="B127" s="6"/>
      <c r="C127" s="11"/>
      <c r="D127" s="6"/>
      <c r="E127" s="6"/>
      <c r="F127" s="6"/>
      <c r="G127" s="20" t="str">
        <f t="shared" si="27"/>
        <v/>
      </c>
      <c r="H127" s="6"/>
      <c r="I127" s="20" t="str">
        <f>IF($F127="组件","C"&amp;TEXT(COUNTIFS($A$6:$A127,$A127,$F$6:$F127,"组件"),"000"),"")</f>
        <v/>
      </c>
      <c r="J127" s="6" t="str">
        <f t="shared" si="28"/>
        <v/>
      </c>
      <c r="K127" s="6"/>
      <c r="L127" s="6"/>
      <c r="M127" s="6"/>
      <c r="N127" s="6"/>
      <c r="O127" s="6"/>
      <c r="P127" s="14"/>
      <c r="Q127" s="14"/>
      <c r="R127" s="23" t="str">
        <f>IF(OR($F127="",$F127="订单头"),"",IF(AND($F127="零件",$J127&lt;&gt;""),IFERROR(SUMIFS($R$6:$R126,$A$6:$A126,$A127,$I$6:$I126,$J127)*IF($Q127="",1,$Q127),""),IF($P127="","",$P127*IF($Q127="",1,$Q127))))</f>
        <v/>
      </c>
      <c r="S127" s="6"/>
      <c r="T127" s="6"/>
      <c r="U127" s="6"/>
      <c r="V127" s="11"/>
      <c r="W127" s="7"/>
      <c r="X127" s="25" t="str">
        <f t="shared" si="31"/>
        <v/>
      </c>
      <c r="Y127" s="25" t="str">
        <f t="shared" si="29"/>
        <v/>
      </c>
      <c r="Z127" s="25" t="str">
        <f>IF(AND($F127="零件",$J127&lt;&gt;""),COUNTIFS($A$6:$A127,$A127,$J$6:$J127,$J127,$F$6:$F127,"零件"),"")</f>
        <v/>
      </c>
      <c r="AA127" s="25" t="str">
        <f t="shared" si="32"/>
        <v/>
      </c>
      <c r="AB127" s="25" t="str">
        <f t="shared" si="33"/>
        <v/>
      </c>
      <c r="AC127" s="25" t="str">
        <f t="shared" si="34"/>
        <v/>
      </c>
      <c r="AD127" s="25" t="str">
        <f t="shared" si="35"/>
        <v/>
      </c>
      <c r="AE127" s="25">
        <f t="shared" si="30"/>
        <v>0</v>
      </c>
    </row>
    <row r="128" spans="1:31" ht="25.5" customHeight="1">
      <c r="A128" s="17" t="str">
        <f>IF($F128="","",COUNTIF($F$6:$F128,"订单头"))</f>
        <v/>
      </c>
      <c r="B128" s="6"/>
      <c r="C128" s="11"/>
      <c r="D128" s="6"/>
      <c r="E128" s="6"/>
      <c r="F128" s="6"/>
      <c r="G128" s="20" t="str">
        <f t="shared" si="27"/>
        <v/>
      </c>
      <c r="H128" s="6"/>
      <c r="I128" s="20" t="str">
        <f>IF($F128="组件","C"&amp;TEXT(COUNTIFS($A$6:$A128,$A128,$F$6:$F128,"组件"),"000"),"")</f>
        <v/>
      </c>
      <c r="J128" s="6" t="str">
        <f t="shared" si="28"/>
        <v/>
      </c>
      <c r="K128" s="6"/>
      <c r="L128" s="6"/>
      <c r="M128" s="6"/>
      <c r="N128" s="6"/>
      <c r="O128" s="6"/>
      <c r="P128" s="14"/>
      <c r="Q128" s="14"/>
      <c r="R128" s="23" t="str">
        <f>IF(OR($F128="",$F128="订单头"),"",IF(AND($F128="零件",$J128&lt;&gt;""),IFERROR(SUMIFS($R$6:$R127,$A$6:$A127,$A128,$I$6:$I127,$J128)*IF($Q128="",1,$Q128),""),IF($P128="","",$P128*IF($Q128="",1,$Q128))))</f>
        <v/>
      </c>
      <c r="S128" s="6"/>
      <c r="T128" s="6"/>
      <c r="U128" s="6"/>
      <c r="V128" s="11"/>
      <c r="W128" s="7"/>
      <c r="X128" s="25" t="str">
        <f t="shared" si="31"/>
        <v/>
      </c>
      <c r="Y128" s="25" t="str">
        <f t="shared" si="29"/>
        <v/>
      </c>
      <c r="Z128" s="25" t="str">
        <f>IF(AND($F128="零件",$J128&lt;&gt;""),COUNTIFS($A$6:$A128,$A128,$J$6:$J128,$J128,$F$6:$F128,"零件"),"")</f>
        <v/>
      </c>
      <c r="AA128" s="25" t="str">
        <f t="shared" si="32"/>
        <v/>
      </c>
      <c r="AB128" s="25" t="str">
        <f t="shared" si="33"/>
        <v/>
      </c>
      <c r="AC128" s="25" t="str">
        <f t="shared" si="34"/>
        <v/>
      </c>
      <c r="AD128" s="25" t="str">
        <f t="shared" si="35"/>
        <v/>
      </c>
      <c r="AE128" s="25">
        <f t="shared" si="30"/>
        <v>0</v>
      </c>
    </row>
    <row r="129" spans="1:31" ht="25.5" customHeight="1">
      <c r="A129" s="17" t="str">
        <f>IF($F129="","",COUNTIF($F$6:$F129,"订单头"))</f>
        <v/>
      </c>
      <c r="B129" s="6"/>
      <c r="C129" s="11"/>
      <c r="D129" s="6"/>
      <c r="E129" s="6"/>
      <c r="F129" s="6"/>
      <c r="G129" s="20" t="str">
        <f t="shared" si="27"/>
        <v/>
      </c>
      <c r="H129" s="6"/>
      <c r="I129" s="20" t="str">
        <f>IF($F129="组件","C"&amp;TEXT(COUNTIFS($A$6:$A129,$A129,$F$6:$F129,"组件"),"000"),"")</f>
        <v/>
      </c>
      <c r="J129" s="6" t="str">
        <f t="shared" si="28"/>
        <v/>
      </c>
      <c r="K129" s="6"/>
      <c r="L129" s="6"/>
      <c r="M129" s="6"/>
      <c r="N129" s="6"/>
      <c r="O129" s="6"/>
      <c r="P129" s="14"/>
      <c r="Q129" s="14"/>
      <c r="R129" s="23" t="str">
        <f>IF(OR($F129="",$F129="订单头"),"",IF(AND($F129="零件",$J129&lt;&gt;""),IFERROR(SUMIFS($R$6:$R128,$A$6:$A128,$A129,$I$6:$I128,$J129)*IF($Q129="",1,$Q129),""),IF($P129="","",$P129*IF($Q129="",1,$Q129))))</f>
        <v/>
      </c>
      <c r="S129" s="6"/>
      <c r="T129" s="6"/>
      <c r="U129" s="6"/>
      <c r="V129" s="11"/>
      <c r="W129" s="7"/>
      <c r="X129" s="25" t="str">
        <f t="shared" si="31"/>
        <v/>
      </c>
      <c r="Y129" s="25" t="str">
        <f t="shared" si="29"/>
        <v/>
      </c>
      <c r="Z129" s="25" t="str">
        <f>IF(AND($F129="零件",$J129&lt;&gt;""),COUNTIFS($A$6:$A129,$A129,$J$6:$J129,$J129,$F$6:$F129,"零件"),"")</f>
        <v/>
      </c>
      <c r="AA129" s="25" t="str">
        <f t="shared" si="32"/>
        <v/>
      </c>
      <c r="AB129" s="25" t="str">
        <f t="shared" si="33"/>
        <v/>
      </c>
      <c r="AC129" s="25" t="str">
        <f t="shared" si="34"/>
        <v/>
      </c>
      <c r="AD129" s="25" t="str">
        <f t="shared" si="35"/>
        <v/>
      </c>
      <c r="AE129" s="25">
        <f t="shared" si="30"/>
        <v>0</v>
      </c>
    </row>
    <row r="130" spans="1:31" ht="25.5" customHeight="1">
      <c r="A130" s="17" t="str">
        <f>IF($F130="","",COUNTIF($F$6:$F130,"订单头"))</f>
        <v/>
      </c>
      <c r="B130" s="6"/>
      <c r="C130" s="11"/>
      <c r="D130" s="6"/>
      <c r="E130" s="6"/>
      <c r="F130" s="6"/>
      <c r="G130" s="20" t="str">
        <f t="shared" si="27"/>
        <v/>
      </c>
      <c r="H130" s="6"/>
      <c r="I130" s="20" t="str">
        <f>IF($F130="组件","C"&amp;TEXT(COUNTIFS($A$6:$A130,$A130,$F$6:$F130,"组件"),"000"),"")</f>
        <v/>
      </c>
      <c r="J130" s="6" t="str">
        <f t="shared" si="28"/>
        <v/>
      </c>
      <c r="K130" s="6"/>
      <c r="L130" s="6"/>
      <c r="M130" s="6"/>
      <c r="N130" s="6"/>
      <c r="O130" s="6"/>
      <c r="P130" s="14"/>
      <c r="Q130" s="14"/>
      <c r="R130" s="23" t="str">
        <f>IF(OR($F130="",$F130="订单头"),"",IF(AND($F130="零件",$J130&lt;&gt;""),IFERROR(SUMIFS($R$6:$R129,$A$6:$A129,$A130,$I$6:$I129,$J130)*IF($Q130="",1,$Q130),""),IF($P130="","",$P130*IF($Q130="",1,$Q130))))</f>
        <v/>
      </c>
      <c r="S130" s="6"/>
      <c r="T130" s="6"/>
      <c r="U130" s="6"/>
      <c r="V130" s="11"/>
      <c r="W130" s="7"/>
      <c r="X130" s="25" t="str">
        <f t="shared" si="31"/>
        <v/>
      </c>
      <c r="Y130" s="25" t="str">
        <f t="shared" si="29"/>
        <v/>
      </c>
      <c r="Z130" s="25" t="str">
        <f>IF(AND($F130="零件",$J130&lt;&gt;""),COUNTIFS($A$6:$A130,$A130,$J$6:$J130,$J130,$F$6:$F130,"零件"),"")</f>
        <v/>
      </c>
      <c r="AA130" s="25" t="str">
        <f t="shared" si="32"/>
        <v/>
      </c>
      <c r="AB130" s="25" t="str">
        <f t="shared" si="33"/>
        <v/>
      </c>
      <c r="AC130" s="25" t="str">
        <f t="shared" si="34"/>
        <v/>
      </c>
      <c r="AD130" s="25" t="str">
        <f t="shared" si="35"/>
        <v/>
      </c>
      <c r="AE130" s="25">
        <f t="shared" si="30"/>
        <v>0</v>
      </c>
    </row>
    <row r="131" spans="1:31" ht="25.5" customHeight="1">
      <c r="A131" s="17" t="str">
        <f>IF($F131="","",COUNTIF($F$6:$F131,"订单头"))</f>
        <v/>
      </c>
      <c r="B131" s="6"/>
      <c r="C131" s="11"/>
      <c r="D131" s="6"/>
      <c r="E131" s="6"/>
      <c r="F131" s="6"/>
      <c r="G131" s="20" t="str">
        <f t="shared" si="27"/>
        <v/>
      </c>
      <c r="H131" s="6"/>
      <c r="I131" s="20" t="str">
        <f>IF($F131="组件","C"&amp;TEXT(COUNTIFS($A$6:$A131,$A131,$F$6:$F131,"组件"),"000"),"")</f>
        <v/>
      </c>
      <c r="J131" s="6" t="str">
        <f t="shared" si="28"/>
        <v/>
      </c>
      <c r="K131" s="6"/>
      <c r="L131" s="6"/>
      <c r="M131" s="6"/>
      <c r="N131" s="6"/>
      <c r="O131" s="6"/>
      <c r="P131" s="14"/>
      <c r="Q131" s="14"/>
      <c r="R131" s="23" t="str">
        <f>IF(OR($F131="",$F131="订单头"),"",IF(AND($F131="零件",$J131&lt;&gt;""),IFERROR(SUMIFS($R$6:$R130,$A$6:$A130,$A131,$I$6:$I130,$J131)*IF($Q131="",1,$Q131),""),IF($P131="","",$P131*IF($Q131="",1,$Q131))))</f>
        <v/>
      </c>
      <c r="S131" s="6"/>
      <c r="T131" s="6"/>
      <c r="U131" s="6"/>
      <c r="V131" s="11"/>
      <c r="W131" s="7"/>
      <c r="X131" s="25" t="str">
        <f t="shared" si="31"/>
        <v/>
      </c>
      <c r="Y131" s="25" t="str">
        <f t="shared" si="29"/>
        <v/>
      </c>
      <c r="Z131" s="25" t="str">
        <f>IF(AND($F131="零件",$J131&lt;&gt;""),COUNTIFS($A$6:$A131,$A131,$J$6:$J131,$J131,$F$6:$F131,"零件"),"")</f>
        <v/>
      </c>
      <c r="AA131" s="25" t="str">
        <f t="shared" si="32"/>
        <v/>
      </c>
      <c r="AB131" s="25" t="str">
        <f t="shared" si="33"/>
        <v/>
      </c>
      <c r="AC131" s="25" t="str">
        <f t="shared" si="34"/>
        <v/>
      </c>
      <c r="AD131" s="25" t="str">
        <f t="shared" si="35"/>
        <v/>
      </c>
      <c r="AE131" s="25">
        <f t="shared" si="30"/>
        <v>0</v>
      </c>
    </row>
    <row r="132" spans="1:31" ht="25.5" customHeight="1">
      <c r="A132" s="17" t="str">
        <f>IF($F132="","",COUNTIF($F$6:$F132,"订单头"))</f>
        <v/>
      </c>
      <c r="B132" s="6"/>
      <c r="C132" s="11"/>
      <c r="D132" s="6"/>
      <c r="E132" s="6"/>
      <c r="F132" s="6"/>
      <c r="G132" s="20" t="str">
        <f t="shared" si="27"/>
        <v/>
      </c>
      <c r="H132" s="6"/>
      <c r="I132" s="20" t="str">
        <f>IF($F132="组件","C"&amp;TEXT(COUNTIFS($A$6:$A132,$A132,$F$6:$F132,"组件"),"000"),"")</f>
        <v/>
      </c>
      <c r="J132" s="6" t="str">
        <f t="shared" si="28"/>
        <v/>
      </c>
      <c r="K132" s="6"/>
      <c r="L132" s="6"/>
      <c r="M132" s="6"/>
      <c r="N132" s="6"/>
      <c r="O132" s="6"/>
      <c r="P132" s="14"/>
      <c r="Q132" s="14"/>
      <c r="R132" s="23" t="str">
        <f>IF(OR($F132="",$F132="订单头"),"",IF(AND($F132="零件",$J132&lt;&gt;""),IFERROR(SUMIFS($R$6:$R131,$A$6:$A131,$A132,$I$6:$I131,$J132)*IF($Q132="",1,$Q132),""),IF($P132="","",$P132*IF($Q132="",1,$Q132))))</f>
        <v/>
      </c>
      <c r="S132" s="6"/>
      <c r="T132" s="6"/>
      <c r="U132" s="6"/>
      <c r="V132" s="11"/>
      <c r="W132" s="7"/>
      <c r="X132" s="25" t="str">
        <f t="shared" si="31"/>
        <v/>
      </c>
      <c r="Y132" s="25" t="str">
        <f t="shared" si="29"/>
        <v/>
      </c>
      <c r="Z132" s="25" t="str">
        <f>IF(AND($F132="零件",$J132&lt;&gt;""),COUNTIFS($A$6:$A132,$A132,$J$6:$J132,$J132,$F$6:$F132,"零件"),"")</f>
        <v/>
      </c>
      <c r="AA132" s="25" t="str">
        <f t="shared" si="32"/>
        <v/>
      </c>
      <c r="AB132" s="25" t="str">
        <f t="shared" si="33"/>
        <v/>
      </c>
      <c r="AC132" s="25" t="str">
        <f t="shared" si="34"/>
        <v/>
      </c>
      <c r="AD132" s="25" t="str">
        <f t="shared" si="35"/>
        <v/>
      </c>
      <c r="AE132" s="25">
        <f t="shared" si="30"/>
        <v>0</v>
      </c>
    </row>
    <row r="133" spans="1:31" ht="25.5" customHeight="1">
      <c r="A133" s="17" t="str">
        <f>IF($F133="","",COUNTIF($F$6:$F133,"订单头"))</f>
        <v/>
      </c>
      <c r="B133" s="6"/>
      <c r="C133" s="11"/>
      <c r="D133" s="6"/>
      <c r="E133" s="6"/>
      <c r="F133" s="6"/>
      <c r="G133" s="20" t="str">
        <f t="shared" si="27"/>
        <v/>
      </c>
      <c r="H133" s="6"/>
      <c r="I133" s="20" t="str">
        <f>IF($F133="组件","C"&amp;TEXT(COUNTIFS($A$6:$A133,$A133,$F$6:$F133,"组件"),"000"),"")</f>
        <v/>
      </c>
      <c r="J133" s="6" t="str">
        <f t="shared" si="28"/>
        <v/>
      </c>
      <c r="K133" s="6"/>
      <c r="L133" s="6"/>
      <c r="M133" s="6"/>
      <c r="N133" s="6"/>
      <c r="O133" s="6"/>
      <c r="P133" s="14"/>
      <c r="Q133" s="14"/>
      <c r="R133" s="23" t="str">
        <f>IF(OR($F133="",$F133="订单头"),"",IF(AND($F133="零件",$J133&lt;&gt;""),IFERROR(SUMIFS($R$6:$R132,$A$6:$A132,$A133,$I$6:$I132,$J133)*IF($Q133="",1,$Q133),""),IF($P133="","",$P133*IF($Q133="",1,$Q133))))</f>
        <v/>
      </c>
      <c r="S133" s="6"/>
      <c r="T133" s="6"/>
      <c r="U133" s="6"/>
      <c r="V133" s="11"/>
      <c r="W133" s="7"/>
      <c r="X133" s="25" t="str">
        <f t="shared" si="31"/>
        <v/>
      </c>
      <c r="Y133" s="25" t="str">
        <f t="shared" si="29"/>
        <v/>
      </c>
      <c r="Z133" s="25" t="str">
        <f>IF(AND($F133="零件",$J133&lt;&gt;""),COUNTIFS($A$6:$A133,$A133,$J$6:$J133,$J133,$F$6:$F133,"零件"),"")</f>
        <v/>
      </c>
      <c r="AA133" s="25" t="str">
        <f t="shared" si="32"/>
        <v/>
      </c>
      <c r="AB133" s="25" t="str">
        <f t="shared" si="33"/>
        <v/>
      </c>
      <c r="AC133" s="25" t="str">
        <f t="shared" si="34"/>
        <v/>
      </c>
      <c r="AD133" s="25" t="str">
        <f t="shared" si="35"/>
        <v/>
      </c>
      <c r="AE133" s="25">
        <f t="shared" si="30"/>
        <v>0</v>
      </c>
    </row>
    <row r="134" spans="1:31" ht="25.5" customHeight="1">
      <c r="A134" s="17" t="str">
        <f>IF($F134="","",COUNTIF($F$6:$F134,"订单头"))</f>
        <v/>
      </c>
      <c r="B134" s="6"/>
      <c r="C134" s="11"/>
      <c r="D134" s="6"/>
      <c r="E134" s="6"/>
      <c r="F134" s="6"/>
      <c r="G134" s="20" t="str">
        <f t="shared" ref="G134:G165" si="36">IF($F134="","",IF($F134="订单头","订单头",IF(AND($F134="零件",$J134&lt;&gt;""),IFERROR(SUMIFS($Y$6:$Y$205,$A$6:$A$205,$A134,$I$6:$I$205,$J134)&amp;"."&amp;$Z134,"父组件不存在"),$Y134)))</f>
        <v/>
      </c>
      <c r="H134" s="6"/>
      <c r="I134" s="20" t="str">
        <f>IF($F134="组件","C"&amp;TEXT(COUNTIFS($A$6:$A134,$A134,$F$6:$F134,"组件"),"000"),"")</f>
        <v/>
      </c>
      <c r="J134" s="6" t="str">
        <f t="shared" ref="J134:J165" si="37">IF($F134="零件",IF($P134&lt;&gt;"","",IF(AND($A134=$A133,$F133="组件"),$I133,IF(AND($A134=$A133,$F133="零件",$J133&lt;&gt;""),$J133,""))),"")</f>
        <v/>
      </c>
      <c r="K134" s="6"/>
      <c r="L134" s="6"/>
      <c r="M134" s="6"/>
      <c r="N134" s="6"/>
      <c r="O134" s="6"/>
      <c r="P134" s="14"/>
      <c r="Q134" s="14"/>
      <c r="R134" s="23" t="str">
        <f>IF(OR($F134="",$F134="订单头"),"",IF(AND($F134="零件",$J134&lt;&gt;""),IFERROR(SUMIFS($R$6:$R133,$A$6:$A133,$A134,$I$6:$I133,$J134)*IF($Q134="",1,$Q134),""),IF($P134="","",$P134*IF($Q134="",1,$Q134))))</f>
        <v/>
      </c>
      <c r="S134" s="6"/>
      <c r="T134" s="6"/>
      <c r="U134" s="6"/>
      <c r="V134" s="11"/>
      <c r="W134" s="7"/>
      <c r="X134" s="25" t="str">
        <f t="shared" si="31"/>
        <v/>
      </c>
      <c r="Y134" s="25" t="str">
        <f t="shared" ref="Y134:Y165" si="38">IF($F134="","",IF($F134="订单头","",IF(AND($F134="零件",$J134&lt;&gt;""),"",$X134)))</f>
        <v/>
      </c>
      <c r="Z134" s="25" t="str">
        <f>IF(AND($F134="零件",$J134&lt;&gt;""),COUNTIFS($A$6:$A134,$A134,$J$6:$J134,$J134,$F$6:$F134,"零件"),"")</f>
        <v/>
      </c>
      <c r="AA134" s="25" t="str">
        <f t="shared" si="32"/>
        <v/>
      </c>
      <c r="AB134" s="25" t="str">
        <f t="shared" si="33"/>
        <v/>
      </c>
      <c r="AC134" s="25" t="str">
        <f t="shared" si="34"/>
        <v/>
      </c>
      <c r="AD134" s="25" t="str">
        <f t="shared" si="35"/>
        <v/>
      </c>
      <c r="AE134" s="25">
        <f t="shared" ref="AE134:AE165" si="39">IF(OR($F134="组件",$F134="零件"),1,0)</f>
        <v>0</v>
      </c>
    </row>
    <row r="135" spans="1:31" ht="25.5" customHeight="1">
      <c r="A135" s="17" t="str">
        <f>IF($F135="","",COUNTIF($F$6:$F135,"订单头"))</f>
        <v/>
      </c>
      <c r="B135" s="6"/>
      <c r="C135" s="11"/>
      <c r="D135" s="6"/>
      <c r="E135" s="6"/>
      <c r="F135" s="6"/>
      <c r="G135" s="20" t="str">
        <f t="shared" si="36"/>
        <v/>
      </c>
      <c r="H135" s="6"/>
      <c r="I135" s="20" t="str">
        <f>IF($F135="组件","C"&amp;TEXT(COUNTIFS($A$6:$A135,$A135,$F$6:$F135,"组件"),"000"),"")</f>
        <v/>
      </c>
      <c r="J135" s="6" t="str">
        <f t="shared" si="37"/>
        <v/>
      </c>
      <c r="K135" s="6"/>
      <c r="L135" s="6"/>
      <c r="M135" s="6"/>
      <c r="N135" s="6"/>
      <c r="O135" s="6"/>
      <c r="P135" s="14"/>
      <c r="Q135" s="14"/>
      <c r="R135" s="23" t="str">
        <f>IF(OR($F135="",$F135="订单头"),"",IF(AND($F135="零件",$J135&lt;&gt;""),IFERROR(SUMIFS($R$6:$R134,$A$6:$A134,$A135,$I$6:$I134,$J135)*IF($Q135="",1,$Q135),""),IF($P135="","",$P135*IF($Q135="",1,$Q135))))</f>
        <v/>
      </c>
      <c r="S135" s="6"/>
      <c r="T135" s="6"/>
      <c r="U135" s="6"/>
      <c r="V135" s="11"/>
      <c r="W135" s="7"/>
      <c r="X135" s="25" t="str">
        <f t="shared" ref="X135:X166" si="40">IF($F135="","",IF($F135="订单头",0,IF($A135=$A134,$X134,0)+IF(OR($F135="组件",AND($F135="零件",$J135="")),1,0)))</f>
        <v/>
      </c>
      <c r="Y135" s="25" t="str">
        <f t="shared" si="38"/>
        <v/>
      </c>
      <c r="Z135" s="25" t="str">
        <f>IF(AND($F135="零件",$J135&lt;&gt;""),COUNTIFS($A$6:$A135,$A135,$J$6:$J135,$J135,$F$6:$F135,"零件"),"")</f>
        <v/>
      </c>
      <c r="AA135" s="25" t="str">
        <f t="shared" ref="AA135:AA166" si="41">IF($F135="","",IF($F135="订单头",$B135,IF($A135=$A134,$AA134,"")))</f>
        <v/>
      </c>
      <c r="AB135" s="25" t="str">
        <f t="shared" ref="AB135:AB166" si="42">IF($F135="","",IF($F135="订单头",$C135,IF($A135=$A134,$AB134,"")))</f>
        <v/>
      </c>
      <c r="AC135" s="25" t="str">
        <f t="shared" ref="AC135:AC166" si="43">IF($F135="","",IF($F135="订单头",$D135,IF($A135=$A134,$AC134,"")))</f>
        <v/>
      </c>
      <c r="AD135" s="25" t="str">
        <f t="shared" ref="AD135:AD166" si="44">IF($F135="","",IF($F135="订单头",$E135,IF($A135=$A134,$AD134,"")))</f>
        <v/>
      </c>
      <c r="AE135" s="25">
        <f t="shared" si="39"/>
        <v>0</v>
      </c>
    </row>
    <row r="136" spans="1:31" ht="25.5" customHeight="1">
      <c r="A136" s="17" t="str">
        <f>IF($F136="","",COUNTIF($F$6:$F136,"订单头"))</f>
        <v/>
      </c>
      <c r="B136" s="6"/>
      <c r="C136" s="11"/>
      <c r="D136" s="6"/>
      <c r="E136" s="6"/>
      <c r="F136" s="6"/>
      <c r="G136" s="20" t="str">
        <f t="shared" si="36"/>
        <v/>
      </c>
      <c r="H136" s="6"/>
      <c r="I136" s="20" t="str">
        <f>IF($F136="组件","C"&amp;TEXT(COUNTIFS($A$6:$A136,$A136,$F$6:$F136,"组件"),"000"),"")</f>
        <v/>
      </c>
      <c r="J136" s="6" t="str">
        <f t="shared" si="37"/>
        <v/>
      </c>
      <c r="K136" s="6"/>
      <c r="L136" s="6"/>
      <c r="M136" s="6"/>
      <c r="N136" s="6"/>
      <c r="O136" s="6"/>
      <c r="P136" s="14"/>
      <c r="Q136" s="14"/>
      <c r="R136" s="23" t="str">
        <f>IF(OR($F136="",$F136="订单头"),"",IF(AND($F136="零件",$J136&lt;&gt;""),IFERROR(SUMIFS($R$6:$R135,$A$6:$A135,$A136,$I$6:$I135,$J136)*IF($Q136="",1,$Q136),""),IF($P136="","",$P136*IF($Q136="",1,$Q136))))</f>
        <v/>
      </c>
      <c r="S136" s="6"/>
      <c r="T136" s="6"/>
      <c r="U136" s="6"/>
      <c r="V136" s="11"/>
      <c r="W136" s="7"/>
      <c r="X136" s="25" t="str">
        <f t="shared" si="40"/>
        <v/>
      </c>
      <c r="Y136" s="25" t="str">
        <f t="shared" si="38"/>
        <v/>
      </c>
      <c r="Z136" s="25" t="str">
        <f>IF(AND($F136="零件",$J136&lt;&gt;""),COUNTIFS($A$6:$A136,$A136,$J$6:$J136,$J136,$F$6:$F136,"零件"),"")</f>
        <v/>
      </c>
      <c r="AA136" s="25" t="str">
        <f t="shared" si="41"/>
        <v/>
      </c>
      <c r="AB136" s="25" t="str">
        <f t="shared" si="42"/>
        <v/>
      </c>
      <c r="AC136" s="25" t="str">
        <f t="shared" si="43"/>
        <v/>
      </c>
      <c r="AD136" s="25" t="str">
        <f t="shared" si="44"/>
        <v/>
      </c>
      <c r="AE136" s="25">
        <f t="shared" si="39"/>
        <v>0</v>
      </c>
    </row>
    <row r="137" spans="1:31" ht="25.5" customHeight="1">
      <c r="A137" s="17" t="str">
        <f>IF($F137="","",COUNTIF($F$6:$F137,"订单头"))</f>
        <v/>
      </c>
      <c r="B137" s="6"/>
      <c r="C137" s="11"/>
      <c r="D137" s="6"/>
      <c r="E137" s="6"/>
      <c r="F137" s="6"/>
      <c r="G137" s="20" t="str">
        <f t="shared" si="36"/>
        <v/>
      </c>
      <c r="H137" s="6"/>
      <c r="I137" s="20" t="str">
        <f>IF($F137="组件","C"&amp;TEXT(COUNTIFS($A$6:$A137,$A137,$F$6:$F137,"组件"),"000"),"")</f>
        <v/>
      </c>
      <c r="J137" s="6" t="str">
        <f t="shared" si="37"/>
        <v/>
      </c>
      <c r="K137" s="6"/>
      <c r="L137" s="6"/>
      <c r="M137" s="6"/>
      <c r="N137" s="6"/>
      <c r="O137" s="6"/>
      <c r="P137" s="14"/>
      <c r="Q137" s="14"/>
      <c r="R137" s="23" t="str">
        <f>IF(OR($F137="",$F137="订单头"),"",IF(AND($F137="零件",$J137&lt;&gt;""),IFERROR(SUMIFS($R$6:$R136,$A$6:$A136,$A137,$I$6:$I136,$J137)*IF($Q137="",1,$Q137),""),IF($P137="","",$P137*IF($Q137="",1,$Q137))))</f>
        <v/>
      </c>
      <c r="S137" s="6"/>
      <c r="T137" s="6"/>
      <c r="U137" s="6"/>
      <c r="V137" s="11"/>
      <c r="W137" s="7"/>
      <c r="X137" s="25" t="str">
        <f t="shared" si="40"/>
        <v/>
      </c>
      <c r="Y137" s="25" t="str">
        <f t="shared" si="38"/>
        <v/>
      </c>
      <c r="Z137" s="25" t="str">
        <f>IF(AND($F137="零件",$J137&lt;&gt;""),COUNTIFS($A$6:$A137,$A137,$J$6:$J137,$J137,$F$6:$F137,"零件"),"")</f>
        <v/>
      </c>
      <c r="AA137" s="25" t="str">
        <f t="shared" si="41"/>
        <v/>
      </c>
      <c r="AB137" s="25" t="str">
        <f t="shared" si="42"/>
        <v/>
      </c>
      <c r="AC137" s="25" t="str">
        <f t="shared" si="43"/>
        <v/>
      </c>
      <c r="AD137" s="25" t="str">
        <f t="shared" si="44"/>
        <v/>
      </c>
      <c r="AE137" s="25">
        <f t="shared" si="39"/>
        <v>0</v>
      </c>
    </row>
    <row r="138" spans="1:31" ht="25.5" customHeight="1">
      <c r="A138" s="17" t="str">
        <f>IF($F138="","",COUNTIF($F$6:$F138,"订单头"))</f>
        <v/>
      </c>
      <c r="B138" s="6"/>
      <c r="C138" s="11"/>
      <c r="D138" s="6"/>
      <c r="E138" s="6"/>
      <c r="F138" s="6"/>
      <c r="G138" s="20" t="str">
        <f t="shared" si="36"/>
        <v/>
      </c>
      <c r="H138" s="6"/>
      <c r="I138" s="20" t="str">
        <f>IF($F138="组件","C"&amp;TEXT(COUNTIFS($A$6:$A138,$A138,$F$6:$F138,"组件"),"000"),"")</f>
        <v/>
      </c>
      <c r="J138" s="6" t="str">
        <f t="shared" si="37"/>
        <v/>
      </c>
      <c r="K138" s="6"/>
      <c r="L138" s="6"/>
      <c r="M138" s="6"/>
      <c r="N138" s="6"/>
      <c r="O138" s="6"/>
      <c r="P138" s="14"/>
      <c r="Q138" s="14"/>
      <c r="R138" s="23" t="str">
        <f>IF(OR($F138="",$F138="订单头"),"",IF(AND($F138="零件",$J138&lt;&gt;""),IFERROR(SUMIFS($R$6:$R137,$A$6:$A137,$A138,$I$6:$I137,$J138)*IF($Q138="",1,$Q138),""),IF($P138="","",$P138*IF($Q138="",1,$Q138))))</f>
        <v/>
      </c>
      <c r="S138" s="6"/>
      <c r="T138" s="6"/>
      <c r="U138" s="6"/>
      <c r="V138" s="11"/>
      <c r="W138" s="7"/>
      <c r="X138" s="25" t="str">
        <f t="shared" si="40"/>
        <v/>
      </c>
      <c r="Y138" s="25" t="str">
        <f t="shared" si="38"/>
        <v/>
      </c>
      <c r="Z138" s="25" t="str">
        <f>IF(AND($F138="零件",$J138&lt;&gt;""),COUNTIFS($A$6:$A138,$A138,$J$6:$J138,$J138,$F$6:$F138,"零件"),"")</f>
        <v/>
      </c>
      <c r="AA138" s="25" t="str">
        <f t="shared" si="41"/>
        <v/>
      </c>
      <c r="AB138" s="25" t="str">
        <f t="shared" si="42"/>
        <v/>
      </c>
      <c r="AC138" s="25" t="str">
        <f t="shared" si="43"/>
        <v/>
      </c>
      <c r="AD138" s="25" t="str">
        <f t="shared" si="44"/>
        <v/>
      </c>
      <c r="AE138" s="25">
        <f t="shared" si="39"/>
        <v>0</v>
      </c>
    </row>
    <row r="139" spans="1:31" ht="25.5" customHeight="1">
      <c r="A139" s="17" t="str">
        <f>IF($F139="","",COUNTIF($F$6:$F139,"订单头"))</f>
        <v/>
      </c>
      <c r="B139" s="6"/>
      <c r="C139" s="11"/>
      <c r="D139" s="6"/>
      <c r="E139" s="6"/>
      <c r="F139" s="6"/>
      <c r="G139" s="20" t="str">
        <f t="shared" si="36"/>
        <v/>
      </c>
      <c r="H139" s="6"/>
      <c r="I139" s="20" t="str">
        <f>IF($F139="组件","C"&amp;TEXT(COUNTIFS($A$6:$A139,$A139,$F$6:$F139,"组件"),"000"),"")</f>
        <v/>
      </c>
      <c r="J139" s="6" t="str">
        <f t="shared" si="37"/>
        <v/>
      </c>
      <c r="K139" s="6"/>
      <c r="L139" s="6"/>
      <c r="M139" s="6"/>
      <c r="N139" s="6"/>
      <c r="O139" s="6"/>
      <c r="P139" s="14"/>
      <c r="Q139" s="14"/>
      <c r="R139" s="23" t="str">
        <f>IF(OR($F139="",$F139="订单头"),"",IF(AND($F139="零件",$J139&lt;&gt;""),IFERROR(SUMIFS($R$6:$R138,$A$6:$A138,$A139,$I$6:$I138,$J139)*IF($Q139="",1,$Q139),""),IF($P139="","",$P139*IF($Q139="",1,$Q139))))</f>
        <v/>
      </c>
      <c r="S139" s="6"/>
      <c r="T139" s="6"/>
      <c r="U139" s="6"/>
      <c r="V139" s="11"/>
      <c r="W139" s="7"/>
      <c r="X139" s="25" t="str">
        <f t="shared" si="40"/>
        <v/>
      </c>
      <c r="Y139" s="25" t="str">
        <f t="shared" si="38"/>
        <v/>
      </c>
      <c r="Z139" s="25" t="str">
        <f>IF(AND($F139="零件",$J139&lt;&gt;""),COUNTIFS($A$6:$A139,$A139,$J$6:$J139,$J139,$F$6:$F139,"零件"),"")</f>
        <v/>
      </c>
      <c r="AA139" s="25" t="str">
        <f t="shared" si="41"/>
        <v/>
      </c>
      <c r="AB139" s="25" t="str">
        <f t="shared" si="42"/>
        <v/>
      </c>
      <c r="AC139" s="25" t="str">
        <f t="shared" si="43"/>
        <v/>
      </c>
      <c r="AD139" s="25" t="str">
        <f t="shared" si="44"/>
        <v/>
      </c>
      <c r="AE139" s="25">
        <f t="shared" si="39"/>
        <v>0</v>
      </c>
    </row>
    <row r="140" spans="1:31" ht="25.5" customHeight="1">
      <c r="A140" s="17" t="str">
        <f>IF($F140="","",COUNTIF($F$6:$F140,"订单头"))</f>
        <v/>
      </c>
      <c r="B140" s="6"/>
      <c r="C140" s="11"/>
      <c r="D140" s="6"/>
      <c r="E140" s="6"/>
      <c r="F140" s="6"/>
      <c r="G140" s="20" t="str">
        <f t="shared" si="36"/>
        <v/>
      </c>
      <c r="H140" s="6"/>
      <c r="I140" s="20" t="str">
        <f>IF($F140="组件","C"&amp;TEXT(COUNTIFS($A$6:$A140,$A140,$F$6:$F140,"组件"),"000"),"")</f>
        <v/>
      </c>
      <c r="J140" s="6" t="str">
        <f t="shared" si="37"/>
        <v/>
      </c>
      <c r="K140" s="6"/>
      <c r="L140" s="6"/>
      <c r="M140" s="6"/>
      <c r="N140" s="6"/>
      <c r="O140" s="6"/>
      <c r="P140" s="14"/>
      <c r="Q140" s="14"/>
      <c r="R140" s="23" t="str">
        <f>IF(OR($F140="",$F140="订单头"),"",IF(AND($F140="零件",$J140&lt;&gt;""),IFERROR(SUMIFS($R$6:$R139,$A$6:$A139,$A140,$I$6:$I139,$J140)*IF($Q140="",1,$Q140),""),IF($P140="","",$P140*IF($Q140="",1,$Q140))))</f>
        <v/>
      </c>
      <c r="S140" s="6"/>
      <c r="T140" s="6"/>
      <c r="U140" s="6"/>
      <c r="V140" s="11"/>
      <c r="W140" s="7"/>
      <c r="X140" s="25" t="str">
        <f t="shared" si="40"/>
        <v/>
      </c>
      <c r="Y140" s="25" t="str">
        <f t="shared" si="38"/>
        <v/>
      </c>
      <c r="Z140" s="25" t="str">
        <f>IF(AND($F140="零件",$J140&lt;&gt;""),COUNTIFS($A$6:$A140,$A140,$J$6:$J140,$J140,$F$6:$F140,"零件"),"")</f>
        <v/>
      </c>
      <c r="AA140" s="25" t="str">
        <f t="shared" si="41"/>
        <v/>
      </c>
      <c r="AB140" s="25" t="str">
        <f t="shared" si="42"/>
        <v/>
      </c>
      <c r="AC140" s="25" t="str">
        <f t="shared" si="43"/>
        <v/>
      </c>
      <c r="AD140" s="25" t="str">
        <f t="shared" si="44"/>
        <v/>
      </c>
      <c r="AE140" s="25">
        <f t="shared" si="39"/>
        <v>0</v>
      </c>
    </row>
    <row r="141" spans="1:31" ht="25.5" customHeight="1">
      <c r="A141" s="17" t="str">
        <f>IF($F141="","",COUNTIF($F$6:$F141,"订单头"))</f>
        <v/>
      </c>
      <c r="B141" s="6"/>
      <c r="C141" s="11"/>
      <c r="D141" s="6"/>
      <c r="E141" s="6"/>
      <c r="F141" s="6"/>
      <c r="G141" s="20" t="str">
        <f t="shared" si="36"/>
        <v/>
      </c>
      <c r="H141" s="6"/>
      <c r="I141" s="20" t="str">
        <f>IF($F141="组件","C"&amp;TEXT(COUNTIFS($A$6:$A141,$A141,$F$6:$F141,"组件"),"000"),"")</f>
        <v/>
      </c>
      <c r="J141" s="6" t="str">
        <f t="shared" si="37"/>
        <v/>
      </c>
      <c r="K141" s="6"/>
      <c r="L141" s="6"/>
      <c r="M141" s="6"/>
      <c r="N141" s="6"/>
      <c r="O141" s="6"/>
      <c r="P141" s="14"/>
      <c r="Q141" s="14"/>
      <c r="R141" s="23" t="str">
        <f>IF(OR($F141="",$F141="订单头"),"",IF(AND($F141="零件",$J141&lt;&gt;""),IFERROR(SUMIFS($R$6:$R140,$A$6:$A140,$A141,$I$6:$I140,$J141)*IF($Q141="",1,$Q141),""),IF($P141="","",$P141*IF($Q141="",1,$Q141))))</f>
        <v/>
      </c>
      <c r="S141" s="6"/>
      <c r="T141" s="6"/>
      <c r="U141" s="6"/>
      <c r="V141" s="11"/>
      <c r="W141" s="7"/>
      <c r="X141" s="25" t="str">
        <f t="shared" si="40"/>
        <v/>
      </c>
      <c r="Y141" s="25" t="str">
        <f t="shared" si="38"/>
        <v/>
      </c>
      <c r="Z141" s="25" t="str">
        <f>IF(AND($F141="零件",$J141&lt;&gt;""),COUNTIFS($A$6:$A141,$A141,$J$6:$J141,$J141,$F$6:$F141,"零件"),"")</f>
        <v/>
      </c>
      <c r="AA141" s="25" t="str">
        <f t="shared" si="41"/>
        <v/>
      </c>
      <c r="AB141" s="25" t="str">
        <f t="shared" si="42"/>
        <v/>
      </c>
      <c r="AC141" s="25" t="str">
        <f t="shared" si="43"/>
        <v/>
      </c>
      <c r="AD141" s="25" t="str">
        <f t="shared" si="44"/>
        <v/>
      </c>
      <c r="AE141" s="25">
        <f t="shared" si="39"/>
        <v>0</v>
      </c>
    </row>
    <row r="142" spans="1:31" ht="25.5" customHeight="1">
      <c r="A142" s="17" t="str">
        <f>IF($F142="","",COUNTIF($F$6:$F142,"订单头"))</f>
        <v/>
      </c>
      <c r="B142" s="6"/>
      <c r="C142" s="11"/>
      <c r="D142" s="6"/>
      <c r="E142" s="6"/>
      <c r="F142" s="6"/>
      <c r="G142" s="20" t="str">
        <f t="shared" si="36"/>
        <v/>
      </c>
      <c r="H142" s="6"/>
      <c r="I142" s="20" t="str">
        <f>IF($F142="组件","C"&amp;TEXT(COUNTIFS($A$6:$A142,$A142,$F$6:$F142,"组件"),"000"),"")</f>
        <v/>
      </c>
      <c r="J142" s="6" t="str">
        <f t="shared" si="37"/>
        <v/>
      </c>
      <c r="K142" s="6"/>
      <c r="L142" s="6"/>
      <c r="M142" s="6"/>
      <c r="N142" s="6"/>
      <c r="O142" s="6"/>
      <c r="P142" s="14"/>
      <c r="Q142" s="14"/>
      <c r="R142" s="23" t="str">
        <f>IF(OR($F142="",$F142="订单头"),"",IF(AND($F142="零件",$J142&lt;&gt;""),IFERROR(SUMIFS($R$6:$R141,$A$6:$A141,$A142,$I$6:$I141,$J142)*IF($Q142="",1,$Q142),""),IF($P142="","",$P142*IF($Q142="",1,$Q142))))</f>
        <v/>
      </c>
      <c r="S142" s="6"/>
      <c r="T142" s="6"/>
      <c r="U142" s="6"/>
      <c r="V142" s="11"/>
      <c r="W142" s="7"/>
      <c r="X142" s="25" t="str">
        <f t="shared" si="40"/>
        <v/>
      </c>
      <c r="Y142" s="25" t="str">
        <f t="shared" si="38"/>
        <v/>
      </c>
      <c r="Z142" s="25" t="str">
        <f>IF(AND($F142="零件",$J142&lt;&gt;""),COUNTIFS($A$6:$A142,$A142,$J$6:$J142,$J142,$F$6:$F142,"零件"),"")</f>
        <v/>
      </c>
      <c r="AA142" s="25" t="str">
        <f t="shared" si="41"/>
        <v/>
      </c>
      <c r="AB142" s="25" t="str">
        <f t="shared" si="42"/>
        <v/>
      </c>
      <c r="AC142" s="25" t="str">
        <f t="shared" si="43"/>
        <v/>
      </c>
      <c r="AD142" s="25" t="str">
        <f t="shared" si="44"/>
        <v/>
      </c>
      <c r="AE142" s="25">
        <f t="shared" si="39"/>
        <v>0</v>
      </c>
    </row>
    <row r="143" spans="1:31" ht="25.5" customHeight="1">
      <c r="A143" s="17" t="str">
        <f>IF($F143="","",COUNTIF($F$6:$F143,"订单头"))</f>
        <v/>
      </c>
      <c r="B143" s="6"/>
      <c r="C143" s="11"/>
      <c r="D143" s="6"/>
      <c r="E143" s="6"/>
      <c r="F143" s="6"/>
      <c r="G143" s="20" t="str">
        <f t="shared" si="36"/>
        <v/>
      </c>
      <c r="H143" s="6"/>
      <c r="I143" s="20" t="str">
        <f>IF($F143="组件","C"&amp;TEXT(COUNTIFS($A$6:$A143,$A143,$F$6:$F143,"组件"),"000"),"")</f>
        <v/>
      </c>
      <c r="J143" s="6" t="str">
        <f t="shared" si="37"/>
        <v/>
      </c>
      <c r="K143" s="6"/>
      <c r="L143" s="6"/>
      <c r="M143" s="6"/>
      <c r="N143" s="6"/>
      <c r="O143" s="6"/>
      <c r="P143" s="14"/>
      <c r="Q143" s="14"/>
      <c r="R143" s="23" t="str">
        <f>IF(OR($F143="",$F143="订单头"),"",IF(AND($F143="零件",$J143&lt;&gt;""),IFERROR(SUMIFS($R$6:$R142,$A$6:$A142,$A143,$I$6:$I142,$J143)*IF($Q143="",1,$Q143),""),IF($P143="","",$P143*IF($Q143="",1,$Q143))))</f>
        <v/>
      </c>
      <c r="S143" s="6"/>
      <c r="T143" s="6"/>
      <c r="U143" s="6"/>
      <c r="V143" s="11"/>
      <c r="W143" s="7"/>
      <c r="X143" s="25" t="str">
        <f t="shared" si="40"/>
        <v/>
      </c>
      <c r="Y143" s="25" t="str">
        <f t="shared" si="38"/>
        <v/>
      </c>
      <c r="Z143" s="25" t="str">
        <f>IF(AND($F143="零件",$J143&lt;&gt;""),COUNTIFS($A$6:$A143,$A143,$J$6:$J143,$J143,$F$6:$F143,"零件"),"")</f>
        <v/>
      </c>
      <c r="AA143" s="25" t="str">
        <f t="shared" si="41"/>
        <v/>
      </c>
      <c r="AB143" s="25" t="str">
        <f t="shared" si="42"/>
        <v/>
      </c>
      <c r="AC143" s="25" t="str">
        <f t="shared" si="43"/>
        <v/>
      </c>
      <c r="AD143" s="25" t="str">
        <f t="shared" si="44"/>
        <v/>
      </c>
      <c r="AE143" s="25">
        <f t="shared" si="39"/>
        <v>0</v>
      </c>
    </row>
    <row r="144" spans="1:31" ht="25.5" customHeight="1">
      <c r="A144" s="17" t="str">
        <f>IF($F144="","",COUNTIF($F$6:$F144,"订单头"))</f>
        <v/>
      </c>
      <c r="B144" s="6"/>
      <c r="C144" s="11"/>
      <c r="D144" s="6"/>
      <c r="E144" s="6"/>
      <c r="F144" s="6"/>
      <c r="G144" s="20" t="str">
        <f t="shared" si="36"/>
        <v/>
      </c>
      <c r="H144" s="6"/>
      <c r="I144" s="20" t="str">
        <f>IF($F144="组件","C"&amp;TEXT(COUNTIFS($A$6:$A144,$A144,$F$6:$F144,"组件"),"000"),"")</f>
        <v/>
      </c>
      <c r="J144" s="6" t="str">
        <f t="shared" si="37"/>
        <v/>
      </c>
      <c r="K144" s="6"/>
      <c r="L144" s="6"/>
      <c r="M144" s="6"/>
      <c r="N144" s="6"/>
      <c r="O144" s="6"/>
      <c r="P144" s="14"/>
      <c r="Q144" s="14"/>
      <c r="R144" s="23" t="str">
        <f>IF(OR($F144="",$F144="订单头"),"",IF(AND($F144="零件",$J144&lt;&gt;""),IFERROR(SUMIFS($R$6:$R143,$A$6:$A143,$A144,$I$6:$I143,$J144)*IF($Q144="",1,$Q144),""),IF($P144="","",$P144*IF($Q144="",1,$Q144))))</f>
        <v/>
      </c>
      <c r="S144" s="6"/>
      <c r="T144" s="6"/>
      <c r="U144" s="6"/>
      <c r="V144" s="11"/>
      <c r="W144" s="7"/>
      <c r="X144" s="25" t="str">
        <f t="shared" si="40"/>
        <v/>
      </c>
      <c r="Y144" s="25" t="str">
        <f t="shared" si="38"/>
        <v/>
      </c>
      <c r="Z144" s="25" t="str">
        <f>IF(AND($F144="零件",$J144&lt;&gt;""),COUNTIFS($A$6:$A144,$A144,$J$6:$J144,$J144,$F$6:$F144,"零件"),"")</f>
        <v/>
      </c>
      <c r="AA144" s="25" t="str">
        <f t="shared" si="41"/>
        <v/>
      </c>
      <c r="AB144" s="25" t="str">
        <f t="shared" si="42"/>
        <v/>
      </c>
      <c r="AC144" s="25" t="str">
        <f t="shared" si="43"/>
        <v/>
      </c>
      <c r="AD144" s="25" t="str">
        <f t="shared" si="44"/>
        <v/>
      </c>
      <c r="AE144" s="25">
        <f t="shared" si="39"/>
        <v>0</v>
      </c>
    </row>
    <row r="145" spans="1:31" ht="25.5" customHeight="1">
      <c r="A145" s="17" t="str">
        <f>IF($F145="","",COUNTIF($F$6:$F145,"订单头"))</f>
        <v/>
      </c>
      <c r="B145" s="6"/>
      <c r="C145" s="11"/>
      <c r="D145" s="6"/>
      <c r="E145" s="6"/>
      <c r="F145" s="6"/>
      <c r="G145" s="20" t="str">
        <f t="shared" si="36"/>
        <v/>
      </c>
      <c r="H145" s="6"/>
      <c r="I145" s="20" t="str">
        <f>IF($F145="组件","C"&amp;TEXT(COUNTIFS($A$6:$A145,$A145,$F$6:$F145,"组件"),"000"),"")</f>
        <v/>
      </c>
      <c r="J145" s="6" t="str">
        <f t="shared" si="37"/>
        <v/>
      </c>
      <c r="K145" s="6"/>
      <c r="L145" s="6"/>
      <c r="M145" s="6"/>
      <c r="N145" s="6"/>
      <c r="O145" s="6"/>
      <c r="P145" s="14"/>
      <c r="Q145" s="14"/>
      <c r="R145" s="23" t="str">
        <f>IF(OR($F145="",$F145="订单头"),"",IF(AND($F145="零件",$J145&lt;&gt;""),IFERROR(SUMIFS($R$6:$R144,$A$6:$A144,$A145,$I$6:$I144,$J145)*IF($Q145="",1,$Q145),""),IF($P145="","",$P145*IF($Q145="",1,$Q145))))</f>
        <v/>
      </c>
      <c r="S145" s="6"/>
      <c r="T145" s="6"/>
      <c r="U145" s="6"/>
      <c r="V145" s="11"/>
      <c r="W145" s="7"/>
      <c r="X145" s="25" t="str">
        <f t="shared" si="40"/>
        <v/>
      </c>
      <c r="Y145" s="25" t="str">
        <f t="shared" si="38"/>
        <v/>
      </c>
      <c r="Z145" s="25" t="str">
        <f>IF(AND($F145="零件",$J145&lt;&gt;""),COUNTIFS($A$6:$A145,$A145,$J$6:$J145,$J145,$F$6:$F145,"零件"),"")</f>
        <v/>
      </c>
      <c r="AA145" s="25" t="str">
        <f t="shared" si="41"/>
        <v/>
      </c>
      <c r="AB145" s="25" t="str">
        <f t="shared" si="42"/>
        <v/>
      </c>
      <c r="AC145" s="25" t="str">
        <f t="shared" si="43"/>
        <v/>
      </c>
      <c r="AD145" s="25" t="str">
        <f t="shared" si="44"/>
        <v/>
      </c>
      <c r="AE145" s="25">
        <f t="shared" si="39"/>
        <v>0</v>
      </c>
    </row>
    <row r="146" spans="1:31" ht="25.5" customHeight="1">
      <c r="A146" s="17" t="str">
        <f>IF($F146="","",COUNTIF($F$6:$F146,"订单头"))</f>
        <v/>
      </c>
      <c r="B146" s="6"/>
      <c r="C146" s="11"/>
      <c r="D146" s="6"/>
      <c r="E146" s="6"/>
      <c r="F146" s="6"/>
      <c r="G146" s="20" t="str">
        <f t="shared" si="36"/>
        <v/>
      </c>
      <c r="H146" s="6"/>
      <c r="I146" s="20" t="str">
        <f>IF($F146="组件","C"&amp;TEXT(COUNTIFS($A$6:$A146,$A146,$F$6:$F146,"组件"),"000"),"")</f>
        <v/>
      </c>
      <c r="J146" s="6" t="str">
        <f t="shared" si="37"/>
        <v/>
      </c>
      <c r="K146" s="6"/>
      <c r="L146" s="6"/>
      <c r="M146" s="6"/>
      <c r="N146" s="6"/>
      <c r="O146" s="6"/>
      <c r="P146" s="14"/>
      <c r="Q146" s="14"/>
      <c r="R146" s="23" t="str">
        <f>IF(OR($F146="",$F146="订单头"),"",IF(AND($F146="零件",$J146&lt;&gt;""),IFERROR(SUMIFS($R$6:$R145,$A$6:$A145,$A146,$I$6:$I145,$J146)*IF($Q146="",1,$Q146),""),IF($P146="","",$P146*IF($Q146="",1,$Q146))))</f>
        <v/>
      </c>
      <c r="S146" s="6"/>
      <c r="T146" s="6"/>
      <c r="U146" s="6"/>
      <c r="V146" s="11"/>
      <c r="W146" s="7"/>
      <c r="X146" s="25" t="str">
        <f t="shared" si="40"/>
        <v/>
      </c>
      <c r="Y146" s="25" t="str">
        <f t="shared" si="38"/>
        <v/>
      </c>
      <c r="Z146" s="25" t="str">
        <f>IF(AND($F146="零件",$J146&lt;&gt;""),COUNTIFS($A$6:$A146,$A146,$J$6:$J146,$J146,$F$6:$F146,"零件"),"")</f>
        <v/>
      </c>
      <c r="AA146" s="25" t="str">
        <f t="shared" si="41"/>
        <v/>
      </c>
      <c r="AB146" s="25" t="str">
        <f t="shared" si="42"/>
        <v/>
      </c>
      <c r="AC146" s="25" t="str">
        <f t="shared" si="43"/>
        <v/>
      </c>
      <c r="AD146" s="25" t="str">
        <f t="shared" si="44"/>
        <v/>
      </c>
      <c r="AE146" s="25">
        <f t="shared" si="39"/>
        <v>0</v>
      </c>
    </row>
    <row r="147" spans="1:31" ht="25.5" customHeight="1">
      <c r="A147" s="17" t="str">
        <f>IF($F147="","",COUNTIF($F$6:$F147,"订单头"))</f>
        <v/>
      </c>
      <c r="B147" s="6"/>
      <c r="C147" s="11"/>
      <c r="D147" s="6"/>
      <c r="E147" s="6"/>
      <c r="F147" s="6"/>
      <c r="G147" s="20" t="str">
        <f t="shared" si="36"/>
        <v/>
      </c>
      <c r="H147" s="6"/>
      <c r="I147" s="20" t="str">
        <f>IF($F147="组件","C"&amp;TEXT(COUNTIFS($A$6:$A147,$A147,$F$6:$F147,"组件"),"000"),"")</f>
        <v/>
      </c>
      <c r="J147" s="6" t="str">
        <f t="shared" si="37"/>
        <v/>
      </c>
      <c r="K147" s="6"/>
      <c r="L147" s="6"/>
      <c r="M147" s="6"/>
      <c r="N147" s="6"/>
      <c r="O147" s="6"/>
      <c r="P147" s="14"/>
      <c r="Q147" s="14"/>
      <c r="R147" s="23" t="str">
        <f>IF(OR($F147="",$F147="订单头"),"",IF(AND($F147="零件",$J147&lt;&gt;""),IFERROR(SUMIFS($R$6:$R146,$A$6:$A146,$A147,$I$6:$I146,$J147)*IF($Q147="",1,$Q147),""),IF($P147="","",$P147*IF($Q147="",1,$Q147))))</f>
        <v/>
      </c>
      <c r="S147" s="6"/>
      <c r="T147" s="6"/>
      <c r="U147" s="6"/>
      <c r="V147" s="11"/>
      <c r="W147" s="7"/>
      <c r="X147" s="25" t="str">
        <f t="shared" si="40"/>
        <v/>
      </c>
      <c r="Y147" s="25" t="str">
        <f t="shared" si="38"/>
        <v/>
      </c>
      <c r="Z147" s="25" t="str">
        <f>IF(AND($F147="零件",$J147&lt;&gt;""),COUNTIFS($A$6:$A147,$A147,$J$6:$J147,$J147,$F$6:$F147,"零件"),"")</f>
        <v/>
      </c>
      <c r="AA147" s="25" t="str">
        <f t="shared" si="41"/>
        <v/>
      </c>
      <c r="AB147" s="25" t="str">
        <f t="shared" si="42"/>
        <v/>
      </c>
      <c r="AC147" s="25" t="str">
        <f t="shared" si="43"/>
        <v/>
      </c>
      <c r="AD147" s="25" t="str">
        <f t="shared" si="44"/>
        <v/>
      </c>
      <c r="AE147" s="25">
        <f t="shared" si="39"/>
        <v>0</v>
      </c>
    </row>
    <row r="148" spans="1:31" ht="25.5" customHeight="1">
      <c r="A148" s="17" t="str">
        <f>IF($F148="","",COUNTIF($F$6:$F148,"订单头"))</f>
        <v/>
      </c>
      <c r="B148" s="6"/>
      <c r="C148" s="11"/>
      <c r="D148" s="6"/>
      <c r="E148" s="6"/>
      <c r="F148" s="6"/>
      <c r="G148" s="20" t="str">
        <f t="shared" si="36"/>
        <v/>
      </c>
      <c r="H148" s="6"/>
      <c r="I148" s="20" t="str">
        <f>IF($F148="组件","C"&amp;TEXT(COUNTIFS($A$6:$A148,$A148,$F$6:$F148,"组件"),"000"),"")</f>
        <v/>
      </c>
      <c r="J148" s="6" t="str">
        <f t="shared" si="37"/>
        <v/>
      </c>
      <c r="K148" s="6"/>
      <c r="L148" s="6"/>
      <c r="M148" s="6"/>
      <c r="N148" s="6"/>
      <c r="O148" s="6"/>
      <c r="P148" s="14"/>
      <c r="Q148" s="14"/>
      <c r="R148" s="23" t="str">
        <f>IF(OR($F148="",$F148="订单头"),"",IF(AND($F148="零件",$J148&lt;&gt;""),IFERROR(SUMIFS($R$6:$R147,$A$6:$A147,$A148,$I$6:$I147,$J148)*IF($Q148="",1,$Q148),""),IF($P148="","",$P148*IF($Q148="",1,$Q148))))</f>
        <v/>
      </c>
      <c r="S148" s="6"/>
      <c r="T148" s="6"/>
      <c r="U148" s="6"/>
      <c r="V148" s="11"/>
      <c r="W148" s="7"/>
      <c r="X148" s="25" t="str">
        <f t="shared" si="40"/>
        <v/>
      </c>
      <c r="Y148" s="25" t="str">
        <f t="shared" si="38"/>
        <v/>
      </c>
      <c r="Z148" s="25" t="str">
        <f>IF(AND($F148="零件",$J148&lt;&gt;""),COUNTIFS($A$6:$A148,$A148,$J$6:$J148,$J148,$F$6:$F148,"零件"),"")</f>
        <v/>
      </c>
      <c r="AA148" s="25" t="str">
        <f t="shared" si="41"/>
        <v/>
      </c>
      <c r="AB148" s="25" t="str">
        <f t="shared" si="42"/>
        <v/>
      </c>
      <c r="AC148" s="25" t="str">
        <f t="shared" si="43"/>
        <v/>
      </c>
      <c r="AD148" s="25" t="str">
        <f t="shared" si="44"/>
        <v/>
      </c>
      <c r="AE148" s="25">
        <f t="shared" si="39"/>
        <v>0</v>
      </c>
    </row>
    <row r="149" spans="1:31" ht="25.5" customHeight="1">
      <c r="A149" s="17" t="str">
        <f>IF($F149="","",COUNTIF($F$6:$F149,"订单头"))</f>
        <v/>
      </c>
      <c r="B149" s="6"/>
      <c r="C149" s="11"/>
      <c r="D149" s="6"/>
      <c r="E149" s="6"/>
      <c r="F149" s="6"/>
      <c r="G149" s="20" t="str">
        <f t="shared" si="36"/>
        <v/>
      </c>
      <c r="H149" s="6"/>
      <c r="I149" s="20" t="str">
        <f>IF($F149="组件","C"&amp;TEXT(COUNTIFS($A$6:$A149,$A149,$F$6:$F149,"组件"),"000"),"")</f>
        <v/>
      </c>
      <c r="J149" s="6" t="str">
        <f t="shared" si="37"/>
        <v/>
      </c>
      <c r="K149" s="6"/>
      <c r="L149" s="6"/>
      <c r="M149" s="6"/>
      <c r="N149" s="6"/>
      <c r="O149" s="6"/>
      <c r="P149" s="14"/>
      <c r="Q149" s="14"/>
      <c r="R149" s="23" t="str">
        <f>IF(OR($F149="",$F149="订单头"),"",IF(AND($F149="零件",$J149&lt;&gt;""),IFERROR(SUMIFS($R$6:$R148,$A$6:$A148,$A149,$I$6:$I148,$J149)*IF($Q149="",1,$Q149),""),IF($P149="","",$P149*IF($Q149="",1,$Q149))))</f>
        <v/>
      </c>
      <c r="S149" s="6"/>
      <c r="T149" s="6"/>
      <c r="U149" s="6"/>
      <c r="V149" s="11"/>
      <c r="W149" s="7"/>
      <c r="X149" s="25" t="str">
        <f t="shared" si="40"/>
        <v/>
      </c>
      <c r="Y149" s="25" t="str">
        <f t="shared" si="38"/>
        <v/>
      </c>
      <c r="Z149" s="25" t="str">
        <f>IF(AND($F149="零件",$J149&lt;&gt;""),COUNTIFS($A$6:$A149,$A149,$J$6:$J149,$J149,$F$6:$F149,"零件"),"")</f>
        <v/>
      </c>
      <c r="AA149" s="25" t="str">
        <f t="shared" si="41"/>
        <v/>
      </c>
      <c r="AB149" s="25" t="str">
        <f t="shared" si="42"/>
        <v/>
      </c>
      <c r="AC149" s="25" t="str">
        <f t="shared" si="43"/>
        <v/>
      </c>
      <c r="AD149" s="25" t="str">
        <f t="shared" si="44"/>
        <v/>
      </c>
      <c r="AE149" s="25">
        <f t="shared" si="39"/>
        <v>0</v>
      </c>
    </row>
    <row r="150" spans="1:31" ht="25.5" customHeight="1">
      <c r="A150" s="17" t="str">
        <f>IF($F150="","",COUNTIF($F$6:$F150,"订单头"))</f>
        <v/>
      </c>
      <c r="B150" s="6"/>
      <c r="C150" s="11"/>
      <c r="D150" s="6"/>
      <c r="E150" s="6"/>
      <c r="F150" s="6"/>
      <c r="G150" s="20" t="str">
        <f t="shared" si="36"/>
        <v/>
      </c>
      <c r="H150" s="6"/>
      <c r="I150" s="20" t="str">
        <f>IF($F150="组件","C"&amp;TEXT(COUNTIFS($A$6:$A150,$A150,$F$6:$F150,"组件"),"000"),"")</f>
        <v/>
      </c>
      <c r="J150" s="6" t="str">
        <f t="shared" si="37"/>
        <v/>
      </c>
      <c r="K150" s="6"/>
      <c r="L150" s="6"/>
      <c r="M150" s="6"/>
      <c r="N150" s="6"/>
      <c r="O150" s="6"/>
      <c r="P150" s="14"/>
      <c r="Q150" s="14"/>
      <c r="R150" s="23" t="str">
        <f>IF(OR($F150="",$F150="订单头"),"",IF(AND($F150="零件",$J150&lt;&gt;""),IFERROR(SUMIFS($R$6:$R149,$A$6:$A149,$A150,$I$6:$I149,$J150)*IF($Q150="",1,$Q150),""),IF($P150="","",$P150*IF($Q150="",1,$Q150))))</f>
        <v/>
      </c>
      <c r="S150" s="6"/>
      <c r="T150" s="6"/>
      <c r="U150" s="6"/>
      <c r="V150" s="11"/>
      <c r="W150" s="7"/>
      <c r="X150" s="25" t="str">
        <f t="shared" si="40"/>
        <v/>
      </c>
      <c r="Y150" s="25" t="str">
        <f t="shared" si="38"/>
        <v/>
      </c>
      <c r="Z150" s="25" t="str">
        <f>IF(AND($F150="零件",$J150&lt;&gt;""),COUNTIFS($A$6:$A150,$A150,$J$6:$J150,$J150,$F$6:$F150,"零件"),"")</f>
        <v/>
      </c>
      <c r="AA150" s="25" t="str">
        <f t="shared" si="41"/>
        <v/>
      </c>
      <c r="AB150" s="25" t="str">
        <f t="shared" si="42"/>
        <v/>
      </c>
      <c r="AC150" s="25" t="str">
        <f t="shared" si="43"/>
        <v/>
      </c>
      <c r="AD150" s="25" t="str">
        <f t="shared" si="44"/>
        <v/>
      </c>
      <c r="AE150" s="25">
        <f t="shared" si="39"/>
        <v>0</v>
      </c>
    </row>
    <row r="151" spans="1:31" ht="25.5" customHeight="1">
      <c r="A151" s="17" t="str">
        <f>IF($F151="","",COUNTIF($F$6:$F151,"订单头"))</f>
        <v/>
      </c>
      <c r="B151" s="6"/>
      <c r="C151" s="11"/>
      <c r="D151" s="6"/>
      <c r="E151" s="6"/>
      <c r="F151" s="6"/>
      <c r="G151" s="20" t="str">
        <f t="shared" si="36"/>
        <v/>
      </c>
      <c r="H151" s="6"/>
      <c r="I151" s="20" t="str">
        <f>IF($F151="组件","C"&amp;TEXT(COUNTIFS($A$6:$A151,$A151,$F$6:$F151,"组件"),"000"),"")</f>
        <v/>
      </c>
      <c r="J151" s="6" t="str">
        <f t="shared" si="37"/>
        <v/>
      </c>
      <c r="K151" s="6"/>
      <c r="L151" s="6"/>
      <c r="M151" s="6"/>
      <c r="N151" s="6"/>
      <c r="O151" s="6"/>
      <c r="P151" s="14"/>
      <c r="Q151" s="14"/>
      <c r="R151" s="23" t="str">
        <f>IF(OR($F151="",$F151="订单头"),"",IF(AND($F151="零件",$J151&lt;&gt;""),IFERROR(SUMIFS($R$6:$R150,$A$6:$A150,$A151,$I$6:$I150,$J151)*IF($Q151="",1,$Q151),""),IF($P151="","",$P151*IF($Q151="",1,$Q151))))</f>
        <v/>
      </c>
      <c r="S151" s="6"/>
      <c r="T151" s="6"/>
      <c r="U151" s="6"/>
      <c r="V151" s="11"/>
      <c r="W151" s="7"/>
      <c r="X151" s="25" t="str">
        <f t="shared" si="40"/>
        <v/>
      </c>
      <c r="Y151" s="25" t="str">
        <f t="shared" si="38"/>
        <v/>
      </c>
      <c r="Z151" s="25" t="str">
        <f>IF(AND($F151="零件",$J151&lt;&gt;""),COUNTIFS($A$6:$A151,$A151,$J$6:$J151,$J151,$F$6:$F151,"零件"),"")</f>
        <v/>
      </c>
      <c r="AA151" s="25" t="str">
        <f t="shared" si="41"/>
        <v/>
      </c>
      <c r="AB151" s="25" t="str">
        <f t="shared" si="42"/>
        <v/>
      </c>
      <c r="AC151" s="25" t="str">
        <f t="shared" si="43"/>
        <v/>
      </c>
      <c r="AD151" s="25" t="str">
        <f t="shared" si="44"/>
        <v/>
      </c>
      <c r="AE151" s="25">
        <f t="shared" si="39"/>
        <v>0</v>
      </c>
    </row>
    <row r="152" spans="1:31" ht="25.5" customHeight="1">
      <c r="A152" s="17" t="str">
        <f>IF($F152="","",COUNTIF($F$6:$F152,"订单头"))</f>
        <v/>
      </c>
      <c r="B152" s="6"/>
      <c r="C152" s="11"/>
      <c r="D152" s="6"/>
      <c r="E152" s="6"/>
      <c r="F152" s="6"/>
      <c r="G152" s="20" t="str">
        <f t="shared" si="36"/>
        <v/>
      </c>
      <c r="H152" s="6"/>
      <c r="I152" s="20" t="str">
        <f>IF($F152="组件","C"&amp;TEXT(COUNTIFS($A$6:$A152,$A152,$F$6:$F152,"组件"),"000"),"")</f>
        <v/>
      </c>
      <c r="J152" s="6" t="str">
        <f t="shared" si="37"/>
        <v/>
      </c>
      <c r="K152" s="6"/>
      <c r="L152" s="6"/>
      <c r="M152" s="6"/>
      <c r="N152" s="6"/>
      <c r="O152" s="6"/>
      <c r="P152" s="14"/>
      <c r="Q152" s="14"/>
      <c r="R152" s="23" t="str">
        <f>IF(OR($F152="",$F152="订单头"),"",IF(AND($F152="零件",$J152&lt;&gt;""),IFERROR(SUMIFS($R$6:$R151,$A$6:$A151,$A152,$I$6:$I151,$J152)*IF($Q152="",1,$Q152),""),IF($P152="","",$P152*IF($Q152="",1,$Q152))))</f>
        <v/>
      </c>
      <c r="S152" s="6"/>
      <c r="T152" s="6"/>
      <c r="U152" s="6"/>
      <c r="V152" s="11"/>
      <c r="W152" s="7"/>
      <c r="X152" s="25" t="str">
        <f t="shared" si="40"/>
        <v/>
      </c>
      <c r="Y152" s="25" t="str">
        <f t="shared" si="38"/>
        <v/>
      </c>
      <c r="Z152" s="25" t="str">
        <f>IF(AND($F152="零件",$J152&lt;&gt;""),COUNTIFS($A$6:$A152,$A152,$J$6:$J152,$J152,$F$6:$F152,"零件"),"")</f>
        <v/>
      </c>
      <c r="AA152" s="25" t="str">
        <f t="shared" si="41"/>
        <v/>
      </c>
      <c r="AB152" s="25" t="str">
        <f t="shared" si="42"/>
        <v/>
      </c>
      <c r="AC152" s="25" t="str">
        <f t="shared" si="43"/>
        <v/>
      </c>
      <c r="AD152" s="25" t="str">
        <f t="shared" si="44"/>
        <v/>
      </c>
      <c r="AE152" s="25">
        <f t="shared" si="39"/>
        <v>0</v>
      </c>
    </row>
    <row r="153" spans="1:31" ht="25.5" customHeight="1">
      <c r="A153" s="17" t="str">
        <f>IF($F153="","",COUNTIF($F$6:$F153,"订单头"))</f>
        <v/>
      </c>
      <c r="B153" s="6"/>
      <c r="C153" s="11"/>
      <c r="D153" s="6"/>
      <c r="E153" s="6"/>
      <c r="F153" s="6"/>
      <c r="G153" s="20" t="str">
        <f t="shared" si="36"/>
        <v/>
      </c>
      <c r="H153" s="6"/>
      <c r="I153" s="20" t="str">
        <f>IF($F153="组件","C"&amp;TEXT(COUNTIFS($A$6:$A153,$A153,$F$6:$F153,"组件"),"000"),"")</f>
        <v/>
      </c>
      <c r="J153" s="6" t="str">
        <f t="shared" si="37"/>
        <v/>
      </c>
      <c r="K153" s="6"/>
      <c r="L153" s="6"/>
      <c r="M153" s="6"/>
      <c r="N153" s="6"/>
      <c r="O153" s="6"/>
      <c r="P153" s="14"/>
      <c r="Q153" s="14"/>
      <c r="R153" s="23" t="str">
        <f>IF(OR($F153="",$F153="订单头"),"",IF(AND($F153="零件",$J153&lt;&gt;""),IFERROR(SUMIFS($R$6:$R152,$A$6:$A152,$A153,$I$6:$I152,$J153)*IF($Q153="",1,$Q153),""),IF($P153="","",$P153*IF($Q153="",1,$Q153))))</f>
        <v/>
      </c>
      <c r="S153" s="6"/>
      <c r="T153" s="6"/>
      <c r="U153" s="6"/>
      <c r="V153" s="11"/>
      <c r="W153" s="7"/>
      <c r="X153" s="25" t="str">
        <f t="shared" si="40"/>
        <v/>
      </c>
      <c r="Y153" s="25" t="str">
        <f t="shared" si="38"/>
        <v/>
      </c>
      <c r="Z153" s="25" t="str">
        <f>IF(AND($F153="零件",$J153&lt;&gt;""),COUNTIFS($A$6:$A153,$A153,$J$6:$J153,$J153,$F$6:$F153,"零件"),"")</f>
        <v/>
      </c>
      <c r="AA153" s="25" t="str">
        <f t="shared" si="41"/>
        <v/>
      </c>
      <c r="AB153" s="25" t="str">
        <f t="shared" si="42"/>
        <v/>
      </c>
      <c r="AC153" s="25" t="str">
        <f t="shared" si="43"/>
        <v/>
      </c>
      <c r="AD153" s="25" t="str">
        <f t="shared" si="44"/>
        <v/>
      </c>
      <c r="AE153" s="25">
        <f t="shared" si="39"/>
        <v>0</v>
      </c>
    </row>
    <row r="154" spans="1:31" ht="25.5" customHeight="1">
      <c r="A154" s="17" t="str">
        <f>IF($F154="","",COUNTIF($F$6:$F154,"订单头"))</f>
        <v/>
      </c>
      <c r="B154" s="6"/>
      <c r="C154" s="11"/>
      <c r="D154" s="6"/>
      <c r="E154" s="6"/>
      <c r="F154" s="6"/>
      <c r="G154" s="20" t="str">
        <f t="shared" si="36"/>
        <v/>
      </c>
      <c r="H154" s="6"/>
      <c r="I154" s="20" t="str">
        <f>IF($F154="组件","C"&amp;TEXT(COUNTIFS($A$6:$A154,$A154,$F$6:$F154,"组件"),"000"),"")</f>
        <v/>
      </c>
      <c r="J154" s="6" t="str">
        <f t="shared" si="37"/>
        <v/>
      </c>
      <c r="K154" s="6"/>
      <c r="L154" s="6"/>
      <c r="M154" s="6"/>
      <c r="N154" s="6"/>
      <c r="O154" s="6"/>
      <c r="P154" s="14"/>
      <c r="Q154" s="14"/>
      <c r="R154" s="23" t="str">
        <f>IF(OR($F154="",$F154="订单头"),"",IF(AND($F154="零件",$J154&lt;&gt;""),IFERROR(SUMIFS($R$6:$R153,$A$6:$A153,$A154,$I$6:$I153,$J154)*IF($Q154="",1,$Q154),""),IF($P154="","",$P154*IF($Q154="",1,$Q154))))</f>
        <v/>
      </c>
      <c r="S154" s="6"/>
      <c r="T154" s="6"/>
      <c r="U154" s="6"/>
      <c r="V154" s="11"/>
      <c r="W154" s="7"/>
      <c r="X154" s="25" t="str">
        <f t="shared" si="40"/>
        <v/>
      </c>
      <c r="Y154" s="25" t="str">
        <f t="shared" si="38"/>
        <v/>
      </c>
      <c r="Z154" s="25" t="str">
        <f>IF(AND($F154="零件",$J154&lt;&gt;""),COUNTIFS($A$6:$A154,$A154,$J$6:$J154,$J154,$F$6:$F154,"零件"),"")</f>
        <v/>
      </c>
      <c r="AA154" s="25" t="str">
        <f t="shared" si="41"/>
        <v/>
      </c>
      <c r="AB154" s="25" t="str">
        <f t="shared" si="42"/>
        <v/>
      </c>
      <c r="AC154" s="25" t="str">
        <f t="shared" si="43"/>
        <v/>
      </c>
      <c r="AD154" s="25" t="str">
        <f t="shared" si="44"/>
        <v/>
      </c>
      <c r="AE154" s="25">
        <f t="shared" si="39"/>
        <v>0</v>
      </c>
    </row>
    <row r="155" spans="1:31" ht="25.5" customHeight="1">
      <c r="A155" s="17" t="str">
        <f>IF($F155="","",COUNTIF($F$6:$F155,"订单头"))</f>
        <v/>
      </c>
      <c r="B155" s="6"/>
      <c r="C155" s="11"/>
      <c r="D155" s="6"/>
      <c r="E155" s="6"/>
      <c r="F155" s="6"/>
      <c r="G155" s="20" t="str">
        <f t="shared" si="36"/>
        <v/>
      </c>
      <c r="H155" s="6"/>
      <c r="I155" s="20" t="str">
        <f>IF($F155="组件","C"&amp;TEXT(COUNTIFS($A$6:$A155,$A155,$F$6:$F155,"组件"),"000"),"")</f>
        <v/>
      </c>
      <c r="J155" s="6" t="str">
        <f t="shared" si="37"/>
        <v/>
      </c>
      <c r="K155" s="6"/>
      <c r="L155" s="6"/>
      <c r="M155" s="6"/>
      <c r="N155" s="6"/>
      <c r="O155" s="6"/>
      <c r="P155" s="14"/>
      <c r="Q155" s="14"/>
      <c r="R155" s="23" t="str">
        <f>IF(OR($F155="",$F155="订单头"),"",IF(AND($F155="零件",$J155&lt;&gt;""),IFERROR(SUMIFS($R$6:$R154,$A$6:$A154,$A155,$I$6:$I154,$J155)*IF($Q155="",1,$Q155),""),IF($P155="","",$P155*IF($Q155="",1,$Q155))))</f>
        <v/>
      </c>
      <c r="S155" s="6"/>
      <c r="T155" s="6"/>
      <c r="U155" s="6"/>
      <c r="V155" s="11"/>
      <c r="W155" s="7"/>
      <c r="X155" s="25" t="str">
        <f t="shared" si="40"/>
        <v/>
      </c>
      <c r="Y155" s="25" t="str">
        <f t="shared" si="38"/>
        <v/>
      </c>
      <c r="Z155" s="25" t="str">
        <f>IF(AND($F155="零件",$J155&lt;&gt;""),COUNTIFS($A$6:$A155,$A155,$J$6:$J155,$J155,$F$6:$F155,"零件"),"")</f>
        <v/>
      </c>
      <c r="AA155" s="25" t="str">
        <f t="shared" si="41"/>
        <v/>
      </c>
      <c r="AB155" s="25" t="str">
        <f t="shared" si="42"/>
        <v/>
      </c>
      <c r="AC155" s="25" t="str">
        <f t="shared" si="43"/>
        <v/>
      </c>
      <c r="AD155" s="25" t="str">
        <f t="shared" si="44"/>
        <v/>
      </c>
      <c r="AE155" s="25">
        <f t="shared" si="39"/>
        <v>0</v>
      </c>
    </row>
    <row r="156" spans="1:31" ht="25.5" customHeight="1">
      <c r="A156" s="17" t="str">
        <f>IF($F156="","",COUNTIF($F$6:$F156,"订单头"))</f>
        <v/>
      </c>
      <c r="B156" s="6"/>
      <c r="C156" s="11"/>
      <c r="D156" s="6"/>
      <c r="E156" s="6"/>
      <c r="F156" s="6"/>
      <c r="G156" s="20" t="str">
        <f t="shared" si="36"/>
        <v/>
      </c>
      <c r="H156" s="6"/>
      <c r="I156" s="20" t="str">
        <f>IF($F156="组件","C"&amp;TEXT(COUNTIFS($A$6:$A156,$A156,$F$6:$F156,"组件"),"000"),"")</f>
        <v/>
      </c>
      <c r="J156" s="6" t="str">
        <f t="shared" si="37"/>
        <v/>
      </c>
      <c r="K156" s="6"/>
      <c r="L156" s="6"/>
      <c r="M156" s="6"/>
      <c r="N156" s="6"/>
      <c r="O156" s="6"/>
      <c r="P156" s="14"/>
      <c r="Q156" s="14"/>
      <c r="R156" s="23" t="str">
        <f>IF(OR($F156="",$F156="订单头"),"",IF(AND($F156="零件",$J156&lt;&gt;""),IFERROR(SUMIFS($R$6:$R155,$A$6:$A155,$A156,$I$6:$I155,$J156)*IF($Q156="",1,$Q156),""),IF($P156="","",$P156*IF($Q156="",1,$Q156))))</f>
        <v/>
      </c>
      <c r="S156" s="6"/>
      <c r="T156" s="6"/>
      <c r="U156" s="6"/>
      <c r="V156" s="11"/>
      <c r="W156" s="7"/>
      <c r="X156" s="25" t="str">
        <f t="shared" si="40"/>
        <v/>
      </c>
      <c r="Y156" s="25" t="str">
        <f t="shared" si="38"/>
        <v/>
      </c>
      <c r="Z156" s="25" t="str">
        <f>IF(AND($F156="零件",$J156&lt;&gt;""),COUNTIFS($A$6:$A156,$A156,$J$6:$J156,$J156,$F$6:$F156,"零件"),"")</f>
        <v/>
      </c>
      <c r="AA156" s="25" t="str">
        <f t="shared" si="41"/>
        <v/>
      </c>
      <c r="AB156" s="25" t="str">
        <f t="shared" si="42"/>
        <v/>
      </c>
      <c r="AC156" s="25" t="str">
        <f t="shared" si="43"/>
        <v/>
      </c>
      <c r="AD156" s="25" t="str">
        <f t="shared" si="44"/>
        <v/>
      </c>
      <c r="AE156" s="25">
        <f t="shared" si="39"/>
        <v>0</v>
      </c>
    </row>
    <row r="157" spans="1:31" ht="25.5" customHeight="1">
      <c r="A157" s="17" t="str">
        <f>IF($F157="","",COUNTIF($F$6:$F157,"订单头"))</f>
        <v/>
      </c>
      <c r="B157" s="6"/>
      <c r="C157" s="11"/>
      <c r="D157" s="6"/>
      <c r="E157" s="6"/>
      <c r="F157" s="6"/>
      <c r="G157" s="20" t="str">
        <f t="shared" si="36"/>
        <v/>
      </c>
      <c r="H157" s="6"/>
      <c r="I157" s="20" t="str">
        <f>IF($F157="组件","C"&amp;TEXT(COUNTIFS($A$6:$A157,$A157,$F$6:$F157,"组件"),"000"),"")</f>
        <v/>
      </c>
      <c r="J157" s="6" t="str">
        <f t="shared" si="37"/>
        <v/>
      </c>
      <c r="K157" s="6"/>
      <c r="L157" s="6"/>
      <c r="M157" s="6"/>
      <c r="N157" s="6"/>
      <c r="O157" s="6"/>
      <c r="P157" s="14"/>
      <c r="Q157" s="14"/>
      <c r="R157" s="23" t="str">
        <f>IF(OR($F157="",$F157="订单头"),"",IF(AND($F157="零件",$J157&lt;&gt;""),IFERROR(SUMIFS($R$6:$R156,$A$6:$A156,$A157,$I$6:$I156,$J157)*IF($Q157="",1,$Q157),""),IF($P157="","",$P157*IF($Q157="",1,$Q157))))</f>
        <v/>
      </c>
      <c r="S157" s="6"/>
      <c r="T157" s="6"/>
      <c r="U157" s="6"/>
      <c r="V157" s="11"/>
      <c r="W157" s="7"/>
      <c r="X157" s="25" t="str">
        <f t="shared" si="40"/>
        <v/>
      </c>
      <c r="Y157" s="25" t="str">
        <f t="shared" si="38"/>
        <v/>
      </c>
      <c r="Z157" s="25" t="str">
        <f>IF(AND($F157="零件",$J157&lt;&gt;""),COUNTIFS($A$6:$A157,$A157,$J$6:$J157,$J157,$F$6:$F157,"零件"),"")</f>
        <v/>
      </c>
      <c r="AA157" s="25" t="str">
        <f t="shared" si="41"/>
        <v/>
      </c>
      <c r="AB157" s="25" t="str">
        <f t="shared" si="42"/>
        <v/>
      </c>
      <c r="AC157" s="25" t="str">
        <f t="shared" si="43"/>
        <v/>
      </c>
      <c r="AD157" s="25" t="str">
        <f t="shared" si="44"/>
        <v/>
      </c>
      <c r="AE157" s="25">
        <f t="shared" si="39"/>
        <v>0</v>
      </c>
    </row>
    <row r="158" spans="1:31" ht="25.5" customHeight="1">
      <c r="A158" s="17" t="str">
        <f>IF($F158="","",COUNTIF($F$6:$F158,"订单头"))</f>
        <v/>
      </c>
      <c r="B158" s="6"/>
      <c r="C158" s="11"/>
      <c r="D158" s="6"/>
      <c r="E158" s="6"/>
      <c r="F158" s="6"/>
      <c r="G158" s="20" t="str">
        <f t="shared" si="36"/>
        <v/>
      </c>
      <c r="H158" s="6"/>
      <c r="I158" s="20" t="str">
        <f>IF($F158="组件","C"&amp;TEXT(COUNTIFS($A$6:$A158,$A158,$F$6:$F158,"组件"),"000"),"")</f>
        <v/>
      </c>
      <c r="J158" s="6" t="str">
        <f t="shared" si="37"/>
        <v/>
      </c>
      <c r="K158" s="6"/>
      <c r="L158" s="6"/>
      <c r="M158" s="6"/>
      <c r="N158" s="6"/>
      <c r="O158" s="6"/>
      <c r="P158" s="14"/>
      <c r="Q158" s="14"/>
      <c r="R158" s="23" t="str">
        <f>IF(OR($F158="",$F158="订单头"),"",IF(AND($F158="零件",$J158&lt;&gt;""),IFERROR(SUMIFS($R$6:$R157,$A$6:$A157,$A158,$I$6:$I157,$J158)*IF($Q158="",1,$Q158),""),IF($P158="","",$P158*IF($Q158="",1,$Q158))))</f>
        <v/>
      </c>
      <c r="S158" s="6"/>
      <c r="T158" s="6"/>
      <c r="U158" s="6"/>
      <c r="V158" s="11"/>
      <c r="W158" s="7"/>
      <c r="X158" s="25" t="str">
        <f t="shared" si="40"/>
        <v/>
      </c>
      <c r="Y158" s="25" t="str">
        <f t="shared" si="38"/>
        <v/>
      </c>
      <c r="Z158" s="25" t="str">
        <f>IF(AND($F158="零件",$J158&lt;&gt;""),COUNTIFS($A$6:$A158,$A158,$J$6:$J158,$J158,$F$6:$F158,"零件"),"")</f>
        <v/>
      </c>
      <c r="AA158" s="25" t="str">
        <f t="shared" si="41"/>
        <v/>
      </c>
      <c r="AB158" s="25" t="str">
        <f t="shared" si="42"/>
        <v/>
      </c>
      <c r="AC158" s="25" t="str">
        <f t="shared" si="43"/>
        <v/>
      </c>
      <c r="AD158" s="25" t="str">
        <f t="shared" si="44"/>
        <v/>
      </c>
      <c r="AE158" s="25">
        <f t="shared" si="39"/>
        <v>0</v>
      </c>
    </row>
    <row r="159" spans="1:31" ht="25.5" customHeight="1">
      <c r="A159" s="17" t="str">
        <f>IF($F159="","",COUNTIF($F$6:$F159,"订单头"))</f>
        <v/>
      </c>
      <c r="B159" s="6"/>
      <c r="C159" s="11"/>
      <c r="D159" s="6"/>
      <c r="E159" s="6"/>
      <c r="F159" s="6"/>
      <c r="G159" s="20" t="str">
        <f t="shared" si="36"/>
        <v/>
      </c>
      <c r="H159" s="6"/>
      <c r="I159" s="20" t="str">
        <f>IF($F159="组件","C"&amp;TEXT(COUNTIFS($A$6:$A159,$A159,$F$6:$F159,"组件"),"000"),"")</f>
        <v/>
      </c>
      <c r="J159" s="6" t="str">
        <f t="shared" si="37"/>
        <v/>
      </c>
      <c r="K159" s="6"/>
      <c r="L159" s="6"/>
      <c r="M159" s="6"/>
      <c r="N159" s="6"/>
      <c r="O159" s="6"/>
      <c r="P159" s="14"/>
      <c r="Q159" s="14"/>
      <c r="R159" s="23" t="str">
        <f>IF(OR($F159="",$F159="订单头"),"",IF(AND($F159="零件",$J159&lt;&gt;""),IFERROR(SUMIFS($R$6:$R158,$A$6:$A158,$A159,$I$6:$I158,$J159)*IF($Q159="",1,$Q159),""),IF($P159="","",$P159*IF($Q159="",1,$Q159))))</f>
        <v/>
      </c>
      <c r="S159" s="6"/>
      <c r="T159" s="6"/>
      <c r="U159" s="6"/>
      <c r="V159" s="11"/>
      <c r="W159" s="7"/>
      <c r="X159" s="25" t="str">
        <f t="shared" si="40"/>
        <v/>
      </c>
      <c r="Y159" s="25" t="str">
        <f t="shared" si="38"/>
        <v/>
      </c>
      <c r="Z159" s="25" t="str">
        <f>IF(AND($F159="零件",$J159&lt;&gt;""),COUNTIFS($A$6:$A159,$A159,$J$6:$J159,$J159,$F$6:$F159,"零件"),"")</f>
        <v/>
      </c>
      <c r="AA159" s="25" t="str">
        <f t="shared" si="41"/>
        <v/>
      </c>
      <c r="AB159" s="25" t="str">
        <f t="shared" si="42"/>
        <v/>
      </c>
      <c r="AC159" s="25" t="str">
        <f t="shared" si="43"/>
        <v/>
      </c>
      <c r="AD159" s="25" t="str">
        <f t="shared" si="44"/>
        <v/>
      </c>
      <c r="AE159" s="25">
        <f t="shared" si="39"/>
        <v>0</v>
      </c>
    </row>
    <row r="160" spans="1:31" ht="25.5" customHeight="1">
      <c r="A160" s="17" t="str">
        <f>IF($F160="","",COUNTIF($F$6:$F160,"订单头"))</f>
        <v/>
      </c>
      <c r="B160" s="6"/>
      <c r="C160" s="11"/>
      <c r="D160" s="6"/>
      <c r="E160" s="6"/>
      <c r="F160" s="6"/>
      <c r="G160" s="20" t="str">
        <f t="shared" si="36"/>
        <v/>
      </c>
      <c r="H160" s="6"/>
      <c r="I160" s="20" t="str">
        <f>IF($F160="组件","C"&amp;TEXT(COUNTIFS($A$6:$A160,$A160,$F$6:$F160,"组件"),"000"),"")</f>
        <v/>
      </c>
      <c r="J160" s="6" t="str">
        <f t="shared" si="37"/>
        <v/>
      </c>
      <c r="K160" s="6"/>
      <c r="L160" s="6"/>
      <c r="M160" s="6"/>
      <c r="N160" s="6"/>
      <c r="O160" s="6"/>
      <c r="P160" s="14"/>
      <c r="Q160" s="14"/>
      <c r="R160" s="23" t="str">
        <f>IF(OR($F160="",$F160="订单头"),"",IF(AND($F160="零件",$J160&lt;&gt;""),IFERROR(SUMIFS($R$6:$R159,$A$6:$A159,$A160,$I$6:$I159,$J160)*IF($Q160="",1,$Q160),""),IF($P160="","",$P160*IF($Q160="",1,$Q160))))</f>
        <v/>
      </c>
      <c r="S160" s="6"/>
      <c r="T160" s="6"/>
      <c r="U160" s="6"/>
      <c r="V160" s="11"/>
      <c r="W160" s="7"/>
      <c r="X160" s="25" t="str">
        <f t="shared" si="40"/>
        <v/>
      </c>
      <c r="Y160" s="25" t="str">
        <f t="shared" si="38"/>
        <v/>
      </c>
      <c r="Z160" s="25" t="str">
        <f>IF(AND($F160="零件",$J160&lt;&gt;""),COUNTIFS($A$6:$A160,$A160,$J$6:$J160,$J160,$F$6:$F160,"零件"),"")</f>
        <v/>
      </c>
      <c r="AA160" s="25" t="str">
        <f t="shared" si="41"/>
        <v/>
      </c>
      <c r="AB160" s="25" t="str">
        <f t="shared" si="42"/>
        <v/>
      </c>
      <c r="AC160" s="25" t="str">
        <f t="shared" si="43"/>
        <v/>
      </c>
      <c r="AD160" s="25" t="str">
        <f t="shared" si="44"/>
        <v/>
      </c>
      <c r="AE160" s="25">
        <f t="shared" si="39"/>
        <v>0</v>
      </c>
    </row>
    <row r="161" spans="1:31" ht="25.5" customHeight="1">
      <c r="A161" s="17" t="str">
        <f>IF($F161="","",COUNTIF($F$6:$F161,"订单头"))</f>
        <v/>
      </c>
      <c r="B161" s="6"/>
      <c r="C161" s="11"/>
      <c r="D161" s="6"/>
      <c r="E161" s="6"/>
      <c r="F161" s="6"/>
      <c r="G161" s="20" t="str">
        <f t="shared" si="36"/>
        <v/>
      </c>
      <c r="H161" s="6"/>
      <c r="I161" s="20" t="str">
        <f>IF($F161="组件","C"&amp;TEXT(COUNTIFS($A$6:$A161,$A161,$F$6:$F161,"组件"),"000"),"")</f>
        <v/>
      </c>
      <c r="J161" s="6" t="str">
        <f t="shared" si="37"/>
        <v/>
      </c>
      <c r="K161" s="6"/>
      <c r="L161" s="6"/>
      <c r="M161" s="6"/>
      <c r="N161" s="6"/>
      <c r="O161" s="6"/>
      <c r="P161" s="14"/>
      <c r="Q161" s="14"/>
      <c r="R161" s="23" t="str">
        <f>IF(OR($F161="",$F161="订单头"),"",IF(AND($F161="零件",$J161&lt;&gt;""),IFERROR(SUMIFS($R$6:$R160,$A$6:$A160,$A161,$I$6:$I160,$J161)*IF($Q161="",1,$Q161),""),IF($P161="","",$P161*IF($Q161="",1,$Q161))))</f>
        <v/>
      </c>
      <c r="S161" s="6"/>
      <c r="T161" s="6"/>
      <c r="U161" s="6"/>
      <c r="V161" s="11"/>
      <c r="W161" s="7"/>
      <c r="X161" s="25" t="str">
        <f t="shared" si="40"/>
        <v/>
      </c>
      <c r="Y161" s="25" t="str">
        <f t="shared" si="38"/>
        <v/>
      </c>
      <c r="Z161" s="25" t="str">
        <f>IF(AND($F161="零件",$J161&lt;&gt;""),COUNTIFS($A$6:$A161,$A161,$J$6:$J161,$J161,$F$6:$F161,"零件"),"")</f>
        <v/>
      </c>
      <c r="AA161" s="25" t="str">
        <f t="shared" si="41"/>
        <v/>
      </c>
      <c r="AB161" s="25" t="str">
        <f t="shared" si="42"/>
        <v/>
      </c>
      <c r="AC161" s="25" t="str">
        <f t="shared" si="43"/>
        <v/>
      </c>
      <c r="AD161" s="25" t="str">
        <f t="shared" si="44"/>
        <v/>
      </c>
      <c r="AE161" s="25">
        <f t="shared" si="39"/>
        <v>0</v>
      </c>
    </row>
    <row r="162" spans="1:31" ht="25.5" customHeight="1">
      <c r="A162" s="17" t="str">
        <f>IF($F162="","",COUNTIF($F$6:$F162,"订单头"))</f>
        <v/>
      </c>
      <c r="B162" s="6"/>
      <c r="C162" s="11"/>
      <c r="D162" s="6"/>
      <c r="E162" s="6"/>
      <c r="F162" s="6"/>
      <c r="G162" s="20" t="str">
        <f t="shared" si="36"/>
        <v/>
      </c>
      <c r="H162" s="6"/>
      <c r="I162" s="20" t="str">
        <f>IF($F162="组件","C"&amp;TEXT(COUNTIFS($A$6:$A162,$A162,$F$6:$F162,"组件"),"000"),"")</f>
        <v/>
      </c>
      <c r="J162" s="6" t="str">
        <f t="shared" si="37"/>
        <v/>
      </c>
      <c r="K162" s="6"/>
      <c r="L162" s="6"/>
      <c r="M162" s="6"/>
      <c r="N162" s="6"/>
      <c r="O162" s="6"/>
      <c r="P162" s="14"/>
      <c r="Q162" s="14"/>
      <c r="R162" s="23" t="str">
        <f>IF(OR($F162="",$F162="订单头"),"",IF(AND($F162="零件",$J162&lt;&gt;""),IFERROR(SUMIFS($R$6:$R161,$A$6:$A161,$A162,$I$6:$I161,$J162)*IF($Q162="",1,$Q162),""),IF($P162="","",$P162*IF($Q162="",1,$Q162))))</f>
        <v/>
      </c>
      <c r="S162" s="6"/>
      <c r="T162" s="6"/>
      <c r="U162" s="6"/>
      <c r="V162" s="11"/>
      <c r="W162" s="7"/>
      <c r="X162" s="25" t="str">
        <f t="shared" si="40"/>
        <v/>
      </c>
      <c r="Y162" s="25" t="str">
        <f t="shared" si="38"/>
        <v/>
      </c>
      <c r="Z162" s="25" t="str">
        <f>IF(AND($F162="零件",$J162&lt;&gt;""),COUNTIFS($A$6:$A162,$A162,$J$6:$J162,$J162,$F$6:$F162,"零件"),"")</f>
        <v/>
      </c>
      <c r="AA162" s="25" t="str">
        <f t="shared" si="41"/>
        <v/>
      </c>
      <c r="AB162" s="25" t="str">
        <f t="shared" si="42"/>
        <v/>
      </c>
      <c r="AC162" s="25" t="str">
        <f t="shared" si="43"/>
        <v/>
      </c>
      <c r="AD162" s="25" t="str">
        <f t="shared" si="44"/>
        <v/>
      </c>
      <c r="AE162" s="25">
        <f t="shared" si="39"/>
        <v>0</v>
      </c>
    </row>
    <row r="163" spans="1:31" ht="25.5" customHeight="1">
      <c r="A163" s="17" t="str">
        <f>IF($F163="","",COUNTIF($F$6:$F163,"订单头"))</f>
        <v/>
      </c>
      <c r="B163" s="6"/>
      <c r="C163" s="11"/>
      <c r="D163" s="6"/>
      <c r="E163" s="6"/>
      <c r="F163" s="6"/>
      <c r="G163" s="20" t="str">
        <f t="shared" si="36"/>
        <v/>
      </c>
      <c r="H163" s="6"/>
      <c r="I163" s="20" t="str">
        <f>IF($F163="组件","C"&amp;TEXT(COUNTIFS($A$6:$A163,$A163,$F$6:$F163,"组件"),"000"),"")</f>
        <v/>
      </c>
      <c r="J163" s="6" t="str">
        <f t="shared" si="37"/>
        <v/>
      </c>
      <c r="K163" s="6"/>
      <c r="L163" s="6"/>
      <c r="M163" s="6"/>
      <c r="N163" s="6"/>
      <c r="O163" s="6"/>
      <c r="P163" s="14"/>
      <c r="Q163" s="14"/>
      <c r="R163" s="23" t="str">
        <f>IF(OR($F163="",$F163="订单头"),"",IF(AND($F163="零件",$J163&lt;&gt;""),IFERROR(SUMIFS($R$6:$R162,$A$6:$A162,$A163,$I$6:$I162,$J163)*IF($Q163="",1,$Q163),""),IF($P163="","",$P163*IF($Q163="",1,$Q163))))</f>
        <v/>
      </c>
      <c r="S163" s="6"/>
      <c r="T163" s="6"/>
      <c r="U163" s="6"/>
      <c r="V163" s="11"/>
      <c r="W163" s="7"/>
      <c r="X163" s="25" t="str">
        <f t="shared" si="40"/>
        <v/>
      </c>
      <c r="Y163" s="25" t="str">
        <f t="shared" si="38"/>
        <v/>
      </c>
      <c r="Z163" s="25" t="str">
        <f>IF(AND($F163="零件",$J163&lt;&gt;""),COUNTIFS($A$6:$A163,$A163,$J$6:$J163,$J163,$F$6:$F163,"零件"),"")</f>
        <v/>
      </c>
      <c r="AA163" s="25" t="str">
        <f t="shared" si="41"/>
        <v/>
      </c>
      <c r="AB163" s="25" t="str">
        <f t="shared" si="42"/>
        <v/>
      </c>
      <c r="AC163" s="25" t="str">
        <f t="shared" si="43"/>
        <v/>
      </c>
      <c r="AD163" s="25" t="str">
        <f t="shared" si="44"/>
        <v/>
      </c>
      <c r="AE163" s="25">
        <f t="shared" si="39"/>
        <v>0</v>
      </c>
    </row>
    <row r="164" spans="1:31" ht="25.5" customHeight="1">
      <c r="A164" s="17" t="str">
        <f>IF($F164="","",COUNTIF($F$6:$F164,"订单头"))</f>
        <v/>
      </c>
      <c r="B164" s="6"/>
      <c r="C164" s="11"/>
      <c r="D164" s="6"/>
      <c r="E164" s="6"/>
      <c r="F164" s="6"/>
      <c r="G164" s="20" t="str">
        <f t="shared" si="36"/>
        <v/>
      </c>
      <c r="H164" s="6"/>
      <c r="I164" s="20" t="str">
        <f>IF($F164="组件","C"&amp;TEXT(COUNTIFS($A$6:$A164,$A164,$F$6:$F164,"组件"),"000"),"")</f>
        <v/>
      </c>
      <c r="J164" s="6" t="str">
        <f t="shared" si="37"/>
        <v/>
      </c>
      <c r="K164" s="6"/>
      <c r="L164" s="6"/>
      <c r="M164" s="6"/>
      <c r="N164" s="6"/>
      <c r="O164" s="6"/>
      <c r="P164" s="14"/>
      <c r="Q164" s="14"/>
      <c r="R164" s="23" t="str">
        <f>IF(OR($F164="",$F164="订单头"),"",IF(AND($F164="零件",$J164&lt;&gt;""),IFERROR(SUMIFS($R$6:$R163,$A$6:$A163,$A164,$I$6:$I163,$J164)*IF($Q164="",1,$Q164),""),IF($P164="","",$P164*IF($Q164="",1,$Q164))))</f>
        <v/>
      </c>
      <c r="S164" s="6"/>
      <c r="T164" s="6"/>
      <c r="U164" s="6"/>
      <c r="V164" s="11"/>
      <c r="W164" s="7"/>
      <c r="X164" s="25" t="str">
        <f t="shared" si="40"/>
        <v/>
      </c>
      <c r="Y164" s="25" t="str">
        <f t="shared" si="38"/>
        <v/>
      </c>
      <c r="Z164" s="25" t="str">
        <f>IF(AND($F164="零件",$J164&lt;&gt;""),COUNTIFS($A$6:$A164,$A164,$J$6:$J164,$J164,$F$6:$F164,"零件"),"")</f>
        <v/>
      </c>
      <c r="AA164" s="25" t="str">
        <f t="shared" si="41"/>
        <v/>
      </c>
      <c r="AB164" s="25" t="str">
        <f t="shared" si="42"/>
        <v/>
      </c>
      <c r="AC164" s="25" t="str">
        <f t="shared" si="43"/>
        <v/>
      </c>
      <c r="AD164" s="25" t="str">
        <f t="shared" si="44"/>
        <v/>
      </c>
      <c r="AE164" s="25">
        <f t="shared" si="39"/>
        <v>0</v>
      </c>
    </row>
    <row r="165" spans="1:31" ht="25.5" customHeight="1">
      <c r="A165" s="17" t="str">
        <f>IF($F165="","",COUNTIF($F$6:$F165,"订单头"))</f>
        <v/>
      </c>
      <c r="B165" s="6"/>
      <c r="C165" s="11"/>
      <c r="D165" s="6"/>
      <c r="E165" s="6"/>
      <c r="F165" s="6"/>
      <c r="G165" s="20" t="str">
        <f t="shared" si="36"/>
        <v/>
      </c>
      <c r="H165" s="6"/>
      <c r="I165" s="20" t="str">
        <f>IF($F165="组件","C"&amp;TEXT(COUNTIFS($A$6:$A165,$A165,$F$6:$F165,"组件"),"000"),"")</f>
        <v/>
      </c>
      <c r="J165" s="6" t="str">
        <f t="shared" si="37"/>
        <v/>
      </c>
      <c r="K165" s="6"/>
      <c r="L165" s="6"/>
      <c r="M165" s="6"/>
      <c r="N165" s="6"/>
      <c r="O165" s="6"/>
      <c r="P165" s="14"/>
      <c r="Q165" s="14"/>
      <c r="R165" s="23" t="str">
        <f>IF(OR($F165="",$F165="订单头"),"",IF(AND($F165="零件",$J165&lt;&gt;""),IFERROR(SUMIFS($R$6:$R164,$A$6:$A164,$A165,$I$6:$I164,$J165)*IF($Q165="",1,$Q165),""),IF($P165="","",$P165*IF($Q165="",1,$Q165))))</f>
        <v/>
      </c>
      <c r="S165" s="6"/>
      <c r="T165" s="6"/>
      <c r="U165" s="6"/>
      <c r="V165" s="11"/>
      <c r="W165" s="7"/>
      <c r="X165" s="25" t="str">
        <f t="shared" si="40"/>
        <v/>
      </c>
      <c r="Y165" s="25" t="str">
        <f t="shared" si="38"/>
        <v/>
      </c>
      <c r="Z165" s="25" t="str">
        <f>IF(AND($F165="零件",$J165&lt;&gt;""),COUNTIFS($A$6:$A165,$A165,$J$6:$J165,$J165,$F$6:$F165,"零件"),"")</f>
        <v/>
      </c>
      <c r="AA165" s="25" t="str">
        <f t="shared" si="41"/>
        <v/>
      </c>
      <c r="AB165" s="25" t="str">
        <f t="shared" si="42"/>
        <v/>
      </c>
      <c r="AC165" s="25" t="str">
        <f t="shared" si="43"/>
        <v/>
      </c>
      <c r="AD165" s="25" t="str">
        <f t="shared" si="44"/>
        <v/>
      </c>
      <c r="AE165" s="25">
        <f t="shared" si="39"/>
        <v>0</v>
      </c>
    </row>
    <row r="166" spans="1:31" ht="25.5" customHeight="1">
      <c r="A166" s="17" t="str">
        <f>IF($F166="","",COUNTIF($F$6:$F166,"订单头"))</f>
        <v/>
      </c>
      <c r="B166" s="6"/>
      <c r="C166" s="11"/>
      <c r="D166" s="6"/>
      <c r="E166" s="6"/>
      <c r="F166" s="6"/>
      <c r="G166" s="20" t="str">
        <f t="shared" ref="G166:G197" si="45">IF($F166="","",IF($F166="订单头","订单头",IF(AND($F166="零件",$J166&lt;&gt;""),IFERROR(SUMIFS($Y$6:$Y$205,$A$6:$A$205,$A166,$I$6:$I$205,$J166)&amp;"."&amp;$Z166,"父组件不存在"),$Y166)))</f>
        <v/>
      </c>
      <c r="H166" s="6"/>
      <c r="I166" s="20" t="str">
        <f>IF($F166="组件","C"&amp;TEXT(COUNTIFS($A$6:$A166,$A166,$F$6:$F166,"组件"),"000"),"")</f>
        <v/>
      </c>
      <c r="J166" s="6" t="str">
        <f t="shared" ref="J166:J197" si="46">IF($F166="零件",IF($P166&lt;&gt;"","",IF(AND($A166=$A165,$F165="组件"),$I165,IF(AND($A166=$A165,$F165="零件",$J165&lt;&gt;""),$J165,""))),"")</f>
        <v/>
      </c>
      <c r="K166" s="6"/>
      <c r="L166" s="6"/>
      <c r="M166" s="6"/>
      <c r="N166" s="6"/>
      <c r="O166" s="6"/>
      <c r="P166" s="14"/>
      <c r="Q166" s="14"/>
      <c r="R166" s="23" t="str">
        <f>IF(OR($F166="",$F166="订单头"),"",IF(AND($F166="零件",$J166&lt;&gt;""),IFERROR(SUMIFS($R$6:$R165,$A$6:$A165,$A166,$I$6:$I165,$J166)*IF($Q166="",1,$Q166),""),IF($P166="","",$P166*IF($Q166="",1,$Q166))))</f>
        <v/>
      </c>
      <c r="S166" s="6"/>
      <c r="T166" s="6"/>
      <c r="U166" s="6"/>
      <c r="V166" s="11"/>
      <c r="W166" s="7"/>
      <c r="X166" s="25" t="str">
        <f t="shared" si="40"/>
        <v/>
      </c>
      <c r="Y166" s="25" t="str">
        <f t="shared" ref="Y166:Y197" si="47">IF($F166="","",IF($F166="订单头","",IF(AND($F166="零件",$J166&lt;&gt;""),"",$X166)))</f>
        <v/>
      </c>
      <c r="Z166" s="25" t="str">
        <f>IF(AND($F166="零件",$J166&lt;&gt;""),COUNTIFS($A$6:$A166,$A166,$J$6:$J166,$J166,$F$6:$F166,"零件"),"")</f>
        <v/>
      </c>
      <c r="AA166" s="25" t="str">
        <f t="shared" si="41"/>
        <v/>
      </c>
      <c r="AB166" s="25" t="str">
        <f t="shared" si="42"/>
        <v/>
      </c>
      <c r="AC166" s="25" t="str">
        <f t="shared" si="43"/>
        <v/>
      </c>
      <c r="AD166" s="25" t="str">
        <f t="shared" si="44"/>
        <v/>
      </c>
      <c r="AE166" s="25">
        <f t="shared" ref="AE166:AE197" si="48">IF(OR($F166="组件",$F166="零件"),1,0)</f>
        <v>0</v>
      </c>
    </row>
    <row r="167" spans="1:31" ht="25.5" customHeight="1">
      <c r="A167" s="17" t="str">
        <f>IF($F167="","",COUNTIF($F$6:$F167,"订单头"))</f>
        <v/>
      </c>
      <c r="B167" s="6"/>
      <c r="C167" s="11"/>
      <c r="D167" s="6"/>
      <c r="E167" s="6"/>
      <c r="F167" s="6"/>
      <c r="G167" s="20" t="str">
        <f t="shared" si="45"/>
        <v/>
      </c>
      <c r="H167" s="6"/>
      <c r="I167" s="20" t="str">
        <f>IF($F167="组件","C"&amp;TEXT(COUNTIFS($A$6:$A167,$A167,$F$6:$F167,"组件"),"000"),"")</f>
        <v/>
      </c>
      <c r="J167" s="6" t="str">
        <f t="shared" si="46"/>
        <v/>
      </c>
      <c r="K167" s="6"/>
      <c r="L167" s="6"/>
      <c r="M167" s="6"/>
      <c r="N167" s="6"/>
      <c r="O167" s="6"/>
      <c r="P167" s="14"/>
      <c r="Q167" s="14"/>
      <c r="R167" s="23" t="str">
        <f>IF(OR($F167="",$F167="订单头"),"",IF(AND($F167="零件",$J167&lt;&gt;""),IFERROR(SUMIFS($R$6:$R166,$A$6:$A166,$A167,$I$6:$I166,$J167)*IF($Q167="",1,$Q167),""),IF($P167="","",$P167*IF($Q167="",1,$Q167))))</f>
        <v/>
      </c>
      <c r="S167" s="6"/>
      <c r="T167" s="6"/>
      <c r="U167" s="6"/>
      <c r="V167" s="11"/>
      <c r="W167" s="7"/>
      <c r="X167" s="25" t="str">
        <f t="shared" ref="X167:X198" si="49">IF($F167="","",IF($F167="订单头",0,IF($A167=$A166,$X166,0)+IF(OR($F167="组件",AND($F167="零件",$J167="")),1,0)))</f>
        <v/>
      </c>
      <c r="Y167" s="25" t="str">
        <f t="shared" si="47"/>
        <v/>
      </c>
      <c r="Z167" s="25" t="str">
        <f>IF(AND($F167="零件",$J167&lt;&gt;""),COUNTIFS($A$6:$A167,$A167,$J$6:$J167,$J167,$F$6:$F167,"零件"),"")</f>
        <v/>
      </c>
      <c r="AA167" s="25" t="str">
        <f t="shared" ref="AA167:AA198" si="50">IF($F167="","",IF($F167="订单头",$B167,IF($A167=$A166,$AA166,"")))</f>
        <v/>
      </c>
      <c r="AB167" s="25" t="str">
        <f t="shared" ref="AB167:AB198" si="51">IF($F167="","",IF($F167="订单头",$C167,IF($A167=$A166,$AB166,"")))</f>
        <v/>
      </c>
      <c r="AC167" s="25" t="str">
        <f t="shared" ref="AC167:AC198" si="52">IF($F167="","",IF($F167="订单头",$D167,IF($A167=$A166,$AC166,"")))</f>
        <v/>
      </c>
      <c r="AD167" s="25" t="str">
        <f t="shared" ref="AD167:AD198" si="53">IF($F167="","",IF($F167="订单头",$E167,IF($A167=$A166,$AD166,"")))</f>
        <v/>
      </c>
      <c r="AE167" s="25">
        <f t="shared" si="48"/>
        <v>0</v>
      </c>
    </row>
    <row r="168" spans="1:31" ht="25.5" customHeight="1">
      <c r="A168" s="17" t="str">
        <f>IF($F168="","",COUNTIF($F$6:$F168,"订单头"))</f>
        <v/>
      </c>
      <c r="B168" s="6"/>
      <c r="C168" s="11"/>
      <c r="D168" s="6"/>
      <c r="E168" s="6"/>
      <c r="F168" s="6"/>
      <c r="G168" s="20" t="str">
        <f t="shared" si="45"/>
        <v/>
      </c>
      <c r="H168" s="6"/>
      <c r="I168" s="20" t="str">
        <f>IF($F168="组件","C"&amp;TEXT(COUNTIFS($A$6:$A168,$A168,$F$6:$F168,"组件"),"000"),"")</f>
        <v/>
      </c>
      <c r="J168" s="6" t="str">
        <f t="shared" si="46"/>
        <v/>
      </c>
      <c r="K168" s="6"/>
      <c r="L168" s="6"/>
      <c r="M168" s="6"/>
      <c r="N168" s="6"/>
      <c r="O168" s="6"/>
      <c r="P168" s="14"/>
      <c r="Q168" s="14"/>
      <c r="R168" s="23" t="str">
        <f>IF(OR($F168="",$F168="订单头"),"",IF(AND($F168="零件",$J168&lt;&gt;""),IFERROR(SUMIFS($R$6:$R167,$A$6:$A167,$A168,$I$6:$I167,$J168)*IF($Q168="",1,$Q168),""),IF($P168="","",$P168*IF($Q168="",1,$Q168))))</f>
        <v/>
      </c>
      <c r="S168" s="6"/>
      <c r="T168" s="6"/>
      <c r="U168" s="6"/>
      <c r="V168" s="11"/>
      <c r="W168" s="7"/>
      <c r="X168" s="25" t="str">
        <f t="shared" si="49"/>
        <v/>
      </c>
      <c r="Y168" s="25" t="str">
        <f t="shared" si="47"/>
        <v/>
      </c>
      <c r="Z168" s="25" t="str">
        <f>IF(AND($F168="零件",$J168&lt;&gt;""),COUNTIFS($A$6:$A168,$A168,$J$6:$J168,$J168,$F$6:$F168,"零件"),"")</f>
        <v/>
      </c>
      <c r="AA168" s="25" t="str">
        <f t="shared" si="50"/>
        <v/>
      </c>
      <c r="AB168" s="25" t="str">
        <f t="shared" si="51"/>
        <v/>
      </c>
      <c r="AC168" s="25" t="str">
        <f t="shared" si="52"/>
        <v/>
      </c>
      <c r="AD168" s="25" t="str">
        <f t="shared" si="53"/>
        <v/>
      </c>
      <c r="AE168" s="25">
        <f t="shared" si="48"/>
        <v>0</v>
      </c>
    </row>
    <row r="169" spans="1:31" ht="25.5" customHeight="1">
      <c r="A169" s="17" t="str">
        <f>IF($F169="","",COUNTIF($F$6:$F169,"订单头"))</f>
        <v/>
      </c>
      <c r="B169" s="6"/>
      <c r="C169" s="11"/>
      <c r="D169" s="6"/>
      <c r="E169" s="6"/>
      <c r="F169" s="6"/>
      <c r="G169" s="20" t="str">
        <f t="shared" si="45"/>
        <v/>
      </c>
      <c r="H169" s="6"/>
      <c r="I169" s="20" t="str">
        <f>IF($F169="组件","C"&amp;TEXT(COUNTIFS($A$6:$A169,$A169,$F$6:$F169,"组件"),"000"),"")</f>
        <v/>
      </c>
      <c r="J169" s="6" t="str">
        <f t="shared" si="46"/>
        <v/>
      </c>
      <c r="K169" s="6"/>
      <c r="L169" s="6"/>
      <c r="M169" s="6"/>
      <c r="N169" s="6"/>
      <c r="O169" s="6"/>
      <c r="P169" s="14"/>
      <c r="Q169" s="14"/>
      <c r="R169" s="23" t="str">
        <f>IF(OR($F169="",$F169="订单头"),"",IF(AND($F169="零件",$J169&lt;&gt;""),IFERROR(SUMIFS($R$6:$R168,$A$6:$A168,$A169,$I$6:$I168,$J169)*IF($Q169="",1,$Q169),""),IF($P169="","",$P169*IF($Q169="",1,$Q169))))</f>
        <v/>
      </c>
      <c r="S169" s="6"/>
      <c r="T169" s="6"/>
      <c r="U169" s="6"/>
      <c r="V169" s="11"/>
      <c r="W169" s="7"/>
      <c r="X169" s="25" t="str">
        <f t="shared" si="49"/>
        <v/>
      </c>
      <c r="Y169" s="25" t="str">
        <f t="shared" si="47"/>
        <v/>
      </c>
      <c r="Z169" s="25" t="str">
        <f>IF(AND($F169="零件",$J169&lt;&gt;""),COUNTIFS($A$6:$A169,$A169,$J$6:$J169,$J169,$F$6:$F169,"零件"),"")</f>
        <v/>
      </c>
      <c r="AA169" s="25" t="str">
        <f t="shared" si="50"/>
        <v/>
      </c>
      <c r="AB169" s="25" t="str">
        <f t="shared" si="51"/>
        <v/>
      </c>
      <c r="AC169" s="25" t="str">
        <f t="shared" si="52"/>
        <v/>
      </c>
      <c r="AD169" s="25" t="str">
        <f t="shared" si="53"/>
        <v/>
      </c>
      <c r="AE169" s="25">
        <f t="shared" si="48"/>
        <v>0</v>
      </c>
    </row>
    <row r="170" spans="1:31" ht="25.5" customHeight="1">
      <c r="A170" s="17" t="str">
        <f>IF($F170="","",COUNTIF($F$6:$F170,"订单头"))</f>
        <v/>
      </c>
      <c r="B170" s="6"/>
      <c r="C170" s="11"/>
      <c r="D170" s="6"/>
      <c r="E170" s="6"/>
      <c r="F170" s="6"/>
      <c r="G170" s="20" t="str">
        <f t="shared" si="45"/>
        <v/>
      </c>
      <c r="H170" s="6"/>
      <c r="I170" s="20" t="str">
        <f>IF($F170="组件","C"&amp;TEXT(COUNTIFS($A$6:$A170,$A170,$F$6:$F170,"组件"),"000"),"")</f>
        <v/>
      </c>
      <c r="J170" s="6" t="str">
        <f t="shared" si="46"/>
        <v/>
      </c>
      <c r="K170" s="6"/>
      <c r="L170" s="6"/>
      <c r="M170" s="6"/>
      <c r="N170" s="6"/>
      <c r="O170" s="6"/>
      <c r="P170" s="14"/>
      <c r="Q170" s="14"/>
      <c r="R170" s="23" t="str">
        <f>IF(OR($F170="",$F170="订单头"),"",IF(AND($F170="零件",$J170&lt;&gt;""),IFERROR(SUMIFS($R$6:$R169,$A$6:$A169,$A170,$I$6:$I169,$J170)*IF($Q170="",1,$Q170),""),IF($P170="","",$P170*IF($Q170="",1,$Q170))))</f>
        <v/>
      </c>
      <c r="S170" s="6"/>
      <c r="T170" s="6"/>
      <c r="U170" s="6"/>
      <c r="V170" s="11"/>
      <c r="W170" s="7"/>
      <c r="X170" s="25" t="str">
        <f t="shared" si="49"/>
        <v/>
      </c>
      <c r="Y170" s="25" t="str">
        <f t="shared" si="47"/>
        <v/>
      </c>
      <c r="Z170" s="25" t="str">
        <f>IF(AND($F170="零件",$J170&lt;&gt;""),COUNTIFS($A$6:$A170,$A170,$J$6:$J170,$J170,$F$6:$F170,"零件"),"")</f>
        <v/>
      </c>
      <c r="AA170" s="25" t="str">
        <f t="shared" si="50"/>
        <v/>
      </c>
      <c r="AB170" s="25" t="str">
        <f t="shared" si="51"/>
        <v/>
      </c>
      <c r="AC170" s="25" t="str">
        <f t="shared" si="52"/>
        <v/>
      </c>
      <c r="AD170" s="25" t="str">
        <f t="shared" si="53"/>
        <v/>
      </c>
      <c r="AE170" s="25">
        <f t="shared" si="48"/>
        <v>0</v>
      </c>
    </row>
    <row r="171" spans="1:31" ht="25.5" customHeight="1">
      <c r="A171" s="17" t="str">
        <f>IF($F171="","",COUNTIF($F$6:$F171,"订单头"))</f>
        <v/>
      </c>
      <c r="B171" s="6"/>
      <c r="C171" s="11"/>
      <c r="D171" s="6"/>
      <c r="E171" s="6"/>
      <c r="F171" s="6"/>
      <c r="G171" s="20" t="str">
        <f t="shared" si="45"/>
        <v/>
      </c>
      <c r="H171" s="6"/>
      <c r="I171" s="20" t="str">
        <f>IF($F171="组件","C"&amp;TEXT(COUNTIFS($A$6:$A171,$A171,$F$6:$F171,"组件"),"000"),"")</f>
        <v/>
      </c>
      <c r="J171" s="6" t="str">
        <f t="shared" si="46"/>
        <v/>
      </c>
      <c r="K171" s="6"/>
      <c r="L171" s="6"/>
      <c r="M171" s="6"/>
      <c r="N171" s="6"/>
      <c r="O171" s="6"/>
      <c r="P171" s="14"/>
      <c r="Q171" s="14"/>
      <c r="R171" s="23" t="str">
        <f>IF(OR($F171="",$F171="订单头"),"",IF(AND($F171="零件",$J171&lt;&gt;""),IFERROR(SUMIFS($R$6:$R170,$A$6:$A170,$A171,$I$6:$I170,$J171)*IF($Q171="",1,$Q171),""),IF($P171="","",$P171*IF($Q171="",1,$Q171))))</f>
        <v/>
      </c>
      <c r="S171" s="6"/>
      <c r="T171" s="6"/>
      <c r="U171" s="6"/>
      <c r="V171" s="11"/>
      <c r="W171" s="7"/>
      <c r="X171" s="25" t="str">
        <f t="shared" si="49"/>
        <v/>
      </c>
      <c r="Y171" s="25" t="str">
        <f t="shared" si="47"/>
        <v/>
      </c>
      <c r="Z171" s="25" t="str">
        <f>IF(AND($F171="零件",$J171&lt;&gt;""),COUNTIFS($A$6:$A171,$A171,$J$6:$J171,$J171,$F$6:$F171,"零件"),"")</f>
        <v/>
      </c>
      <c r="AA171" s="25" t="str">
        <f t="shared" si="50"/>
        <v/>
      </c>
      <c r="AB171" s="25" t="str">
        <f t="shared" si="51"/>
        <v/>
      </c>
      <c r="AC171" s="25" t="str">
        <f t="shared" si="52"/>
        <v/>
      </c>
      <c r="AD171" s="25" t="str">
        <f t="shared" si="53"/>
        <v/>
      </c>
      <c r="AE171" s="25">
        <f t="shared" si="48"/>
        <v>0</v>
      </c>
    </row>
    <row r="172" spans="1:31" ht="25.5" customHeight="1">
      <c r="A172" s="17" t="str">
        <f>IF($F172="","",COUNTIF($F$6:$F172,"订单头"))</f>
        <v/>
      </c>
      <c r="B172" s="6"/>
      <c r="C172" s="11"/>
      <c r="D172" s="6"/>
      <c r="E172" s="6"/>
      <c r="F172" s="6"/>
      <c r="G172" s="20" t="str">
        <f t="shared" si="45"/>
        <v/>
      </c>
      <c r="H172" s="6"/>
      <c r="I172" s="20" t="str">
        <f>IF($F172="组件","C"&amp;TEXT(COUNTIFS($A$6:$A172,$A172,$F$6:$F172,"组件"),"000"),"")</f>
        <v/>
      </c>
      <c r="J172" s="6" t="str">
        <f t="shared" si="46"/>
        <v/>
      </c>
      <c r="K172" s="6"/>
      <c r="L172" s="6"/>
      <c r="M172" s="6"/>
      <c r="N172" s="6"/>
      <c r="O172" s="6"/>
      <c r="P172" s="14"/>
      <c r="Q172" s="14"/>
      <c r="R172" s="23" t="str">
        <f>IF(OR($F172="",$F172="订单头"),"",IF(AND($F172="零件",$J172&lt;&gt;""),IFERROR(SUMIFS($R$6:$R171,$A$6:$A171,$A172,$I$6:$I171,$J172)*IF($Q172="",1,$Q172),""),IF($P172="","",$P172*IF($Q172="",1,$Q172))))</f>
        <v/>
      </c>
      <c r="S172" s="6"/>
      <c r="T172" s="6"/>
      <c r="U172" s="6"/>
      <c r="V172" s="11"/>
      <c r="W172" s="7"/>
      <c r="X172" s="25" t="str">
        <f t="shared" si="49"/>
        <v/>
      </c>
      <c r="Y172" s="25" t="str">
        <f t="shared" si="47"/>
        <v/>
      </c>
      <c r="Z172" s="25" t="str">
        <f>IF(AND($F172="零件",$J172&lt;&gt;""),COUNTIFS($A$6:$A172,$A172,$J$6:$J172,$J172,$F$6:$F172,"零件"),"")</f>
        <v/>
      </c>
      <c r="AA172" s="25" t="str">
        <f t="shared" si="50"/>
        <v/>
      </c>
      <c r="AB172" s="25" t="str">
        <f t="shared" si="51"/>
        <v/>
      </c>
      <c r="AC172" s="25" t="str">
        <f t="shared" si="52"/>
        <v/>
      </c>
      <c r="AD172" s="25" t="str">
        <f t="shared" si="53"/>
        <v/>
      </c>
      <c r="AE172" s="25">
        <f t="shared" si="48"/>
        <v>0</v>
      </c>
    </row>
    <row r="173" spans="1:31" ht="25.5" customHeight="1">
      <c r="A173" s="17" t="str">
        <f>IF($F173="","",COUNTIF($F$6:$F173,"订单头"))</f>
        <v/>
      </c>
      <c r="B173" s="6"/>
      <c r="C173" s="11"/>
      <c r="D173" s="6"/>
      <c r="E173" s="6"/>
      <c r="F173" s="6"/>
      <c r="G173" s="20" t="str">
        <f t="shared" si="45"/>
        <v/>
      </c>
      <c r="H173" s="6"/>
      <c r="I173" s="20" t="str">
        <f>IF($F173="组件","C"&amp;TEXT(COUNTIFS($A$6:$A173,$A173,$F$6:$F173,"组件"),"000"),"")</f>
        <v/>
      </c>
      <c r="J173" s="6" t="str">
        <f t="shared" si="46"/>
        <v/>
      </c>
      <c r="K173" s="6"/>
      <c r="L173" s="6"/>
      <c r="M173" s="6"/>
      <c r="N173" s="6"/>
      <c r="O173" s="6"/>
      <c r="P173" s="14"/>
      <c r="Q173" s="14"/>
      <c r="R173" s="23" t="str">
        <f>IF(OR($F173="",$F173="订单头"),"",IF(AND($F173="零件",$J173&lt;&gt;""),IFERROR(SUMIFS($R$6:$R172,$A$6:$A172,$A173,$I$6:$I172,$J173)*IF($Q173="",1,$Q173),""),IF($P173="","",$P173*IF($Q173="",1,$Q173))))</f>
        <v/>
      </c>
      <c r="S173" s="6"/>
      <c r="T173" s="6"/>
      <c r="U173" s="6"/>
      <c r="V173" s="11"/>
      <c r="W173" s="7"/>
      <c r="X173" s="25" t="str">
        <f t="shared" si="49"/>
        <v/>
      </c>
      <c r="Y173" s="25" t="str">
        <f t="shared" si="47"/>
        <v/>
      </c>
      <c r="Z173" s="25" t="str">
        <f>IF(AND($F173="零件",$J173&lt;&gt;""),COUNTIFS($A$6:$A173,$A173,$J$6:$J173,$J173,$F$6:$F173,"零件"),"")</f>
        <v/>
      </c>
      <c r="AA173" s="25" t="str">
        <f t="shared" si="50"/>
        <v/>
      </c>
      <c r="AB173" s="25" t="str">
        <f t="shared" si="51"/>
        <v/>
      </c>
      <c r="AC173" s="25" t="str">
        <f t="shared" si="52"/>
        <v/>
      </c>
      <c r="AD173" s="25" t="str">
        <f t="shared" si="53"/>
        <v/>
      </c>
      <c r="AE173" s="25">
        <f t="shared" si="48"/>
        <v>0</v>
      </c>
    </row>
    <row r="174" spans="1:31" ht="25.5" customHeight="1">
      <c r="A174" s="17" t="str">
        <f>IF($F174="","",COUNTIF($F$6:$F174,"订单头"))</f>
        <v/>
      </c>
      <c r="B174" s="6"/>
      <c r="C174" s="11"/>
      <c r="D174" s="6"/>
      <c r="E174" s="6"/>
      <c r="F174" s="6"/>
      <c r="G174" s="20" t="str">
        <f t="shared" si="45"/>
        <v/>
      </c>
      <c r="H174" s="6"/>
      <c r="I174" s="20" t="str">
        <f>IF($F174="组件","C"&amp;TEXT(COUNTIFS($A$6:$A174,$A174,$F$6:$F174,"组件"),"000"),"")</f>
        <v/>
      </c>
      <c r="J174" s="6" t="str">
        <f t="shared" si="46"/>
        <v/>
      </c>
      <c r="K174" s="6"/>
      <c r="L174" s="6"/>
      <c r="M174" s="6"/>
      <c r="N174" s="6"/>
      <c r="O174" s="6"/>
      <c r="P174" s="14"/>
      <c r="Q174" s="14"/>
      <c r="R174" s="23" t="str">
        <f>IF(OR($F174="",$F174="订单头"),"",IF(AND($F174="零件",$J174&lt;&gt;""),IFERROR(SUMIFS($R$6:$R173,$A$6:$A173,$A174,$I$6:$I173,$J174)*IF($Q174="",1,$Q174),""),IF($P174="","",$P174*IF($Q174="",1,$Q174))))</f>
        <v/>
      </c>
      <c r="S174" s="6"/>
      <c r="T174" s="6"/>
      <c r="U174" s="6"/>
      <c r="V174" s="11"/>
      <c r="W174" s="7"/>
      <c r="X174" s="25" t="str">
        <f t="shared" si="49"/>
        <v/>
      </c>
      <c r="Y174" s="25" t="str">
        <f t="shared" si="47"/>
        <v/>
      </c>
      <c r="Z174" s="25" t="str">
        <f>IF(AND($F174="零件",$J174&lt;&gt;""),COUNTIFS($A$6:$A174,$A174,$J$6:$J174,$J174,$F$6:$F174,"零件"),"")</f>
        <v/>
      </c>
      <c r="AA174" s="25" t="str">
        <f t="shared" si="50"/>
        <v/>
      </c>
      <c r="AB174" s="25" t="str">
        <f t="shared" si="51"/>
        <v/>
      </c>
      <c r="AC174" s="25" t="str">
        <f t="shared" si="52"/>
        <v/>
      </c>
      <c r="AD174" s="25" t="str">
        <f t="shared" si="53"/>
        <v/>
      </c>
      <c r="AE174" s="25">
        <f t="shared" si="48"/>
        <v>0</v>
      </c>
    </row>
    <row r="175" spans="1:31" ht="25.5" customHeight="1">
      <c r="A175" s="17" t="str">
        <f>IF($F175="","",COUNTIF($F$6:$F175,"订单头"))</f>
        <v/>
      </c>
      <c r="B175" s="6"/>
      <c r="C175" s="11"/>
      <c r="D175" s="6"/>
      <c r="E175" s="6"/>
      <c r="F175" s="6"/>
      <c r="G175" s="20" t="str">
        <f t="shared" si="45"/>
        <v/>
      </c>
      <c r="H175" s="6"/>
      <c r="I175" s="20" t="str">
        <f>IF($F175="组件","C"&amp;TEXT(COUNTIFS($A$6:$A175,$A175,$F$6:$F175,"组件"),"000"),"")</f>
        <v/>
      </c>
      <c r="J175" s="6" t="str">
        <f t="shared" si="46"/>
        <v/>
      </c>
      <c r="K175" s="6"/>
      <c r="L175" s="6"/>
      <c r="M175" s="6"/>
      <c r="N175" s="6"/>
      <c r="O175" s="6"/>
      <c r="P175" s="14"/>
      <c r="Q175" s="14"/>
      <c r="R175" s="23" t="str">
        <f>IF(OR($F175="",$F175="订单头"),"",IF(AND($F175="零件",$J175&lt;&gt;""),IFERROR(SUMIFS($R$6:$R174,$A$6:$A174,$A175,$I$6:$I174,$J175)*IF($Q175="",1,$Q175),""),IF($P175="","",$P175*IF($Q175="",1,$Q175))))</f>
        <v/>
      </c>
      <c r="S175" s="6"/>
      <c r="T175" s="6"/>
      <c r="U175" s="6"/>
      <c r="V175" s="11"/>
      <c r="W175" s="7"/>
      <c r="X175" s="25" t="str">
        <f t="shared" si="49"/>
        <v/>
      </c>
      <c r="Y175" s="25" t="str">
        <f t="shared" si="47"/>
        <v/>
      </c>
      <c r="Z175" s="25" t="str">
        <f>IF(AND($F175="零件",$J175&lt;&gt;""),COUNTIFS($A$6:$A175,$A175,$J$6:$J175,$J175,$F$6:$F175,"零件"),"")</f>
        <v/>
      </c>
      <c r="AA175" s="25" t="str">
        <f t="shared" si="50"/>
        <v/>
      </c>
      <c r="AB175" s="25" t="str">
        <f t="shared" si="51"/>
        <v/>
      </c>
      <c r="AC175" s="25" t="str">
        <f t="shared" si="52"/>
        <v/>
      </c>
      <c r="AD175" s="25" t="str">
        <f t="shared" si="53"/>
        <v/>
      </c>
      <c r="AE175" s="25">
        <f t="shared" si="48"/>
        <v>0</v>
      </c>
    </row>
    <row r="176" spans="1:31" ht="25.5" customHeight="1">
      <c r="A176" s="17" t="str">
        <f>IF($F176="","",COUNTIF($F$6:$F176,"订单头"))</f>
        <v/>
      </c>
      <c r="B176" s="6"/>
      <c r="C176" s="11"/>
      <c r="D176" s="6"/>
      <c r="E176" s="6"/>
      <c r="F176" s="6"/>
      <c r="G176" s="20" t="str">
        <f t="shared" si="45"/>
        <v/>
      </c>
      <c r="H176" s="6"/>
      <c r="I176" s="20" t="str">
        <f>IF($F176="组件","C"&amp;TEXT(COUNTIFS($A$6:$A176,$A176,$F$6:$F176,"组件"),"000"),"")</f>
        <v/>
      </c>
      <c r="J176" s="6" t="str">
        <f t="shared" si="46"/>
        <v/>
      </c>
      <c r="K176" s="6"/>
      <c r="L176" s="6"/>
      <c r="M176" s="6"/>
      <c r="N176" s="6"/>
      <c r="O176" s="6"/>
      <c r="P176" s="14"/>
      <c r="Q176" s="14"/>
      <c r="R176" s="23" t="str">
        <f>IF(OR($F176="",$F176="订单头"),"",IF(AND($F176="零件",$J176&lt;&gt;""),IFERROR(SUMIFS($R$6:$R175,$A$6:$A175,$A176,$I$6:$I175,$J176)*IF($Q176="",1,$Q176),""),IF($P176="","",$P176*IF($Q176="",1,$Q176))))</f>
        <v/>
      </c>
      <c r="S176" s="6"/>
      <c r="T176" s="6"/>
      <c r="U176" s="6"/>
      <c r="V176" s="11"/>
      <c r="W176" s="7"/>
      <c r="X176" s="25" t="str">
        <f t="shared" si="49"/>
        <v/>
      </c>
      <c r="Y176" s="25" t="str">
        <f t="shared" si="47"/>
        <v/>
      </c>
      <c r="Z176" s="25" t="str">
        <f>IF(AND($F176="零件",$J176&lt;&gt;""),COUNTIFS($A$6:$A176,$A176,$J$6:$J176,$J176,$F$6:$F176,"零件"),"")</f>
        <v/>
      </c>
      <c r="AA176" s="25" t="str">
        <f t="shared" si="50"/>
        <v/>
      </c>
      <c r="AB176" s="25" t="str">
        <f t="shared" si="51"/>
        <v/>
      </c>
      <c r="AC176" s="25" t="str">
        <f t="shared" si="52"/>
        <v/>
      </c>
      <c r="AD176" s="25" t="str">
        <f t="shared" si="53"/>
        <v/>
      </c>
      <c r="AE176" s="25">
        <f t="shared" si="48"/>
        <v>0</v>
      </c>
    </row>
    <row r="177" spans="1:31" ht="25.5" customHeight="1">
      <c r="A177" s="17" t="str">
        <f>IF($F177="","",COUNTIF($F$6:$F177,"订单头"))</f>
        <v/>
      </c>
      <c r="B177" s="6"/>
      <c r="C177" s="11"/>
      <c r="D177" s="6"/>
      <c r="E177" s="6"/>
      <c r="F177" s="6"/>
      <c r="G177" s="20" t="str">
        <f t="shared" si="45"/>
        <v/>
      </c>
      <c r="H177" s="6"/>
      <c r="I177" s="20" t="str">
        <f>IF($F177="组件","C"&amp;TEXT(COUNTIFS($A$6:$A177,$A177,$F$6:$F177,"组件"),"000"),"")</f>
        <v/>
      </c>
      <c r="J177" s="6" t="str">
        <f t="shared" si="46"/>
        <v/>
      </c>
      <c r="K177" s="6"/>
      <c r="L177" s="6"/>
      <c r="M177" s="6"/>
      <c r="N177" s="6"/>
      <c r="O177" s="6"/>
      <c r="P177" s="14"/>
      <c r="Q177" s="14"/>
      <c r="R177" s="23" t="str">
        <f>IF(OR($F177="",$F177="订单头"),"",IF(AND($F177="零件",$J177&lt;&gt;""),IFERROR(SUMIFS($R$6:$R176,$A$6:$A176,$A177,$I$6:$I176,$J177)*IF($Q177="",1,$Q177),""),IF($P177="","",$P177*IF($Q177="",1,$Q177))))</f>
        <v/>
      </c>
      <c r="S177" s="6"/>
      <c r="T177" s="6"/>
      <c r="U177" s="6"/>
      <c r="V177" s="11"/>
      <c r="W177" s="7"/>
      <c r="X177" s="25" t="str">
        <f t="shared" si="49"/>
        <v/>
      </c>
      <c r="Y177" s="25" t="str">
        <f t="shared" si="47"/>
        <v/>
      </c>
      <c r="Z177" s="25" t="str">
        <f>IF(AND($F177="零件",$J177&lt;&gt;""),COUNTIFS($A$6:$A177,$A177,$J$6:$J177,$J177,$F$6:$F177,"零件"),"")</f>
        <v/>
      </c>
      <c r="AA177" s="25" t="str">
        <f t="shared" si="50"/>
        <v/>
      </c>
      <c r="AB177" s="25" t="str">
        <f t="shared" si="51"/>
        <v/>
      </c>
      <c r="AC177" s="25" t="str">
        <f t="shared" si="52"/>
        <v/>
      </c>
      <c r="AD177" s="25" t="str">
        <f t="shared" si="53"/>
        <v/>
      </c>
      <c r="AE177" s="25">
        <f t="shared" si="48"/>
        <v>0</v>
      </c>
    </row>
    <row r="178" spans="1:31" ht="25.5" customHeight="1">
      <c r="A178" s="17" t="str">
        <f>IF($F178="","",COUNTIF($F$6:$F178,"订单头"))</f>
        <v/>
      </c>
      <c r="B178" s="6"/>
      <c r="C178" s="11"/>
      <c r="D178" s="6"/>
      <c r="E178" s="6"/>
      <c r="F178" s="6"/>
      <c r="G178" s="20" t="str">
        <f t="shared" si="45"/>
        <v/>
      </c>
      <c r="H178" s="6"/>
      <c r="I178" s="20" t="str">
        <f>IF($F178="组件","C"&amp;TEXT(COUNTIFS($A$6:$A178,$A178,$F$6:$F178,"组件"),"000"),"")</f>
        <v/>
      </c>
      <c r="J178" s="6" t="str">
        <f t="shared" si="46"/>
        <v/>
      </c>
      <c r="K178" s="6"/>
      <c r="L178" s="6"/>
      <c r="M178" s="6"/>
      <c r="N178" s="6"/>
      <c r="O178" s="6"/>
      <c r="P178" s="14"/>
      <c r="Q178" s="14"/>
      <c r="R178" s="23" t="str">
        <f>IF(OR($F178="",$F178="订单头"),"",IF(AND($F178="零件",$J178&lt;&gt;""),IFERROR(SUMIFS($R$6:$R177,$A$6:$A177,$A178,$I$6:$I177,$J178)*IF($Q178="",1,$Q178),""),IF($P178="","",$P178*IF($Q178="",1,$Q178))))</f>
        <v/>
      </c>
      <c r="S178" s="6"/>
      <c r="T178" s="6"/>
      <c r="U178" s="6"/>
      <c r="V178" s="11"/>
      <c r="W178" s="7"/>
      <c r="X178" s="25" t="str">
        <f t="shared" si="49"/>
        <v/>
      </c>
      <c r="Y178" s="25" t="str">
        <f t="shared" si="47"/>
        <v/>
      </c>
      <c r="Z178" s="25" t="str">
        <f>IF(AND($F178="零件",$J178&lt;&gt;""),COUNTIFS($A$6:$A178,$A178,$J$6:$J178,$J178,$F$6:$F178,"零件"),"")</f>
        <v/>
      </c>
      <c r="AA178" s="25" t="str">
        <f t="shared" si="50"/>
        <v/>
      </c>
      <c r="AB178" s="25" t="str">
        <f t="shared" si="51"/>
        <v/>
      </c>
      <c r="AC178" s="25" t="str">
        <f t="shared" si="52"/>
        <v/>
      </c>
      <c r="AD178" s="25" t="str">
        <f t="shared" si="53"/>
        <v/>
      </c>
      <c r="AE178" s="25">
        <f t="shared" si="48"/>
        <v>0</v>
      </c>
    </row>
    <row r="179" spans="1:31" ht="25.5" customHeight="1">
      <c r="A179" s="17" t="str">
        <f>IF($F179="","",COUNTIF($F$6:$F179,"订单头"))</f>
        <v/>
      </c>
      <c r="B179" s="6"/>
      <c r="C179" s="11"/>
      <c r="D179" s="6"/>
      <c r="E179" s="6"/>
      <c r="F179" s="6"/>
      <c r="G179" s="20" t="str">
        <f t="shared" si="45"/>
        <v/>
      </c>
      <c r="H179" s="6"/>
      <c r="I179" s="20" t="str">
        <f>IF($F179="组件","C"&amp;TEXT(COUNTIFS($A$6:$A179,$A179,$F$6:$F179,"组件"),"000"),"")</f>
        <v/>
      </c>
      <c r="J179" s="6" t="str">
        <f t="shared" si="46"/>
        <v/>
      </c>
      <c r="K179" s="6"/>
      <c r="L179" s="6"/>
      <c r="M179" s="6"/>
      <c r="N179" s="6"/>
      <c r="O179" s="6"/>
      <c r="P179" s="14"/>
      <c r="Q179" s="14"/>
      <c r="R179" s="23" t="str">
        <f>IF(OR($F179="",$F179="订单头"),"",IF(AND($F179="零件",$J179&lt;&gt;""),IFERROR(SUMIFS($R$6:$R178,$A$6:$A178,$A179,$I$6:$I178,$J179)*IF($Q179="",1,$Q179),""),IF($P179="","",$P179*IF($Q179="",1,$Q179))))</f>
        <v/>
      </c>
      <c r="S179" s="6"/>
      <c r="T179" s="6"/>
      <c r="U179" s="6"/>
      <c r="V179" s="11"/>
      <c r="W179" s="7"/>
      <c r="X179" s="25" t="str">
        <f t="shared" si="49"/>
        <v/>
      </c>
      <c r="Y179" s="25" t="str">
        <f t="shared" si="47"/>
        <v/>
      </c>
      <c r="Z179" s="25" t="str">
        <f>IF(AND($F179="零件",$J179&lt;&gt;""),COUNTIFS($A$6:$A179,$A179,$J$6:$J179,$J179,$F$6:$F179,"零件"),"")</f>
        <v/>
      </c>
      <c r="AA179" s="25" t="str">
        <f t="shared" si="50"/>
        <v/>
      </c>
      <c r="AB179" s="25" t="str">
        <f t="shared" si="51"/>
        <v/>
      </c>
      <c r="AC179" s="25" t="str">
        <f t="shared" si="52"/>
        <v/>
      </c>
      <c r="AD179" s="25" t="str">
        <f t="shared" si="53"/>
        <v/>
      </c>
      <c r="AE179" s="25">
        <f t="shared" si="48"/>
        <v>0</v>
      </c>
    </row>
    <row r="180" spans="1:31" ht="25.5" customHeight="1">
      <c r="A180" s="17" t="str">
        <f>IF($F180="","",COUNTIF($F$6:$F180,"订单头"))</f>
        <v/>
      </c>
      <c r="B180" s="6"/>
      <c r="C180" s="11"/>
      <c r="D180" s="6"/>
      <c r="E180" s="6"/>
      <c r="F180" s="6"/>
      <c r="G180" s="20" t="str">
        <f t="shared" si="45"/>
        <v/>
      </c>
      <c r="H180" s="6"/>
      <c r="I180" s="20" t="str">
        <f>IF($F180="组件","C"&amp;TEXT(COUNTIFS($A$6:$A180,$A180,$F$6:$F180,"组件"),"000"),"")</f>
        <v/>
      </c>
      <c r="J180" s="6" t="str">
        <f t="shared" si="46"/>
        <v/>
      </c>
      <c r="K180" s="6"/>
      <c r="L180" s="6"/>
      <c r="M180" s="6"/>
      <c r="N180" s="6"/>
      <c r="O180" s="6"/>
      <c r="P180" s="14"/>
      <c r="Q180" s="14"/>
      <c r="R180" s="23" t="str">
        <f>IF(OR($F180="",$F180="订单头"),"",IF(AND($F180="零件",$J180&lt;&gt;""),IFERROR(SUMIFS($R$6:$R179,$A$6:$A179,$A180,$I$6:$I179,$J180)*IF($Q180="",1,$Q180),""),IF($P180="","",$P180*IF($Q180="",1,$Q180))))</f>
        <v/>
      </c>
      <c r="S180" s="6"/>
      <c r="T180" s="6"/>
      <c r="U180" s="6"/>
      <c r="V180" s="11"/>
      <c r="W180" s="7"/>
      <c r="X180" s="25" t="str">
        <f t="shared" si="49"/>
        <v/>
      </c>
      <c r="Y180" s="25" t="str">
        <f t="shared" si="47"/>
        <v/>
      </c>
      <c r="Z180" s="25" t="str">
        <f>IF(AND($F180="零件",$J180&lt;&gt;""),COUNTIFS($A$6:$A180,$A180,$J$6:$J180,$J180,$F$6:$F180,"零件"),"")</f>
        <v/>
      </c>
      <c r="AA180" s="25" t="str">
        <f t="shared" si="50"/>
        <v/>
      </c>
      <c r="AB180" s="25" t="str">
        <f t="shared" si="51"/>
        <v/>
      </c>
      <c r="AC180" s="25" t="str">
        <f t="shared" si="52"/>
        <v/>
      </c>
      <c r="AD180" s="25" t="str">
        <f t="shared" si="53"/>
        <v/>
      </c>
      <c r="AE180" s="25">
        <f t="shared" si="48"/>
        <v>0</v>
      </c>
    </row>
    <row r="181" spans="1:31" ht="25.5" customHeight="1">
      <c r="A181" s="17" t="str">
        <f>IF($F181="","",COUNTIF($F$6:$F181,"订单头"))</f>
        <v/>
      </c>
      <c r="B181" s="6"/>
      <c r="C181" s="11"/>
      <c r="D181" s="6"/>
      <c r="E181" s="6"/>
      <c r="F181" s="6"/>
      <c r="G181" s="20" t="str">
        <f t="shared" si="45"/>
        <v/>
      </c>
      <c r="H181" s="6"/>
      <c r="I181" s="20" t="str">
        <f>IF($F181="组件","C"&amp;TEXT(COUNTIFS($A$6:$A181,$A181,$F$6:$F181,"组件"),"000"),"")</f>
        <v/>
      </c>
      <c r="J181" s="6" t="str">
        <f t="shared" si="46"/>
        <v/>
      </c>
      <c r="K181" s="6"/>
      <c r="L181" s="6"/>
      <c r="M181" s="6"/>
      <c r="N181" s="6"/>
      <c r="O181" s="6"/>
      <c r="P181" s="14"/>
      <c r="Q181" s="14"/>
      <c r="R181" s="23" t="str">
        <f>IF(OR($F181="",$F181="订单头"),"",IF(AND($F181="零件",$J181&lt;&gt;""),IFERROR(SUMIFS($R$6:$R180,$A$6:$A180,$A181,$I$6:$I180,$J181)*IF($Q181="",1,$Q181),""),IF($P181="","",$P181*IF($Q181="",1,$Q181))))</f>
        <v/>
      </c>
      <c r="S181" s="6"/>
      <c r="T181" s="6"/>
      <c r="U181" s="6"/>
      <c r="V181" s="11"/>
      <c r="W181" s="7"/>
      <c r="X181" s="25" t="str">
        <f t="shared" si="49"/>
        <v/>
      </c>
      <c r="Y181" s="25" t="str">
        <f t="shared" si="47"/>
        <v/>
      </c>
      <c r="Z181" s="25" t="str">
        <f>IF(AND($F181="零件",$J181&lt;&gt;""),COUNTIFS($A$6:$A181,$A181,$J$6:$J181,$J181,$F$6:$F181,"零件"),"")</f>
        <v/>
      </c>
      <c r="AA181" s="25" t="str">
        <f t="shared" si="50"/>
        <v/>
      </c>
      <c r="AB181" s="25" t="str">
        <f t="shared" si="51"/>
        <v/>
      </c>
      <c r="AC181" s="25" t="str">
        <f t="shared" si="52"/>
        <v/>
      </c>
      <c r="AD181" s="25" t="str">
        <f t="shared" si="53"/>
        <v/>
      </c>
      <c r="AE181" s="25">
        <f t="shared" si="48"/>
        <v>0</v>
      </c>
    </row>
    <row r="182" spans="1:31" ht="25.5" customHeight="1">
      <c r="A182" s="17" t="str">
        <f>IF($F182="","",COUNTIF($F$6:$F182,"订单头"))</f>
        <v/>
      </c>
      <c r="B182" s="6"/>
      <c r="C182" s="11"/>
      <c r="D182" s="6"/>
      <c r="E182" s="6"/>
      <c r="F182" s="6"/>
      <c r="G182" s="20" t="str">
        <f t="shared" si="45"/>
        <v/>
      </c>
      <c r="H182" s="6"/>
      <c r="I182" s="20" t="str">
        <f>IF($F182="组件","C"&amp;TEXT(COUNTIFS($A$6:$A182,$A182,$F$6:$F182,"组件"),"000"),"")</f>
        <v/>
      </c>
      <c r="J182" s="6" t="str">
        <f t="shared" si="46"/>
        <v/>
      </c>
      <c r="K182" s="6"/>
      <c r="L182" s="6"/>
      <c r="M182" s="6"/>
      <c r="N182" s="6"/>
      <c r="O182" s="6"/>
      <c r="P182" s="14"/>
      <c r="Q182" s="14"/>
      <c r="R182" s="23" t="str">
        <f>IF(OR($F182="",$F182="订单头"),"",IF(AND($F182="零件",$J182&lt;&gt;""),IFERROR(SUMIFS($R$6:$R181,$A$6:$A181,$A182,$I$6:$I181,$J182)*IF($Q182="",1,$Q182),""),IF($P182="","",$P182*IF($Q182="",1,$Q182))))</f>
        <v/>
      </c>
      <c r="S182" s="6"/>
      <c r="T182" s="6"/>
      <c r="U182" s="6"/>
      <c r="V182" s="11"/>
      <c r="W182" s="7"/>
      <c r="X182" s="25" t="str">
        <f t="shared" si="49"/>
        <v/>
      </c>
      <c r="Y182" s="25" t="str">
        <f t="shared" si="47"/>
        <v/>
      </c>
      <c r="Z182" s="25" t="str">
        <f>IF(AND($F182="零件",$J182&lt;&gt;""),COUNTIFS($A$6:$A182,$A182,$J$6:$J182,$J182,$F$6:$F182,"零件"),"")</f>
        <v/>
      </c>
      <c r="AA182" s="25" t="str">
        <f t="shared" si="50"/>
        <v/>
      </c>
      <c r="AB182" s="25" t="str">
        <f t="shared" si="51"/>
        <v/>
      </c>
      <c r="AC182" s="25" t="str">
        <f t="shared" si="52"/>
        <v/>
      </c>
      <c r="AD182" s="25" t="str">
        <f t="shared" si="53"/>
        <v/>
      </c>
      <c r="AE182" s="25">
        <f t="shared" si="48"/>
        <v>0</v>
      </c>
    </row>
    <row r="183" spans="1:31" ht="25.5" customHeight="1">
      <c r="A183" s="17" t="str">
        <f>IF($F183="","",COUNTIF($F$6:$F183,"订单头"))</f>
        <v/>
      </c>
      <c r="B183" s="6"/>
      <c r="C183" s="11"/>
      <c r="D183" s="6"/>
      <c r="E183" s="6"/>
      <c r="F183" s="6"/>
      <c r="G183" s="20" t="str">
        <f t="shared" si="45"/>
        <v/>
      </c>
      <c r="H183" s="6"/>
      <c r="I183" s="20" t="str">
        <f>IF($F183="组件","C"&amp;TEXT(COUNTIFS($A$6:$A183,$A183,$F$6:$F183,"组件"),"000"),"")</f>
        <v/>
      </c>
      <c r="J183" s="6" t="str">
        <f t="shared" si="46"/>
        <v/>
      </c>
      <c r="K183" s="6"/>
      <c r="L183" s="6"/>
      <c r="M183" s="6"/>
      <c r="N183" s="6"/>
      <c r="O183" s="6"/>
      <c r="P183" s="14"/>
      <c r="Q183" s="14"/>
      <c r="R183" s="23" t="str">
        <f>IF(OR($F183="",$F183="订单头"),"",IF(AND($F183="零件",$J183&lt;&gt;""),IFERROR(SUMIFS($R$6:$R182,$A$6:$A182,$A183,$I$6:$I182,$J183)*IF($Q183="",1,$Q183),""),IF($P183="","",$P183*IF($Q183="",1,$Q183))))</f>
        <v/>
      </c>
      <c r="S183" s="6"/>
      <c r="T183" s="6"/>
      <c r="U183" s="6"/>
      <c r="V183" s="11"/>
      <c r="W183" s="7"/>
      <c r="X183" s="25" t="str">
        <f t="shared" si="49"/>
        <v/>
      </c>
      <c r="Y183" s="25" t="str">
        <f t="shared" si="47"/>
        <v/>
      </c>
      <c r="Z183" s="25" t="str">
        <f>IF(AND($F183="零件",$J183&lt;&gt;""),COUNTIFS($A$6:$A183,$A183,$J$6:$J183,$J183,$F$6:$F183,"零件"),"")</f>
        <v/>
      </c>
      <c r="AA183" s="25" t="str">
        <f t="shared" si="50"/>
        <v/>
      </c>
      <c r="AB183" s="25" t="str">
        <f t="shared" si="51"/>
        <v/>
      </c>
      <c r="AC183" s="25" t="str">
        <f t="shared" si="52"/>
        <v/>
      </c>
      <c r="AD183" s="25" t="str">
        <f t="shared" si="53"/>
        <v/>
      </c>
      <c r="AE183" s="25">
        <f t="shared" si="48"/>
        <v>0</v>
      </c>
    </row>
    <row r="184" spans="1:31" ht="25.5" customHeight="1">
      <c r="A184" s="17" t="str">
        <f>IF($F184="","",COUNTIF($F$6:$F184,"订单头"))</f>
        <v/>
      </c>
      <c r="B184" s="6"/>
      <c r="C184" s="11"/>
      <c r="D184" s="6"/>
      <c r="E184" s="6"/>
      <c r="F184" s="6"/>
      <c r="G184" s="20" t="str">
        <f t="shared" si="45"/>
        <v/>
      </c>
      <c r="H184" s="6"/>
      <c r="I184" s="20" t="str">
        <f>IF($F184="组件","C"&amp;TEXT(COUNTIFS($A$6:$A184,$A184,$F$6:$F184,"组件"),"000"),"")</f>
        <v/>
      </c>
      <c r="J184" s="6" t="str">
        <f t="shared" si="46"/>
        <v/>
      </c>
      <c r="K184" s="6"/>
      <c r="L184" s="6"/>
      <c r="M184" s="6"/>
      <c r="N184" s="6"/>
      <c r="O184" s="6"/>
      <c r="P184" s="14"/>
      <c r="Q184" s="14"/>
      <c r="R184" s="23" t="str">
        <f>IF(OR($F184="",$F184="订单头"),"",IF(AND($F184="零件",$J184&lt;&gt;""),IFERROR(SUMIFS($R$6:$R183,$A$6:$A183,$A184,$I$6:$I183,$J184)*IF($Q184="",1,$Q184),""),IF($P184="","",$P184*IF($Q184="",1,$Q184))))</f>
        <v/>
      </c>
      <c r="S184" s="6"/>
      <c r="T184" s="6"/>
      <c r="U184" s="6"/>
      <c r="V184" s="11"/>
      <c r="W184" s="7"/>
      <c r="X184" s="25" t="str">
        <f t="shared" si="49"/>
        <v/>
      </c>
      <c r="Y184" s="25" t="str">
        <f t="shared" si="47"/>
        <v/>
      </c>
      <c r="Z184" s="25" t="str">
        <f>IF(AND($F184="零件",$J184&lt;&gt;""),COUNTIFS($A$6:$A184,$A184,$J$6:$J184,$J184,$F$6:$F184,"零件"),"")</f>
        <v/>
      </c>
      <c r="AA184" s="25" t="str">
        <f t="shared" si="50"/>
        <v/>
      </c>
      <c r="AB184" s="25" t="str">
        <f t="shared" si="51"/>
        <v/>
      </c>
      <c r="AC184" s="25" t="str">
        <f t="shared" si="52"/>
        <v/>
      </c>
      <c r="AD184" s="25" t="str">
        <f t="shared" si="53"/>
        <v/>
      </c>
      <c r="AE184" s="25">
        <f t="shared" si="48"/>
        <v>0</v>
      </c>
    </row>
    <row r="185" spans="1:31" ht="25.5" customHeight="1">
      <c r="A185" s="17" t="str">
        <f>IF($F185="","",COUNTIF($F$6:$F185,"订单头"))</f>
        <v/>
      </c>
      <c r="B185" s="6"/>
      <c r="C185" s="11"/>
      <c r="D185" s="6"/>
      <c r="E185" s="6"/>
      <c r="F185" s="6"/>
      <c r="G185" s="20" t="str">
        <f t="shared" si="45"/>
        <v/>
      </c>
      <c r="H185" s="6"/>
      <c r="I185" s="20" t="str">
        <f>IF($F185="组件","C"&amp;TEXT(COUNTIFS($A$6:$A185,$A185,$F$6:$F185,"组件"),"000"),"")</f>
        <v/>
      </c>
      <c r="J185" s="6" t="str">
        <f t="shared" si="46"/>
        <v/>
      </c>
      <c r="K185" s="6"/>
      <c r="L185" s="6"/>
      <c r="M185" s="6"/>
      <c r="N185" s="6"/>
      <c r="O185" s="6"/>
      <c r="P185" s="14"/>
      <c r="Q185" s="14"/>
      <c r="R185" s="23" t="str">
        <f>IF(OR($F185="",$F185="订单头"),"",IF(AND($F185="零件",$J185&lt;&gt;""),IFERROR(SUMIFS($R$6:$R184,$A$6:$A184,$A185,$I$6:$I184,$J185)*IF($Q185="",1,$Q185),""),IF($P185="","",$P185*IF($Q185="",1,$Q185))))</f>
        <v/>
      </c>
      <c r="S185" s="6"/>
      <c r="T185" s="6"/>
      <c r="U185" s="6"/>
      <c r="V185" s="11"/>
      <c r="W185" s="7"/>
      <c r="X185" s="25" t="str">
        <f t="shared" si="49"/>
        <v/>
      </c>
      <c r="Y185" s="25" t="str">
        <f t="shared" si="47"/>
        <v/>
      </c>
      <c r="Z185" s="25" t="str">
        <f>IF(AND($F185="零件",$J185&lt;&gt;""),COUNTIFS($A$6:$A185,$A185,$J$6:$J185,$J185,$F$6:$F185,"零件"),"")</f>
        <v/>
      </c>
      <c r="AA185" s="25" t="str">
        <f t="shared" si="50"/>
        <v/>
      </c>
      <c r="AB185" s="25" t="str">
        <f t="shared" si="51"/>
        <v/>
      </c>
      <c r="AC185" s="25" t="str">
        <f t="shared" si="52"/>
        <v/>
      </c>
      <c r="AD185" s="25" t="str">
        <f t="shared" si="53"/>
        <v/>
      </c>
      <c r="AE185" s="25">
        <f t="shared" si="48"/>
        <v>0</v>
      </c>
    </row>
    <row r="186" spans="1:31" ht="25.5" customHeight="1">
      <c r="A186" s="17" t="str">
        <f>IF($F186="","",COUNTIF($F$6:$F186,"订单头"))</f>
        <v/>
      </c>
      <c r="B186" s="6"/>
      <c r="C186" s="11"/>
      <c r="D186" s="6"/>
      <c r="E186" s="6"/>
      <c r="F186" s="6"/>
      <c r="G186" s="20" t="str">
        <f t="shared" si="45"/>
        <v/>
      </c>
      <c r="H186" s="6"/>
      <c r="I186" s="20" t="str">
        <f>IF($F186="组件","C"&amp;TEXT(COUNTIFS($A$6:$A186,$A186,$F$6:$F186,"组件"),"000"),"")</f>
        <v/>
      </c>
      <c r="J186" s="6" t="str">
        <f t="shared" si="46"/>
        <v/>
      </c>
      <c r="K186" s="6"/>
      <c r="L186" s="6"/>
      <c r="M186" s="6"/>
      <c r="N186" s="6"/>
      <c r="O186" s="6"/>
      <c r="P186" s="14"/>
      <c r="Q186" s="14"/>
      <c r="R186" s="23" t="str">
        <f>IF(OR($F186="",$F186="订单头"),"",IF(AND($F186="零件",$J186&lt;&gt;""),IFERROR(SUMIFS($R$6:$R185,$A$6:$A185,$A186,$I$6:$I185,$J186)*IF($Q186="",1,$Q186),""),IF($P186="","",$P186*IF($Q186="",1,$Q186))))</f>
        <v/>
      </c>
      <c r="S186" s="6"/>
      <c r="T186" s="6"/>
      <c r="U186" s="6"/>
      <c r="V186" s="11"/>
      <c r="W186" s="7"/>
      <c r="X186" s="25" t="str">
        <f t="shared" si="49"/>
        <v/>
      </c>
      <c r="Y186" s="25" t="str">
        <f t="shared" si="47"/>
        <v/>
      </c>
      <c r="Z186" s="25" t="str">
        <f>IF(AND($F186="零件",$J186&lt;&gt;""),COUNTIFS($A$6:$A186,$A186,$J$6:$J186,$J186,$F$6:$F186,"零件"),"")</f>
        <v/>
      </c>
      <c r="AA186" s="25" t="str">
        <f t="shared" si="50"/>
        <v/>
      </c>
      <c r="AB186" s="25" t="str">
        <f t="shared" si="51"/>
        <v/>
      </c>
      <c r="AC186" s="25" t="str">
        <f t="shared" si="52"/>
        <v/>
      </c>
      <c r="AD186" s="25" t="str">
        <f t="shared" si="53"/>
        <v/>
      </c>
      <c r="AE186" s="25">
        <f t="shared" si="48"/>
        <v>0</v>
      </c>
    </row>
    <row r="187" spans="1:31" ht="25.5" customHeight="1">
      <c r="A187" s="17" t="str">
        <f>IF($F187="","",COUNTIF($F$6:$F187,"订单头"))</f>
        <v/>
      </c>
      <c r="B187" s="6"/>
      <c r="C187" s="11"/>
      <c r="D187" s="6"/>
      <c r="E187" s="6"/>
      <c r="F187" s="6"/>
      <c r="G187" s="20" t="str">
        <f t="shared" si="45"/>
        <v/>
      </c>
      <c r="H187" s="6"/>
      <c r="I187" s="20" t="str">
        <f>IF($F187="组件","C"&amp;TEXT(COUNTIFS($A$6:$A187,$A187,$F$6:$F187,"组件"),"000"),"")</f>
        <v/>
      </c>
      <c r="J187" s="6" t="str">
        <f t="shared" si="46"/>
        <v/>
      </c>
      <c r="K187" s="6"/>
      <c r="L187" s="6"/>
      <c r="M187" s="6"/>
      <c r="N187" s="6"/>
      <c r="O187" s="6"/>
      <c r="P187" s="14"/>
      <c r="Q187" s="14"/>
      <c r="R187" s="23" t="str">
        <f>IF(OR($F187="",$F187="订单头"),"",IF(AND($F187="零件",$J187&lt;&gt;""),IFERROR(SUMIFS($R$6:$R186,$A$6:$A186,$A187,$I$6:$I186,$J187)*IF($Q187="",1,$Q187),""),IF($P187="","",$P187*IF($Q187="",1,$Q187))))</f>
        <v/>
      </c>
      <c r="S187" s="6"/>
      <c r="T187" s="6"/>
      <c r="U187" s="6"/>
      <c r="V187" s="11"/>
      <c r="W187" s="7"/>
      <c r="X187" s="25" t="str">
        <f t="shared" si="49"/>
        <v/>
      </c>
      <c r="Y187" s="25" t="str">
        <f t="shared" si="47"/>
        <v/>
      </c>
      <c r="Z187" s="25" t="str">
        <f>IF(AND($F187="零件",$J187&lt;&gt;""),COUNTIFS($A$6:$A187,$A187,$J$6:$J187,$J187,$F$6:$F187,"零件"),"")</f>
        <v/>
      </c>
      <c r="AA187" s="25" t="str">
        <f t="shared" si="50"/>
        <v/>
      </c>
      <c r="AB187" s="25" t="str">
        <f t="shared" si="51"/>
        <v/>
      </c>
      <c r="AC187" s="25" t="str">
        <f t="shared" si="52"/>
        <v/>
      </c>
      <c r="AD187" s="25" t="str">
        <f t="shared" si="53"/>
        <v/>
      </c>
      <c r="AE187" s="25">
        <f t="shared" si="48"/>
        <v>0</v>
      </c>
    </row>
    <row r="188" spans="1:31" ht="25.5" customHeight="1">
      <c r="A188" s="17" t="str">
        <f>IF($F188="","",COUNTIF($F$6:$F188,"订单头"))</f>
        <v/>
      </c>
      <c r="B188" s="6"/>
      <c r="C188" s="11"/>
      <c r="D188" s="6"/>
      <c r="E188" s="6"/>
      <c r="F188" s="6"/>
      <c r="G188" s="20" t="str">
        <f t="shared" si="45"/>
        <v/>
      </c>
      <c r="H188" s="6"/>
      <c r="I188" s="20" t="str">
        <f>IF($F188="组件","C"&amp;TEXT(COUNTIFS($A$6:$A188,$A188,$F$6:$F188,"组件"),"000"),"")</f>
        <v/>
      </c>
      <c r="J188" s="6" t="str">
        <f t="shared" si="46"/>
        <v/>
      </c>
      <c r="K188" s="6"/>
      <c r="L188" s="6"/>
      <c r="M188" s="6"/>
      <c r="N188" s="6"/>
      <c r="O188" s="6"/>
      <c r="P188" s="14"/>
      <c r="Q188" s="14"/>
      <c r="R188" s="23" t="str">
        <f>IF(OR($F188="",$F188="订单头"),"",IF(AND($F188="零件",$J188&lt;&gt;""),IFERROR(SUMIFS($R$6:$R187,$A$6:$A187,$A188,$I$6:$I187,$J188)*IF($Q188="",1,$Q188),""),IF($P188="","",$P188*IF($Q188="",1,$Q188))))</f>
        <v/>
      </c>
      <c r="S188" s="6"/>
      <c r="T188" s="6"/>
      <c r="U188" s="6"/>
      <c r="V188" s="11"/>
      <c r="W188" s="7"/>
      <c r="X188" s="25" t="str">
        <f t="shared" si="49"/>
        <v/>
      </c>
      <c r="Y188" s="25" t="str">
        <f t="shared" si="47"/>
        <v/>
      </c>
      <c r="Z188" s="25" t="str">
        <f>IF(AND($F188="零件",$J188&lt;&gt;""),COUNTIFS($A$6:$A188,$A188,$J$6:$J188,$J188,$F$6:$F188,"零件"),"")</f>
        <v/>
      </c>
      <c r="AA188" s="25" t="str">
        <f t="shared" si="50"/>
        <v/>
      </c>
      <c r="AB188" s="25" t="str">
        <f t="shared" si="51"/>
        <v/>
      </c>
      <c r="AC188" s="25" t="str">
        <f t="shared" si="52"/>
        <v/>
      </c>
      <c r="AD188" s="25" t="str">
        <f t="shared" si="53"/>
        <v/>
      </c>
      <c r="AE188" s="25">
        <f t="shared" si="48"/>
        <v>0</v>
      </c>
    </row>
    <row r="189" spans="1:31" ht="25.5" customHeight="1">
      <c r="A189" s="17" t="str">
        <f>IF($F189="","",COUNTIF($F$6:$F189,"订单头"))</f>
        <v/>
      </c>
      <c r="B189" s="6"/>
      <c r="C189" s="11"/>
      <c r="D189" s="6"/>
      <c r="E189" s="6"/>
      <c r="F189" s="6"/>
      <c r="G189" s="20" t="str">
        <f t="shared" si="45"/>
        <v/>
      </c>
      <c r="H189" s="6"/>
      <c r="I189" s="20" t="str">
        <f>IF($F189="组件","C"&amp;TEXT(COUNTIFS($A$6:$A189,$A189,$F$6:$F189,"组件"),"000"),"")</f>
        <v/>
      </c>
      <c r="J189" s="6" t="str">
        <f t="shared" si="46"/>
        <v/>
      </c>
      <c r="K189" s="6"/>
      <c r="L189" s="6"/>
      <c r="M189" s="6"/>
      <c r="N189" s="6"/>
      <c r="O189" s="6"/>
      <c r="P189" s="14"/>
      <c r="Q189" s="14"/>
      <c r="R189" s="23" t="str">
        <f>IF(OR($F189="",$F189="订单头"),"",IF(AND($F189="零件",$J189&lt;&gt;""),IFERROR(SUMIFS($R$6:$R188,$A$6:$A188,$A189,$I$6:$I188,$J189)*IF($Q189="",1,$Q189),""),IF($P189="","",$P189*IF($Q189="",1,$Q189))))</f>
        <v/>
      </c>
      <c r="S189" s="6"/>
      <c r="T189" s="6"/>
      <c r="U189" s="6"/>
      <c r="V189" s="11"/>
      <c r="W189" s="7"/>
      <c r="X189" s="25" t="str">
        <f t="shared" si="49"/>
        <v/>
      </c>
      <c r="Y189" s="25" t="str">
        <f t="shared" si="47"/>
        <v/>
      </c>
      <c r="Z189" s="25" t="str">
        <f>IF(AND($F189="零件",$J189&lt;&gt;""),COUNTIFS($A$6:$A189,$A189,$J$6:$J189,$J189,$F$6:$F189,"零件"),"")</f>
        <v/>
      </c>
      <c r="AA189" s="25" t="str">
        <f t="shared" si="50"/>
        <v/>
      </c>
      <c r="AB189" s="25" t="str">
        <f t="shared" si="51"/>
        <v/>
      </c>
      <c r="AC189" s="25" t="str">
        <f t="shared" si="52"/>
        <v/>
      </c>
      <c r="AD189" s="25" t="str">
        <f t="shared" si="53"/>
        <v/>
      </c>
      <c r="AE189" s="25">
        <f t="shared" si="48"/>
        <v>0</v>
      </c>
    </row>
    <row r="190" spans="1:31" ht="25.5" customHeight="1">
      <c r="A190" s="17" t="str">
        <f>IF($F190="","",COUNTIF($F$6:$F190,"订单头"))</f>
        <v/>
      </c>
      <c r="B190" s="6"/>
      <c r="C190" s="11"/>
      <c r="D190" s="6"/>
      <c r="E190" s="6"/>
      <c r="F190" s="6"/>
      <c r="G190" s="20" t="str">
        <f t="shared" si="45"/>
        <v/>
      </c>
      <c r="H190" s="6"/>
      <c r="I190" s="20" t="str">
        <f>IF($F190="组件","C"&amp;TEXT(COUNTIFS($A$6:$A190,$A190,$F$6:$F190,"组件"),"000"),"")</f>
        <v/>
      </c>
      <c r="J190" s="6" t="str">
        <f t="shared" si="46"/>
        <v/>
      </c>
      <c r="K190" s="6"/>
      <c r="L190" s="6"/>
      <c r="M190" s="6"/>
      <c r="N190" s="6"/>
      <c r="O190" s="6"/>
      <c r="P190" s="14"/>
      <c r="Q190" s="14"/>
      <c r="R190" s="23" t="str">
        <f>IF(OR($F190="",$F190="订单头"),"",IF(AND($F190="零件",$J190&lt;&gt;""),IFERROR(SUMIFS($R$6:$R189,$A$6:$A189,$A190,$I$6:$I189,$J190)*IF($Q190="",1,$Q190),""),IF($P190="","",$P190*IF($Q190="",1,$Q190))))</f>
        <v/>
      </c>
      <c r="S190" s="6"/>
      <c r="T190" s="6"/>
      <c r="U190" s="6"/>
      <c r="V190" s="11"/>
      <c r="W190" s="7"/>
      <c r="X190" s="25" t="str">
        <f t="shared" si="49"/>
        <v/>
      </c>
      <c r="Y190" s="25" t="str">
        <f t="shared" si="47"/>
        <v/>
      </c>
      <c r="Z190" s="25" t="str">
        <f>IF(AND($F190="零件",$J190&lt;&gt;""),COUNTIFS($A$6:$A190,$A190,$J$6:$J190,$J190,$F$6:$F190,"零件"),"")</f>
        <v/>
      </c>
      <c r="AA190" s="25" t="str">
        <f t="shared" si="50"/>
        <v/>
      </c>
      <c r="AB190" s="25" t="str">
        <f t="shared" si="51"/>
        <v/>
      </c>
      <c r="AC190" s="25" t="str">
        <f t="shared" si="52"/>
        <v/>
      </c>
      <c r="AD190" s="25" t="str">
        <f t="shared" si="53"/>
        <v/>
      </c>
      <c r="AE190" s="25">
        <f t="shared" si="48"/>
        <v>0</v>
      </c>
    </row>
    <row r="191" spans="1:31" ht="25.5" customHeight="1">
      <c r="A191" s="17" t="str">
        <f>IF($F191="","",COUNTIF($F$6:$F191,"订单头"))</f>
        <v/>
      </c>
      <c r="B191" s="6"/>
      <c r="C191" s="11"/>
      <c r="D191" s="6"/>
      <c r="E191" s="6"/>
      <c r="F191" s="6"/>
      <c r="G191" s="20" t="str">
        <f t="shared" si="45"/>
        <v/>
      </c>
      <c r="H191" s="6"/>
      <c r="I191" s="20" t="str">
        <f>IF($F191="组件","C"&amp;TEXT(COUNTIFS($A$6:$A191,$A191,$F$6:$F191,"组件"),"000"),"")</f>
        <v/>
      </c>
      <c r="J191" s="6" t="str">
        <f t="shared" si="46"/>
        <v/>
      </c>
      <c r="K191" s="6"/>
      <c r="L191" s="6"/>
      <c r="M191" s="6"/>
      <c r="N191" s="6"/>
      <c r="O191" s="6"/>
      <c r="P191" s="14"/>
      <c r="Q191" s="14"/>
      <c r="R191" s="23" t="str">
        <f>IF(OR($F191="",$F191="订单头"),"",IF(AND($F191="零件",$J191&lt;&gt;""),IFERROR(SUMIFS($R$6:$R190,$A$6:$A190,$A191,$I$6:$I190,$J191)*IF($Q191="",1,$Q191),""),IF($P191="","",$P191*IF($Q191="",1,$Q191))))</f>
        <v/>
      </c>
      <c r="S191" s="6"/>
      <c r="T191" s="6"/>
      <c r="U191" s="6"/>
      <c r="V191" s="11"/>
      <c r="W191" s="7"/>
      <c r="X191" s="25" t="str">
        <f t="shared" si="49"/>
        <v/>
      </c>
      <c r="Y191" s="25" t="str">
        <f t="shared" si="47"/>
        <v/>
      </c>
      <c r="Z191" s="25" t="str">
        <f>IF(AND($F191="零件",$J191&lt;&gt;""),COUNTIFS($A$6:$A191,$A191,$J$6:$J191,$J191,$F$6:$F191,"零件"),"")</f>
        <v/>
      </c>
      <c r="AA191" s="25" t="str">
        <f t="shared" si="50"/>
        <v/>
      </c>
      <c r="AB191" s="25" t="str">
        <f t="shared" si="51"/>
        <v/>
      </c>
      <c r="AC191" s="25" t="str">
        <f t="shared" si="52"/>
        <v/>
      </c>
      <c r="AD191" s="25" t="str">
        <f t="shared" si="53"/>
        <v/>
      </c>
      <c r="AE191" s="25">
        <f t="shared" si="48"/>
        <v>0</v>
      </c>
    </row>
    <row r="192" spans="1:31" ht="25.5" customHeight="1">
      <c r="A192" s="17" t="str">
        <f>IF($F192="","",COUNTIF($F$6:$F192,"订单头"))</f>
        <v/>
      </c>
      <c r="B192" s="6"/>
      <c r="C192" s="11"/>
      <c r="D192" s="6"/>
      <c r="E192" s="6"/>
      <c r="F192" s="6"/>
      <c r="G192" s="20" t="str">
        <f t="shared" si="45"/>
        <v/>
      </c>
      <c r="H192" s="6"/>
      <c r="I192" s="20" t="str">
        <f>IF($F192="组件","C"&amp;TEXT(COUNTIFS($A$6:$A192,$A192,$F$6:$F192,"组件"),"000"),"")</f>
        <v/>
      </c>
      <c r="J192" s="6" t="str">
        <f t="shared" si="46"/>
        <v/>
      </c>
      <c r="K192" s="6"/>
      <c r="L192" s="6"/>
      <c r="M192" s="6"/>
      <c r="N192" s="6"/>
      <c r="O192" s="6"/>
      <c r="P192" s="14"/>
      <c r="Q192" s="14"/>
      <c r="R192" s="23" t="str">
        <f>IF(OR($F192="",$F192="订单头"),"",IF(AND($F192="零件",$J192&lt;&gt;""),IFERROR(SUMIFS($R$6:$R191,$A$6:$A191,$A192,$I$6:$I191,$J192)*IF($Q192="",1,$Q192),""),IF($P192="","",$P192*IF($Q192="",1,$Q192))))</f>
        <v/>
      </c>
      <c r="S192" s="6"/>
      <c r="T192" s="6"/>
      <c r="U192" s="6"/>
      <c r="V192" s="11"/>
      <c r="W192" s="7"/>
      <c r="X192" s="25" t="str">
        <f t="shared" si="49"/>
        <v/>
      </c>
      <c r="Y192" s="25" t="str">
        <f t="shared" si="47"/>
        <v/>
      </c>
      <c r="Z192" s="25" t="str">
        <f>IF(AND($F192="零件",$J192&lt;&gt;""),COUNTIFS($A$6:$A192,$A192,$J$6:$J192,$J192,$F$6:$F192,"零件"),"")</f>
        <v/>
      </c>
      <c r="AA192" s="25" t="str">
        <f t="shared" si="50"/>
        <v/>
      </c>
      <c r="AB192" s="25" t="str">
        <f t="shared" si="51"/>
        <v/>
      </c>
      <c r="AC192" s="25" t="str">
        <f t="shared" si="52"/>
        <v/>
      </c>
      <c r="AD192" s="25" t="str">
        <f t="shared" si="53"/>
        <v/>
      </c>
      <c r="AE192" s="25">
        <f t="shared" si="48"/>
        <v>0</v>
      </c>
    </row>
    <row r="193" spans="1:31" ht="25.5" customHeight="1">
      <c r="A193" s="17" t="str">
        <f>IF($F193="","",COUNTIF($F$6:$F193,"订单头"))</f>
        <v/>
      </c>
      <c r="B193" s="6"/>
      <c r="C193" s="11"/>
      <c r="D193" s="6"/>
      <c r="E193" s="6"/>
      <c r="F193" s="6"/>
      <c r="G193" s="20" t="str">
        <f t="shared" si="45"/>
        <v/>
      </c>
      <c r="H193" s="6"/>
      <c r="I193" s="20" t="str">
        <f>IF($F193="组件","C"&amp;TEXT(COUNTIFS($A$6:$A193,$A193,$F$6:$F193,"组件"),"000"),"")</f>
        <v/>
      </c>
      <c r="J193" s="6" t="str">
        <f t="shared" si="46"/>
        <v/>
      </c>
      <c r="K193" s="6"/>
      <c r="L193" s="6"/>
      <c r="M193" s="6"/>
      <c r="N193" s="6"/>
      <c r="O193" s="6"/>
      <c r="P193" s="14"/>
      <c r="Q193" s="14"/>
      <c r="R193" s="23" t="str">
        <f>IF(OR($F193="",$F193="订单头"),"",IF(AND($F193="零件",$J193&lt;&gt;""),IFERROR(SUMIFS($R$6:$R192,$A$6:$A192,$A193,$I$6:$I192,$J193)*IF($Q193="",1,$Q193),""),IF($P193="","",$P193*IF($Q193="",1,$Q193))))</f>
        <v/>
      </c>
      <c r="S193" s="6"/>
      <c r="T193" s="6"/>
      <c r="U193" s="6"/>
      <c r="V193" s="11"/>
      <c r="W193" s="7"/>
      <c r="X193" s="25" t="str">
        <f t="shared" si="49"/>
        <v/>
      </c>
      <c r="Y193" s="25" t="str">
        <f t="shared" si="47"/>
        <v/>
      </c>
      <c r="Z193" s="25" t="str">
        <f>IF(AND($F193="零件",$J193&lt;&gt;""),COUNTIFS($A$6:$A193,$A193,$J$6:$J193,$J193,$F$6:$F193,"零件"),"")</f>
        <v/>
      </c>
      <c r="AA193" s="25" t="str">
        <f t="shared" si="50"/>
        <v/>
      </c>
      <c r="AB193" s="25" t="str">
        <f t="shared" si="51"/>
        <v/>
      </c>
      <c r="AC193" s="25" t="str">
        <f t="shared" si="52"/>
        <v/>
      </c>
      <c r="AD193" s="25" t="str">
        <f t="shared" si="53"/>
        <v/>
      </c>
      <c r="AE193" s="25">
        <f t="shared" si="48"/>
        <v>0</v>
      </c>
    </row>
    <row r="194" spans="1:31" ht="25.5" customHeight="1">
      <c r="A194" s="17" t="str">
        <f>IF($F194="","",COUNTIF($F$6:$F194,"订单头"))</f>
        <v/>
      </c>
      <c r="B194" s="6"/>
      <c r="C194" s="11"/>
      <c r="D194" s="6"/>
      <c r="E194" s="6"/>
      <c r="F194" s="6"/>
      <c r="G194" s="20" t="str">
        <f t="shared" si="45"/>
        <v/>
      </c>
      <c r="H194" s="6"/>
      <c r="I194" s="20" t="str">
        <f>IF($F194="组件","C"&amp;TEXT(COUNTIFS($A$6:$A194,$A194,$F$6:$F194,"组件"),"000"),"")</f>
        <v/>
      </c>
      <c r="J194" s="6" t="str">
        <f t="shared" si="46"/>
        <v/>
      </c>
      <c r="K194" s="6"/>
      <c r="L194" s="6"/>
      <c r="M194" s="6"/>
      <c r="N194" s="6"/>
      <c r="O194" s="6"/>
      <c r="P194" s="14"/>
      <c r="Q194" s="14"/>
      <c r="R194" s="23" t="str">
        <f>IF(OR($F194="",$F194="订单头"),"",IF(AND($F194="零件",$J194&lt;&gt;""),IFERROR(SUMIFS($R$6:$R193,$A$6:$A193,$A194,$I$6:$I193,$J194)*IF($Q194="",1,$Q194),""),IF($P194="","",$P194*IF($Q194="",1,$Q194))))</f>
        <v/>
      </c>
      <c r="S194" s="6"/>
      <c r="T194" s="6"/>
      <c r="U194" s="6"/>
      <c r="V194" s="11"/>
      <c r="W194" s="7"/>
      <c r="X194" s="25" t="str">
        <f t="shared" si="49"/>
        <v/>
      </c>
      <c r="Y194" s="25" t="str">
        <f t="shared" si="47"/>
        <v/>
      </c>
      <c r="Z194" s="25" t="str">
        <f>IF(AND($F194="零件",$J194&lt;&gt;""),COUNTIFS($A$6:$A194,$A194,$J$6:$J194,$J194,$F$6:$F194,"零件"),"")</f>
        <v/>
      </c>
      <c r="AA194" s="25" t="str">
        <f t="shared" si="50"/>
        <v/>
      </c>
      <c r="AB194" s="25" t="str">
        <f t="shared" si="51"/>
        <v/>
      </c>
      <c r="AC194" s="25" t="str">
        <f t="shared" si="52"/>
        <v/>
      </c>
      <c r="AD194" s="25" t="str">
        <f t="shared" si="53"/>
        <v/>
      </c>
      <c r="AE194" s="25">
        <f t="shared" si="48"/>
        <v>0</v>
      </c>
    </row>
    <row r="195" spans="1:31" ht="25.5" customHeight="1">
      <c r="A195" s="17" t="str">
        <f>IF($F195="","",COUNTIF($F$6:$F195,"订单头"))</f>
        <v/>
      </c>
      <c r="B195" s="6"/>
      <c r="C195" s="11"/>
      <c r="D195" s="6"/>
      <c r="E195" s="6"/>
      <c r="F195" s="6"/>
      <c r="G195" s="20" t="str">
        <f t="shared" si="45"/>
        <v/>
      </c>
      <c r="H195" s="6"/>
      <c r="I195" s="20" t="str">
        <f>IF($F195="组件","C"&amp;TEXT(COUNTIFS($A$6:$A195,$A195,$F$6:$F195,"组件"),"000"),"")</f>
        <v/>
      </c>
      <c r="J195" s="6" t="str">
        <f t="shared" si="46"/>
        <v/>
      </c>
      <c r="K195" s="6"/>
      <c r="L195" s="6"/>
      <c r="M195" s="6"/>
      <c r="N195" s="6"/>
      <c r="O195" s="6"/>
      <c r="P195" s="14"/>
      <c r="Q195" s="14"/>
      <c r="R195" s="23" t="str">
        <f>IF(OR($F195="",$F195="订单头"),"",IF(AND($F195="零件",$J195&lt;&gt;""),IFERROR(SUMIFS($R$6:$R194,$A$6:$A194,$A195,$I$6:$I194,$J195)*IF($Q195="",1,$Q195),""),IF($P195="","",$P195*IF($Q195="",1,$Q195))))</f>
        <v/>
      </c>
      <c r="S195" s="6"/>
      <c r="T195" s="6"/>
      <c r="U195" s="6"/>
      <c r="V195" s="11"/>
      <c r="W195" s="7"/>
      <c r="X195" s="25" t="str">
        <f t="shared" si="49"/>
        <v/>
      </c>
      <c r="Y195" s="25" t="str">
        <f t="shared" si="47"/>
        <v/>
      </c>
      <c r="Z195" s="25" t="str">
        <f>IF(AND($F195="零件",$J195&lt;&gt;""),COUNTIFS($A$6:$A195,$A195,$J$6:$J195,$J195,$F$6:$F195,"零件"),"")</f>
        <v/>
      </c>
      <c r="AA195" s="25" t="str">
        <f t="shared" si="50"/>
        <v/>
      </c>
      <c r="AB195" s="25" t="str">
        <f t="shared" si="51"/>
        <v/>
      </c>
      <c r="AC195" s="25" t="str">
        <f t="shared" si="52"/>
        <v/>
      </c>
      <c r="AD195" s="25" t="str">
        <f t="shared" si="53"/>
        <v/>
      </c>
      <c r="AE195" s="25">
        <f t="shared" si="48"/>
        <v>0</v>
      </c>
    </row>
    <row r="196" spans="1:31" ht="25.5" customHeight="1">
      <c r="A196" s="17" t="str">
        <f>IF($F196="","",COUNTIF($F$6:$F196,"订单头"))</f>
        <v/>
      </c>
      <c r="B196" s="6"/>
      <c r="C196" s="11"/>
      <c r="D196" s="6"/>
      <c r="E196" s="6"/>
      <c r="F196" s="6"/>
      <c r="G196" s="20" t="str">
        <f t="shared" si="45"/>
        <v/>
      </c>
      <c r="H196" s="6"/>
      <c r="I196" s="20" t="str">
        <f>IF($F196="组件","C"&amp;TEXT(COUNTIFS($A$6:$A196,$A196,$F$6:$F196,"组件"),"000"),"")</f>
        <v/>
      </c>
      <c r="J196" s="6" t="str">
        <f t="shared" si="46"/>
        <v/>
      </c>
      <c r="K196" s="6"/>
      <c r="L196" s="6"/>
      <c r="M196" s="6"/>
      <c r="N196" s="6"/>
      <c r="O196" s="6"/>
      <c r="P196" s="14"/>
      <c r="Q196" s="14"/>
      <c r="R196" s="23" t="str">
        <f>IF(OR($F196="",$F196="订单头"),"",IF(AND($F196="零件",$J196&lt;&gt;""),IFERROR(SUMIFS($R$6:$R195,$A$6:$A195,$A196,$I$6:$I195,$J196)*IF($Q196="",1,$Q196),""),IF($P196="","",$P196*IF($Q196="",1,$Q196))))</f>
        <v/>
      </c>
      <c r="S196" s="6"/>
      <c r="T196" s="6"/>
      <c r="U196" s="6"/>
      <c r="V196" s="11"/>
      <c r="W196" s="7"/>
      <c r="X196" s="25" t="str">
        <f t="shared" si="49"/>
        <v/>
      </c>
      <c r="Y196" s="25" t="str">
        <f t="shared" si="47"/>
        <v/>
      </c>
      <c r="Z196" s="25" t="str">
        <f>IF(AND($F196="零件",$J196&lt;&gt;""),COUNTIFS($A$6:$A196,$A196,$J$6:$J196,$J196,$F$6:$F196,"零件"),"")</f>
        <v/>
      </c>
      <c r="AA196" s="25" t="str">
        <f t="shared" si="50"/>
        <v/>
      </c>
      <c r="AB196" s="25" t="str">
        <f t="shared" si="51"/>
        <v/>
      </c>
      <c r="AC196" s="25" t="str">
        <f t="shared" si="52"/>
        <v/>
      </c>
      <c r="AD196" s="25" t="str">
        <f t="shared" si="53"/>
        <v/>
      </c>
      <c r="AE196" s="25">
        <f t="shared" si="48"/>
        <v>0</v>
      </c>
    </row>
    <row r="197" spans="1:31" ht="25.5" customHeight="1">
      <c r="A197" s="17" t="str">
        <f>IF($F197="","",COUNTIF($F$6:$F197,"订单头"))</f>
        <v/>
      </c>
      <c r="B197" s="6"/>
      <c r="C197" s="11"/>
      <c r="D197" s="6"/>
      <c r="E197" s="6"/>
      <c r="F197" s="6"/>
      <c r="G197" s="20" t="str">
        <f t="shared" si="45"/>
        <v/>
      </c>
      <c r="H197" s="6"/>
      <c r="I197" s="20" t="str">
        <f>IF($F197="组件","C"&amp;TEXT(COUNTIFS($A$6:$A197,$A197,$F$6:$F197,"组件"),"000"),"")</f>
        <v/>
      </c>
      <c r="J197" s="6" t="str">
        <f t="shared" si="46"/>
        <v/>
      </c>
      <c r="K197" s="6"/>
      <c r="L197" s="6"/>
      <c r="M197" s="6"/>
      <c r="N197" s="6"/>
      <c r="O197" s="6"/>
      <c r="P197" s="14"/>
      <c r="Q197" s="14"/>
      <c r="R197" s="23" t="str">
        <f>IF(OR($F197="",$F197="订单头"),"",IF(AND($F197="零件",$J197&lt;&gt;""),IFERROR(SUMIFS($R$6:$R196,$A$6:$A196,$A197,$I$6:$I196,$J197)*IF($Q197="",1,$Q197),""),IF($P197="","",$P197*IF($Q197="",1,$Q197))))</f>
        <v/>
      </c>
      <c r="S197" s="6"/>
      <c r="T197" s="6"/>
      <c r="U197" s="6"/>
      <c r="V197" s="11"/>
      <c r="W197" s="7"/>
      <c r="X197" s="25" t="str">
        <f t="shared" si="49"/>
        <v/>
      </c>
      <c r="Y197" s="25" t="str">
        <f t="shared" si="47"/>
        <v/>
      </c>
      <c r="Z197" s="25" t="str">
        <f>IF(AND($F197="零件",$J197&lt;&gt;""),COUNTIFS($A$6:$A197,$A197,$J$6:$J197,$J197,$F$6:$F197,"零件"),"")</f>
        <v/>
      </c>
      <c r="AA197" s="25" t="str">
        <f t="shared" si="50"/>
        <v/>
      </c>
      <c r="AB197" s="25" t="str">
        <f t="shared" si="51"/>
        <v/>
      </c>
      <c r="AC197" s="25" t="str">
        <f t="shared" si="52"/>
        <v/>
      </c>
      <c r="AD197" s="25" t="str">
        <f t="shared" si="53"/>
        <v/>
      </c>
      <c r="AE197" s="25">
        <f t="shared" si="48"/>
        <v>0</v>
      </c>
    </row>
    <row r="198" spans="1:31" ht="25.5" customHeight="1">
      <c r="A198" s="17" t="str">
        <f>IF($F198="","",COUNTIF($F$6:$F198,"订单头"))</f>
        <v/>
      </c>
      <c r="B198" s="6"/>
      <c r="C198" s="11"/>
      <c r="D198" s="6"/>
      <c r="E198" s="6"/>
      <c r="F198" s="6"/>
      <c r="G198" s="20" t="str">
        <f t="shared" ref="G198:G205" si="54">IF($F198="","",IF($F198="订单头","订单头",IF(AND($F198="零件",$J198&lt;&gt;""),IFERROR(SUMIFS($Y$6:$Y$205,$A$6:$A$205,$A198,$I$6:$I$205,$J198)&amp;"."&amp;$Z198,"父组件不存在"),$Y198)))</f>
        <v/>
      </c>
      <c r="H198" s="6"/>
      <c r="I198" s="20" t="str">
        <f>IF($F198="组件","C"&amp;TEXT(COUNTIFS($A$6:$A198,$A198,$F$6:$F198,"组件"),"000"),"")</f>
        <v/>
      </c>
      <c r="J198" s="6" t="str">
        <f t="shared" ref="J198:J205" si="55">IF($F198="零件",IF($P198&lt;&gt;"","",IF(AND($A198=$A197,$F197="组件"),$I197,IF(AND($A198=$A197,$F197="零件",$J197&lt;&gt;""),$J197,""))),"")</f>
        <v/>
      </c>
      <c r="K198" s="6"/>
      <c r="L198" s="6"/>
      <c r="M198" s="6"/>
      <c r="N198" s="6"/>
      <c r="O198" s="6"/>
      <c r="P198" s="14"/>
      <c r="Q198" s="14"/>
      <c r="R198" s="23" t="str">
        <f>IF(OR($F198="",$F198="订单头"),"",IF(AND($F198="零件",$J198&lt;&gt;""),IFERROR(SUMIFS($R$6:$R197,$A$6:$A197,$A198,$I$6:$I197,$J198)*IF($Q198="",1,$Q198),""),IF($P198="","",$P198*IF($Q198="",1,$Q198))))</f>
        <v/>
      </c>
      <c r="S198" s="6"/>
      <c r="T198" s="6"/>
      <c r="U198" s="6"/>
      <c r="V198" s="11"/>
      <c r="W198" s="7"/>
      <c r="X198" s="25" t="str">
        <f t="shared" si="49"/>
        <v/>
      </c>
      <c r="Y198" s="25" t="str">
        <f t="shared" ref="Y198:Y205" si="56">IF($F198="","",IF($F198="订单头","",IF(AND($F198="零件",$J198&lt;&gt;""),"",$X198)))</f>
        <v/>
      </c>
      <c r="Z198" s="25" t="str">
        <f>IF(AND($F198="零件",$J198&lt;&gt;""),COUNTIFS($A$6:$A198,$A198,$J$6:$J198,$J198,$F$6:$F198,"零件"),"")</f>
        <v/>
      </c>
      <c r="AA198" s="25" t="str">
        <f t="shared" si="50"/>
        <v/>
      </c>
      <c r="AB198" s="25" t="str">
        <f t="shared" si="51"/>
        <v/>
      </c>
      <c r="AC198" s="25" t="str">
        <f t="shared" si="52"/>
        <v/>
      </c>
      <c r="AD198" s="25" t="str">
        <f t="shared" si="53"/>
        <v/>
      </c>
      <c r="AE198" s="25">
        <f t="shared" ref="AE198:AE205" si="57">IF(OR($F198="组件",$F198="零件"),1,0)</f>
        <v>0</v>
      </c>
    </row>
    <row r="199" spans="1:31" ht="25.5" customHeight="1">
      <c r="A199" s="17" t="str">
        <f>IF($F199="","",COUNTIF($F$6:$F199,"订单头"))</f>
        <v/>
      </c>
      <c r="B199" s="6"/>
      <c r="C199" s="11"/>
      <c r="D199" s="6"/>
      <c r="E199" s="6"/>
      <c r="F199" s="6"/>
      <c r="G199" s="20" t="str">
        <f t="shared" si="54"/>
        <v/>
      </c>
      <c r="H199" s="6"/>
      <c r="I199" s="20" t="str">
        <f>IF($F199="组件","C"&amp;TEXT(COUNTIFS($A$6:$A199,$A199,$F$6:$F199,"组件"),"000"),"")</f>
        <v/>
      </c>
      <c r="J199" s="6" t="str">
        <f t="shared" si="55"/>
        <v/>
      </c>
      <c r="K199" s="6"/>
      <c r="L199" s="6"/>
      <c r="M199" s="6"/>
      <c r="N199" s="6"/>
      <c r="O199" s="6"/>
      <c r="P199" s="14"/>
      <c r="Q199" s="14"/>
      <c r="R199" s="23" t="str">
        <f>IF(OR($F199="",$F199="订单头"),"",IF(AND($F199="零件",$J199&lt;&gt;""),IFERROR(SUMIFS($R$6:$R198,$A$6:$A198,$A199,$I$6:$I198,$J199)*IF($Q199="",1,$Q199),""),IF($P199="","",$P199*IF($Q199="",1,$Q199))))</f>
        <v/>
      </c>
      <c r="S199" s="6"/>
      <c r="T199" s="6"/>
      <c r="U199" s="6"/>
      <c r="V199" s="11"/>
      <c r="W199" s="7"/>
      <c r="X199" s="25" t="str">
        <f t="shared" ref="X199:X205" si="58">IF($F199="","",IF($F199="订单头",0,IF($A199=$A198,$X198,0)+IF(OR($F199="组件",AND($F199="零件",$J199="")),1,0)))</f>
        <v/>
      </c>
      <c r="Y199" s="25" t="str">
        <f t="shared" si="56"/>
        <v/>
      </c>
      <c r="Z199" s="25" t="str">
        <f>IF(AND($F199="零件",$J199&lt;&gt;""),COUNTIFS($A$6:$A199,$A199,$J$6:$J199,$J199,$F$6:$F199,"零件"),"")</f>
        <v/>
      </c>
      <c r="AA199" s="25" t="str">
        <f t="shared" ref="AA199:AA205" si="59">IF($F199="","",IF($F199="订单头",$B199,IF($A199=$A198,$AA198,"")))</f>
        <v/>
      </c>
      <c r="AB199" s="25" t="str">
        <f t="shared" ref="AB199:AB205" si="60">IF($F199="","",IF($F199="订单头",$C199,IF($A199=$A198,$AB198,"")))</f>
        <v/>
      </c>
      <c r="AC199" s="25" t="str">
        <f t="shared" ref="AC199:AC205" si="61">IF($F199="","",IF($F199="订单头",$D199,IF($A199=$A198,$AC198,"")))</f>
        <v/>
      </c>
      <c r="AD199" s="25" t="str">
        <f t="shared" ref="AD199:AD205" si="62">IF($F199="","",IF($F199="订单头",$E199,IF($A199=$A198,$AD198,"")))</f>
        <v/>
      </c>
      <c r="AE199" s="25">
        <f t="shared" si="57"/>
        <v>0</v>
      </c>
    </row>
    <row r="200" spans="1:31" ht="25.5" customHeight="1">
      <c r="A200" s="17" t="str">
        <f>IF($F200="","",COUNTIF($F$6:$F200,"订单头"))</f>
        <v/>
      </c>
      <c r="B200" s="6"/>
      <c r="C200" s="11"/>
      <c r="D200" s="6"/>
      <c r="E200" s="6"/>
      <c r="F200" s="6"/>
      <c r="G200" s="20" t="str">
        <f t="shared" si="54"/>
        <v/>
      </c>
      <c r="H200" s="6"/>
      <c r="I200" s="20" t="str">
        <f>IF($F200="组件","C"&amp;TEXT(COUNTIFS($A$6:$A200,$A200,$F$6:$F200,"组件"),"000"),"")</f>
        <v/>
      </c>
      <c r="J200" s="6" t="str">
        <f t="shared" si="55"/>
        <v/>
      </c>
      <c r="K200" s="6"/>
      <c r="L200" s="6"/>
      <c r="M200" s="6"/>
      <c r="N200" s="6"/>
      <c r="O200" s="6"/>
      <c r="P200" s="14"/>
      <c r="Q200" s="14"/>
      <c r="R200" s="23" t="str">
        <f>IF(OR($F200="",$F200="订单头"),"",IF(AND($F200="零件",$J200&lt;&gt;""),IFERROR(SUMIFS($R$6:$R199,$A$6:$A199,$A200,$I$6:$I199,$J200)*IF($Q200="",1,$Q200),""),IF($P200="","",$P200*IF($Q200="",1,$Q200))))</f>
        <v/>
      </c>
      <c r="S200" s="6"/>
      <c r="T200" s="6"/>
      <c r="U200" s="6"/>
      <c r="V200" s="11"/>
      <c r="W200" s="7"/>
      <c r="X200" s="25" t="str">
        <f t="shared" si="58"/>
        <v/>
      </c>
      <c r="Y200" s="25" t="str">
        <f t="shared" si="56"/>
        <v/>
      </c>
      <c r="Z200" s="25" t="str">
        <f>IF(AND($F200="零件",$J200&lt;&gt;""),COUNTIFS($A$6:$A200,$A200,$J$6:$J200,$J200,$F$6:$F200,"零件"),"")</f>
        <v/>
      </c>
      <c r="AA200" s="25" t="str">
        <f t="shared" si="59"/>
        <v/>
      </c>
      <c r="AB200" s="25" t="str">
        <f t="shared" si="60"/>
        <v/>
      </c>
      <c r="AC200" s="25" t="str">
        <f t="shared" si="61"/>
        <v/>
      </c>
      <c r="AD200" s="25" t="str">
        <f t="shared" si="62"/>
        <v/>
      </c>
      <c r="AE200" s="25">
        <f t="shared" si="57"/>
        <v>0</v>
      </c>
    </row>
    <row r="201" spans="1:31" ht="25.5" customHeight="1">
      <c r="A201" s="17" t="str">
        <f>IF($F201="","",COUNTIF($F$6:$F201,"订单头"))</f>
        <v/>
      </c>
      <c r="B201" s="6"/>
      <c r="C201" s="11"/>
      <c r="D201" s="6"/>
      <c r="E201" s="6"/>
      <c r="F201" s="6"/>
      <c r="G201" s="20" t="str">
        <f t="shared" si="54"/>
        <v/>
      </c>
      <c r="H201" s="6"/>
      <c r="I201" s="20" t="str">
        <f>IF($F201="组件","C"&amp;TEXT(COUNTIFS($A$6:$A201,$A201,$F$6:$F201,"组件"),"000"),"")</f>
        <v/>
      </c>
      <c r="J201" s="6" t="str">
        <f t="shared" si="55"/>
        <v/>
      </c>
      <c r="K201" s="6"/>
      <c r="L201" s="6"/>
      <c r="M201" s="6"/>
      <c r="N201" s="6"/>
      <c r="O201" s="6"/>
      <c r="P201" s="14"/>
      <c r="Q201" s="14"/>
      <c r="R201" s="23" t="str">
        <f>IF(OR($F201="",$F201="订单头"),"",IF(AND($F201="零件",$J201&lt;&gt;""),IFERROR(SUMIFS($R$6:$R200,$A$6:$A200,$A201,$I$6:$I200,$J201)*IF($Q201="",1,$Q201),""),IF($P201="","",$P201*IF($Q201="",1,$Q201))))</f>
        <v/>
      </c>
      <c r="S201" s="6"/>
      <c r="T201" s="6"/>
      <c r="U201" s="6"/>
      <c r="V201" s="11"/>
      <c r="W201" s="7"/>
      <c r="X201" s="25" t="str">
        <f t="shared" si="58"/>
        <v/>
      </c>
      <c r="Y201" s="25" t="str">
        <f t="shared" si="56"/>
        <v/>
      </c>
      <c r="Z201" s="25" t="str">
        <f>IF(AND($F201="零件",$J201&lt;&gt;""),COUNTIFS($A$6:$A201,$A201,$J$6:$J201,$J201,$F$6:$F201,"零件"),"")</f>
        <v/>
      </c>
      <c r="AA201" s="25" t="str">
        <f t="shared" si="59"/>
        <v/>
      </c>
      <c r="AB201" s="25" t="str">
        <f t="shared" si="60"/>
        <v/>
      </c>
      <c r="AC201" s="25" t="str">
        <f t="shared" si="61"/>
        <v/>
      </c>
      <c r="AD201" s="25" t="str">
        <f t="shared" si="62"/>
        <v/>
      </c>
      <c r="AE201" s="25">
        <f t="shared" si="57"/>
        <v>0</v>
      </c>
    </row>
    <row r="202" spans="1:31" ht="25.5" customHeight="1">
      <c r="A202" s="17" t="str">
        <f>IF($F202="","",COUNTIF($F$6:$F202,"订单头"))</f>
        <v/>
      </c>
      <c r="B202" s="6"/>
      <c r="C202" s="11"/>
      <c r="D202" s="6"/>
      <c r="E202" s="6"/>
      <c r="F202" s="6"/>
      <c r="G202" s="20" t="str">
        <f t="shared" si="54"/>
        <v/>
      </c>
      <c r="H202" s="6"/>
      <c r="I202" s="20" t="str">
        <f>IF($F202="组件","C"&amp;TEXT(COUNTIFS($A$6:$A202,$A202,$F$6:$F202,"组件"),"000"),"")</f>
        <v/>
      </c>
      <c r="J202" s="6" t="str">
        <f t="shared" si="55"/>
        <v/>
      </c>
      <c r="K202" s="6"/>
      <c r="L202" s="6"/>
      <c r="M202" s="6"/>
      <c r="N202" s="6"/>
      <c r="O202" s="6"/>
      <c r="P202" s="14"/>
      <c r="Q202" s="14"/>
      <c r="R202" s="23" t="str">
        <f>IF(OR($F202="",$F202="订单头"),"",IF(AND($F202="零件",$J202&lt;&gt;""),IFERROR(SUMIFS($R$6:$R201,$A$6:$A201,$A202,$I$6:$I201,$J202)*IF($Q202="",1,$Q202),""),IF($P202="","",$P202*IF($Q202="",1,$Q202))))</f>
        <v/>
      </c>
      <c r="S202" s="6"/>
      <c r="T202" s="6"/>
      <c r="U202" s="6"/>
      <c r="V202" s="11"/>
      <c r="W202" s="7"/>
      <c r="X202" s="25" t="str">
        <f t="shared" si="58"/>
        <v/>
      </c>
      <c r="Y202" s="25" t="str">
        <f t="shared" si="56"/>
        <v/>
      </c>
      <c r="Z202" s="25" t="str">
        <f>IF(AND($F202="零件",$J202&lt;&gt;""),COUNTIFS($A$6:$A202,$A202,$J$6:$J202,$J202,$F$6:$F202,"零件"),"")</f>
        <v/>
      </c>
      <c r="AA202" s="25" t="str">
        <f t="shared" si="59"/>
        <v/>
      </c>
      <c r="AB202" s="25" t="str">
        <f t="shared" si="60"/>
        <v/>
      </c>
      <c r="AC202" s="25" t="str">
        <f t="shared" si="61"/>
        <v/>
      </c>
      <c r="AD202" s="25" t="str">
        <f t="shared" si="62"/>
        <v/>
      </c>
      <c r="AE202" s="25">
        <f t="shared" si="57"/>
        <v>0</v>
      </c>
    </row>
    <row r="203" spans="1:31" ht="25.5" customHeight="1">
      <c r="A203" s="17" t="str">
        <f>IF($F203="","",COUNTIF($F$6:$F203,"订单头"))</f>
        <v/>
      </c>
      <c r="B203" s="6"/>
      <c r="C203" s="11"/>
      <c r="D203" s="6"/>
      <c r="E203" s="6"/>
      <c r="F203" s="6"/>
      <c r="G203" s="20" t="str">
        <f t="shared" si="54"/>
        <v/>
      </c>
      <c r="H203" s="6"/>
      <c r="I203" s="20" t="str">
        <f>IF($F203="组件","C"&amp;TEXT(COUNTIFS($A$6:$A203,$A203,$F$6:$F203,"组件"),"000"),"")</f>
        <v/>
      </c>
      <c r="J203" s="6" t="str">
        <f t="shared" si="55"/>
        <v/>
      </c>
      <c r="K203" s="6"/>
      <c r="L203" s="6"/>
      <c r="M203" s="6"/>
      <c r="N203" s="6"/>
      <c r="O203" s="6"/>
      <c r="P203" s="14"/>
      <c r="Q203" s="14"/>
      <c r="R203" s="23" t="str">
        <f>IF(OR($F203="",$F203="订单头"),"",IF(AND($F203="零件",$J203&lt;&gt;""),IFERROR(SUMIFS($R$6:$R202,$A$6:$A202,$A203,$I$6:$I202,$J203)*IF($Q203="",1,$Q203),""),IF($P203="","",$P203*IF($Q203="",1,$Q203))))</f>
        <v/>
      </c>
      <c r="S203" s="6"/>
      <c r="T203" s="6"/>
      <c r="U203" s="6"/>
      <c r="V203" s="11"/>
      <c r="W203" s="7"/>
      <c r="X203" s="25" t="str">
        <f t="shared" si="58"/>
        <v/>
      </c>
      <c r="Y203" s="25" t="str">
        <f t="shared" si="56"/>
        <v/>
      </c>
      <c r="Z203" s="25" t="str">
        <f>IF(AND($F203="零件",$J203&lt;&gt;""),COUNTIFS($A$6:$A203,$A203,$J$6:$J203,$J203,$F$6:$F203,"零件"),"")</f>
        <v/>
      </c>
      <c r="AA203" s="25" t="str">
        <f t="shared" si="59"/>
        <v/>
      </c>
      <c r="AB203" s="25" t="str">
        <f t="shared" si="60"/>
        <v/>
      </c>
      <c r="AC203" s="25" t="str">
        <f t="shared" si="61"/>
        <v/>
      </c>
      <c r="AD203" s="25" t="str">
        <f t="shared" si="62"/>
        <v/>
      </c>
      <c r="AE203" s="25">
        <f t="shared" si="57"/>
        <v>0</v>
      </c>
    </row>
    <row r="204" spans="1:31" ht="25.5" customHeight="1">
      <c r="A204" s="17" t="str">
        <f>IF($F204="","",COUNTIF($F$6:$F204,"订单头"))</f>
        <v/>
      </c>
      <c r="B204" s="6"/>
      <c r="C204" s="11"/>
      <c r="D204" s="6"/>
      <c r="E204" s="6"/>
      <c r="F204" s="6"/>
      <c r="G204" s="20" t="str">
        <f t="shared" si="54"/>
        <v/>
      </c>
      <c r="H204" s="6"/>
      <c r="I204" s="20" t="str">
        <f>IF($F204="组件","C"&amp;TEXT(COUNTIFS($A$6:$A204,$A204,$F$6:$F204,"组件"),"000"),"")</f>
        <v/>
      </c>
      <c r="J204" s="6" t="str">
        <f t="shared" si="55"/>
        <v/>
      </c>
      <c r="K204" s="6"/>
      <c r="L204" s="6"/>
      <c r="M204" s="6"/>
      <c r="N204" s="6"/>
      <c r="O204" s="6"/>
      <c r="P204" s="14"/>
      <c r="Q204" s="14"/>
      <c r="R204" s="23" t="str">
        <f>IF(OR($F204="",$F204="订单头"),"",IF(AND($F204="零件",$J204&lt;&gt;""),IFERROR(SUMIFS($R$6:$R203,$A$6:$A203,$A204,$I$6:$I203,$J204)*IF($Q204="",1,$Q204),""),IF($P204="","",$P204*IF($Q204="",1,$Q204))))</f>
        <v/>
      </c>
      <c r="S204" s="6"/>
      <c r="T204" s="6"/>
      <c r="U204" s="6"/>
      <c r="V204" s="11"/>
      <c r="W204" s="7"/>
      <c r="X204" s="25" t="str">
        <f t="shared" si="58"/>
        <v/>
      </c>
      <c r="Y204" s="25" t="str">
        <f t="shared" si="56"/>
        <v/>
      </c>
      <c r="Z204" s="25" t="str">
        <f>IF(AND($F204="零件",$J204&lt;&gt;""),COUNTIFS($A$6:$A204,$A204,$J$6:$J204,$J204,$F$6:$F204,"零件"),"")</f>
        <v/>
      </c>
      <c r="AA204" s="25" t="str">
        <f t="shared" si="59"/>
        <v/>
      </c>
      <c r="AB204" s="25" t="str">
        <f t="shared" si="60"/>
        <v/>
      </c>
      <c r="AC204" s="25" t="str">
        <f t="shared" si="61"/>
        <v/>
      </c>
      <c r="AD204" s="25" t="str">
        <f t="shared" si="62"/>
        <v/>
      </c>
      <c r="AE204" s="25">
        <f t="shared" si="57"/>
        <v>0</v>
      </c>
    </row>
    <row r="205" spans="1:31" ht="25.5" customHeight="1">
      <c r="A205" s="18" t="str">
        <f>IF($F205="","",COUNTIF($F$6:$F205,"订单头"))</f>
        <v/>
      </c>
      <c r="B205" s="8"/>
      <c r="C205" s="12"/>
      <c r="D205" s="8"/>
      <c r="E205" s="8"/>
      <c r="F205" s="8"/>
      <c r="G205" s="21" t="str">
        <f t="shared" si="54"/>
        <v/>
      </c>
      <c r="H205" s="8"/>
      <c r="I205" s="21" t="str">
        <f>IF($F205="组件","C"&amp;TEXT(COUNTIFS($A$6:$A205,$A205,$F$6:$F205,"组件"),"000"),"")</f>
        <v/>
      </c>
      <c r="J205" s="8" t="str">
        <f t="shared" si="55"/>
        <v/>
      </c>
      <c r="K205" s="8"/>
      <c r="L205" s="8"/>
      <c r="M205" s="8"/>
      <c r="N205" s="8"/>
      <c r="O205" s="8"/>
      <c r="P205" s="15"/>
      <c r="Q205" s="15"/>
      <c r="R205" s="24" t="str">
        <f>IF(OR($F205="",$F205="订单头"),"",IF(AND($F205="零件",$J205&lt;&gt;""),IFERROR(SUMIFS($R$6:$R204,$A$6:$A204,$A205,$I$6:$I204,$J205)*IF($Q205="",1,$Q205),""),IF($P205="","",$P205*IF($Q205="",1,$Q205))))</f>
        <v/>
      </c>
      <c r="S205" s="8"/>
      <c r="T205" s="8"/>
      <c r="U205" s="8"/>
      <c r="V205" s="12"/>
      <c r="W205" s="9"/>
      <c r="X205" s="25" t="str">
        <f t="shared" si="58"/>
        <v/>
      </c>
      <c r="Y205" s="25" t="str">
        <f t="shared" si="56"/>
        <v/>
      </c>
      <c r="Z205" s="25" t="str">
        <f>IF(AND($F205="零件",$J205&lt;&gt;""),COUNTIFS($A$6:$A205,$A205,$J$6:$J205,$J205,$F$6:$F205,"零件"),"")</f>
        <v/>
      </c>
      <c r="AA205" s="25" t="str">
        <f t="shared" si="59"/>
        <v/>
      </c>
      <c r="AB205" s="25" t="str">
        <f t="shared" si="60"/>
        <v/>
      </c>
      <c r="AC205" s="25" t="str">
        <f t="shared" si="61"/>
        <v/>
      </c>
      <c r="AD205" s="25" t="str">
        <f t="shared" si="62"/>
        <v/>
      </c>
      <c r="AE205" s="25">
        <f t="shared" si="57"/>
        <v>0</v>
      </c>
    </row>
  </sheetData>
  <mergeCells count="3">
    <mergeCell ref="A3:W3"/>
    <mergeCell ref="A2:W2"/>
    <mergeCell ref="A1:W1"/>
  </mergeCells>
  <conditionalFormatting sqref="A6:W205">
    <cfRule type="expression" dxfId="2" priority="1">
      <formula>$F6="订单头"</formula>
    </cfRule>
    <cfRule type="expression" dxfId="1" priority="2">
      <formula>$F6="组件"</formula>
    </cfRule>
    <cfRule type="expression" dxfId="0" priority="3">
      <formula>AND($F6="零件",$J6&lt;&gt;"")</formula>
    </cfRule>
  </conditionalFormatting>
  <dataValidations count="6">
    <dataValidation type="list" allowBlank="1" showErrorMessage="0" sqref="F6:F205">
      <formula1>'选项'!$A$2:$A$4</formula1>
    </dataValidation>
    <dataValidation type="list" allowBlank="1" showErrorMessage="0" sqref="H6:H205">
      <formula1>'选项'!$B$2:$B$5</formula1>
    </dataValidation>
    <dataValidation type="list" allowBlank="1" showErrorMessage="0" sqref="J6:J205">
      <formula1>'选项'!$G$2:$G$10000</formula1>
    </dataValidation>
    <dataValidation type="list" allowBlank="1" showErrorMessage="0" sqref="S6:S205">
      <formula1>'选项'!$C$2:$C$7</formula1>
    </dataValidation>
    <dataValidation type="list" allowBlank="1" showErrorMessage="0" sqref="T6:T205">
      <formula1>'选项'!$F$2:$F$9</formula1>
    </dataValidation>
    <dataValidation type="list" allowBlank="1" showErrorMessage="0" sqref="W6:W205">
      <formula1>'选项'!$E$2:$E$5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选项!$A$2:$A$4</xm:f>
          </x14:formula1>
          <xm:sqref>F6:F205</xm:sqref>
        </x14:dataValidation>
        <x14:dataValidation type="list" allowBlank="1" xr:uid="{00000000-0002-0000-0000-000001000000}">
          <x14:formula1>
            <xm:f>选项!$B$2:$B$5</xm:f>
          </x14:formula1>
          <xm:sqref>H6:H205</xm:sqref>
        </x14:dataValidation>
        <x14:dataValidation type="list" allowBlank="1" xr:uid="{00000000-0002-0000-0000-000002000000}">
          <x14:formula1>
            <xm:f>选项!$G$2:$G$10000</xm:f>
          </x14:formula1>
          <xm:sqref>J6:J205</xm:sqref>
        </x14:dataValidation>
        <x14:dataValidation type="list" allowBlank="1" xr:uid="{00000000-0002-0000-0000-000003000000}">
          <x14:formula1>
            <xm:f>选项!$C$2:$C$7</xm:f>
          </x14:formula1>
          <xm:sqref>S6:S205</xm:sqref>
        </x14:dataValidation>
        <x14:dataValidation type="list" allowBlank="1" xr:uid="{00000000-0002-0000-0000-000004000000}">
          <x14:formula1>
            <xm:f>选项!$F$2:$F$9</xm:f>
          </x14:formula1>
          <xm:sqref>T6:T205</xm:sqref>
        </x14:dataValidation>
        <x14:dataValidation type="list" allowBlank="1" xr:uid="{00000000-0002-0000-0000-000005000000}">
          <x14:formula1>
            <xm:f>选项!$E$2:$E$5</xm:f>
          </x14:formula1>
          <xm:sqref>W6:W205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4"/>
  <sheetViews>
    <sheetView showGridLines="0" workbookViewId="0"/>
  </sheetViews>
  <sheetFormatPr defaultRowHeight="14"/>
  <cols>
    <col min="1" max="1" width="8.75" customWidth="1"/>
    <col min="2" max="2" width="18.83203125" customWidth="1"/>
    <col min="3" max="3" width="11.6640625" customWidth="1"/>
    <col min="4" max="4" width="22.1640625" customWidth="1"/>
    <col min="5" max="5" width="12.08203125" customWidth="1"/>
    <col min="6" max="6" width="10.33203125" customWidth="1"/>
    <col min="7" max="7" width="9" customWidth="1"/>
    <col min="8" max="8" width="11.1640625" customWidth="1"/>
    <col min="9" max="9" width="11.6640625" customWidth="1"/>
    <col min="10" max="10" width="16.1640625" customWidth="1"/>
    <col min="11" max="11" width="18.1640625" customWidth="1"/>
    <col min="12" max="13" width="22.1640625" customWidth="1"/>
    <col min="14" max="14" width="11.6640625" customWidth="1"/>
    <col min="15" max="15" width="8.75" customWidth="1"/>
    <col min="16" max="16" width="9" customWidth="1"/>
    <col min="17" max="18" width="10.33203125" customWidth="1"/>
    <col min="19" max="19" width="7.1640625" customWidth="1"/>
    <col min="20" max="20" width="23.58203125" customWidth="1"/>
    <col min="21" max="21" width="35.6640625" customWidth="1"/>
    <col min="22" max="22" width="11.6640625" customWidth="1"/>
    <col min="23" max="23" width="11.1640625" customWidth="1"/>
    <col min="24" max="24" width="8.203125E-2" customWidth="1"/>
  </cols>
  <sheetData>
    <row r="1" spans="1:24" ht="20" customHeight="1">
      <c r="A1" s="64" t="s">
        <v>126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4" ht="14.5" customHeight="1">
      <c r="A2" s="61" t="s">
        <v>127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4" spans="1:24" ht="26" customHeight="1">
      <c r="A4" s="26" t="s">
        <v>3</v>
      </c>
      <c r="B4" s="27" t="s">
        <v>4</v>
      </c>
      <c r="C4" s="27" t="s">
        <v>5</v>
      </c>
      <c r="D4" s="27" t="s">
        <v>6</v>
      </c>
      <c r="E4" s="27" t="s">
        <v>7</v>
      </c>
      <c r="F4" s="27" t="s">
        <v>8</v>
      </c>
      <c r="G4" s="27" t="s">
        <v>9</v>
      </c>
      <c r="H4" s="27" t="s">
        <v>10</v>
      </c>
      <c r="I4" s="27" t="s">
        <v>11</v>
      </c>
      <c r="J4" s="27" t="s">
        <v>12</v>
      </c>
      <c r="K4" s="27" t="s">
        <v>13</v>
      </c>
      <c r="L4" s="27" t="s">
        <v>14</v>
      </c>
      <c r="M4" s="27" t="s">
        <v>15</v>
      </c>
      <c r="N4" s="27" t="s">
        <v>16</v>
      </c>
      <c r="O4" s="27" t="s">
        <v>17</v>
      </c>
      <c r="P4" s="27" t="s">
        <v>18</v>
      </c>
      <c r="Q4" s="27" t="s">
        <v>19</v>
      </c>
      <c r="R4" s="27" t="s">
        <v>20</v>
      </c>
      <c r="S4" s="27" t="s">
        <v>21</v>
      </c>
      <c r="T4" s="27" t="s">
        <v>22</v>
      </c>
      <c r="U4" s="27" t="s">
        <v>23</v>
      </c>
      <c r="V4" s="27" t="s">
        <v>24</v>
      </c>
      <c r="W4" s="28" t="s">
        <v>25</v>
      </c>
      <c r="X4" s="46" t="s">
        <v>128</v>
      </c>
    </row>
    <row r="5" spans="1:24">
      <c r="A5" s="31" t="str">
        <f>IFERROR(IF(清单台账!$AE6=1,清单台账!$A6,""),"")</f>
        <v/>
      </c>
      <c r="B5" s="32" t="str">
        <f>IFERROR(IF(清单台账!$AE6=1,清单台账!$AA6,""),"")</f>
        <v/>
      </c>
      <c r="C5" s="33" t="str">
        <f>IFERROR(IF(清单台账!$AE6=1,清单台账!$AB6,""),"")</f>
        <v/>
      </c>
      <c r="D5" s="32" t="str">
        <f>IFERROR(IF(清单台账!$AE6=1,清单台账!$AC6,""),"")</f>
        <v/>
      </c>
      <c r="E5" s="32" t="str">
        <f>IFERROR(IF(清单台账!$AE6=1,清单台账!$AD6,""),"")</f>
        <v/>
      </c>
      <c r="F5" s="32" t="str">
        <f>IFERROR(IF(清单台账!$AE6=1,清单台账!$F6,""),"")</f>
        <v/>
      </c>
      <c r="G5" s="32" t="str">
        <f>IFERROR(IF(清单台账!$AE6=1,清单台账!$G6,""),"")</f>
        <v/>
      </c>
      <c r="H5" s="32" t="str">
        <f>IFERROR(IF(清单台账!$AE6=1,清单台账!$H6,""),"")</f>
        <v/>
      </c>
      <c r="I5" s="32" t="str">
        <f>IFERROR(IF(清单台账!$AE6=1,清单台账!$I6,""),"")</f>
        <v/>
      </c>
      <c r="J5" s="32" t="str">
        <f>IFERROR(IF(清单台账!$AE6=1,清单台账!$J6,""),"")</f>
        <v/>
      </c>
      <c r="K5" s="32" t="str">
        <f>IFERROR(IF(清单台账!$AE6=1,清单台账!$K6,""),"")</f>
        <v/>
      </c>
      <c r="L5" s="32" t="str">
        <f>IFERROR(IF(清单台账!$AE6=1,清单台账!$L6,""),"")</f>
        <v/>
      </c>
      <c r="M5" s="32" t="str">
        <f>IFERROR(IF(清单台账!$AE6=1,清单台账!$M6,""),"")</f>
        <v/>
      </c>
      <c r="N5" s="32" t="str">
        <f>IFERROR(IF(清单台账!$AE6=1,清单台账!$N6,""),"")</f>
        <v/>
      </c>
      <c r="O5" s="32" t="str">
        <f>IFERROR(IF(清单台账!$AE6=1,清单台账!$O6,""),"")</f>
        <v/>
      </c>
      <c r="P5" s="34" t="str">
        <f>IFERROR(IF(清单台账!$AE6=1,清单台账!$P6,""),"")</f>
        <v/>
      </c>
      <c r="Q5" s="34" t="str">
        <f>IFERROR(IF(清单台账!$AE6=1,清单台账!$Q6,""),"")</f>
        <v/>
      </c>
      <c r="R5" s="34" t="str">
        <f>IFERROR(IF(清单台账!$AE6=1,清单台账!$R6,""),"")</f>
        <v/>
      </c>
      <c r="S5" s="32" t="str">
        <f>IFERROR(IF(清单台账!$AE6=1,清单台账!$S6,""),"")</f>
        <v/>
      </c>
      <c r="T5" s="32" t="str">
        <f>IFERROR(IF(清单台账!$AE6=1,清单台账!$T6,""),"")</f>
        <v/>
      </c>
      <c r="U5" s="32" t="str">
        <f>IFERROR(IF(清单台账!$AE6=1,清单台账!$U6,""),"")</f>
        <v/>
      </c>
      <c r="V5" s="33" t="str">
        <f>IFERROR(IF(清单台账!$AE6=1,清单台账!$V6,""),"")</f>
        <v/>
      </c>
      <c r="W5" s="35" t="str">
        <f>IFERROR(IF(清单台账!$AE6=1,清单台账!$W6,""),"")</f>
        <v/>
      </c>
      <c r="X5" s="46" t="str">
        <f>IF($F5&lt;&gt;"",0+1,"")</f>
        <v/>
      </c>
    </row>
    <row r="6" spans="1:24">
      <c r="A6" s="36">
        <f>IFERROR(IF(清单台账!$AE7=1,清单台账!$A7,""),"")</f>
        <v>1</v>
      </c>
      <c r="B6" s="37" t="str">
        <f>IFERROR(IF(清单台账!$AE7=1,清单台账!$AA7,""),"")</f>
        <v>RSD-20260510-001</v>
      </c>
      <c r="C6" s="38">
        <f>IFERROR(IF(清单台账!$AE7=1,清单台账!$AB7,""),"")</f>
        <v>46126</v>
      </c>
      <c r="D6" s="37" t="str">
        <f>IFERROR(IF(清单台账!$AE7=1,清单台账!$AC7,""),"")</f>
        <v>合肥荣事达太阳能有限公司</v>
      </c>
      <c r="E6" s="37" t="str">
        <f>IFERROR(IF(清单台账!$AE7=1,清单台账!$AD7,""),"")</f>
        <v>C型15P</v>
      </c>
      <c r="F6" s="37" t="str">
        <f>IFERROR(IF(清单台账!$AE7=1,清单台账!$F7,""),"")</f>
        <v>零件</v>
      </c>
      <c r="G6" s="37">
        <f>IFERROR(IF(清单台账!$AE7=1,清单台账!$G7,""),"")</f>
        <v>1</v>
      </c>
      <c r="H6" s="37" t="str">
        <f>IFERROR(IF(清单台账!$AE7=1,清单台账!$H7,""),"")</f>
        <v>通用件</v>
      </c>
      <c r="I6" s="37" t="str">
        <f>IFERROR(IF(清单台账!$AE7=1,清单台账!$I7,""),"")</f>
        <v/>
      </c>
      <c r="J6" s="37" t="str">
        <f>IFERROR(IF(清单台账!$AE7=1,清单台账!$J7,""),"")</f>
        <v/>
      </c>
      <c r="K6" s="37" t="str">
        <f>IFERROR(IF(清单台账!$AE7=1,清单台账!$K7,""),"")</f>
        <v>RS10703010033</v>
      </c>
      <c r="L6" s="37" t="str">
        <f>IFERROR(IF(清单台账!$AE7=1,清单台账!$L7,""),"")</f>
        <v>RBKS-300DBII-10-50-01</v>
      </c>
      <c r="M6" s="37" t="str">
        <f>IFERROR(IF(清单台账!$AE7=1,清单台账!$M7,""),"")</f>
        <v>顶盖</v>
      </c>
      <c r="N6" s="37">
        <f>IFERROR(IF(清单台账!$AE7=1,清单台账!$N7,""),"")</f>
        <v>0</v>
      </c>
      <c r="O6" s="37" t="str">
        <f>IFERROR(IF(清单台账!$AE7=1,清单台账!$O7,""),"")</f>
        <v>1mm</v>
      </c>
      <c r="P6" s="39">
        <f>IFERROR(IF(清单台账!$AE7=1,清单台账!$P7,""),"")</f>
        <v>16</v>
      </c>
      <c r="Q6" s="39">
        <f>IFERROR(IF(清单台账!$AE7=1,清单台账!$Q7,""),"")</f>
        <v>0</v>
      </c>
      <c r="R6" s="39">
        <f>IFERROR(IF(清单台账!$AE7=1,清单台账!$R7,""),"")</f>
        <v>16</v>
      </c>
      <c r="S6" s="37" t="str">
        <f>IFERROR(IF(清单台账!$AE7=1,清单台账!$S7,""),"")</f>
        <v>件</v>
      </c>
      <c r="T6" s="37">
        <f>IFERROR(IF(清单台账!$AE7=1,清单台账!$T7,""),"")</f>
        <v>0</v>
      </c>
      <c r="U6" s="37" t="str">
        <f>IFERROR(IF(清单台账!$AE7=1,清单台账!$U7,""),"")</f>
        <v>百胜样机款</v>
      </c>
      <c r="V6" s="38">
        <f>IFERROR(IF(清单台账!$AE7=1,清单台账!$V7,""),"")</f>
        <v>0</v>
      </c>
      <c r="W6" s="40" t="str">
        <f>IFERROR(IF(清单台账!$AE7=1,清单台账!$W7,""),"")</f>
        <v>旧图</v>
      </c>
      <c r="X6" s="46">
        <f>IF($F6&lt;&gt;"",IFERROR(MAX($X$5:$X5),0)+1,"")</f>
        <v>1</v>
      </c>
    </row>
    <row r="7" spans="1:24">
      <c r="A7" s="36">
        <f>IFERROR(IF(清单台账!$AE8=1,清单台账!$A8,""),"")</f>
        <v>1</v>
      </c>
      <c r="B7" s="37" t="str">
        <f>IFERROR(IF(清单台账!$AE8=1,清单台账!$AA8,""),"")</f>
        <v>RSD-20260510-001</v>
      </c>
      <c r="C7" s="38">
        <f>IFERROR(IF(清单台账!$AE8=1,清单台账!$AB8,""),"")</f>
        <v>46126</v>
      </c>
      <c r="D7" s="37" t="str">
        <f>IFERROR(IF(清单台账!$AE8=1,清单台账!$AC8,""),"")</f>
        <v>合肥荣事达太阳能有限公司</v>
      </c>
      <c r="E7" s="37" t="str">
        <f>IFERROR(IF(清单台账!$AE8=1,清单台账!$AD8,""),"")</f>
        <v>C型15P</v>
      </c>
      <c r="F7" s="37" t="str">
        <f>IFERROR(IF(清单台账!$AE8=1,清单台账!$F8,""),"")</f>
        <v>零件</v>
      </c>
      <c r="G7" s="37">
        <f>IFERROR(IF(清单台账!$AE8=1,清单台账!$G8,""),"")</f>
        <v>2</v>
      </c>
      <c r="H7" s="37" t="str">
        <f>IFERROR(IF(清单台账!$AE8=1,清单台账!$H8,""),"")</f>
        <v>通用件</v>
      </c>
      <c r="I7" s="37" t="str">
        <f>IFERROR(IF(清单台账!$AE8=1,清单台账!$I8,""),"")</f>
        <v/>
      </c>
      <c r="J7" s="37" t="str">
        <f>IFERROR(IF(清单台账!$AE8=1,清单台账!$J8,""),"")</f>
        <v/>
      </c>
      <c r="K7" s="37" t="str">
        <f>IFERROR(IF(清单台账!$AE8=1,清单台账!$K8,""),"")</f>
        <v>RS10701050458</v>
      </c>
      <c r="L7" s="37" t="str">
        <f>IFERROR(IF(清单台账!$AE8=1,清单台账!$L8,""),"")</f>
        <v>RBKS-300DBII-10-01</v>
      </c>
      <c r="M7" s="37" t="str">
        <f>IFERROR(IF(清单台账!$AE8=1,清单台账!$M8,""),"")</f>
        <v>左侧封板</v>
      </c>
      <c r="N7" s="37">
        <f>IFERROR(IF(清单台账!$AE8=1,清单台账!$N8,""),"")</f>
        <v>0</v>
      </c>
      <c r="O7" s="37" t="str">
        <f>IFERROR(IF(清单台账!$AE8=1,清单台账!$O8,""),"")</f>
        <v>1mm</v>
      </c>
      <c r="P7" s="39">
        <f>IFERROR(IF(清单台账!$AE8=1,清单台账!$P8,""),"")</f>
        <v>16</v>
      </c>
      <c r="Q7" s="39">
        <f>IFERROR(IF(清单台账!$AE8=1,清单台账!$Q8,""),"")</f>
        <v>0</v>
      </c>
      <c r="R7" s="39">
        <f>IFERROR(IF(清单台账!$AE8=1,清单台账!$R8,""),"")</f>
        <v>16</v>
      </c>
      <c r="S7" s="37" t="str">
        <f>IFERROR(IF(清单台账!$AE8=1,清单台账!$S8,""),"")</f>
        <v>件</v>
      </c>
      <c r="T7" s="37" t="str">
        <f>IFERROR(IF(清单台账!$AE8=1,清单台账!$T8,""),"")</f>
        <v>激光切割&gt;折弯</v>
      </c>
      <c r="U7" s="37" t="str">
        <f>IFERROR(IF(清单台账!$AE8=1,清单台账!$U8,""),"")</f>
        <v>百胜样机款</v>
      </c>
      <c r="V7" s="38">
        <f>IFERROR(IF(清单台账!$AE8=1,清单台账!$V8,""),"")</f>
        <v>0</v>
      </c>
      <c r="W7" s="40" t="str">
        <f>IFERROR(IF(清单台账!$AE8=1,清单台账!$W8,""),"")</f>
        <v>旧图</v>
      </c>
      <c r="X7" s="46">
        <f>IF($F7&lt;&gt;"",IFERROR(MAX($X$5:$X6),0)+1,"")</f>
        <v>2</v>
      </c>
    </row>
    <row r="8" spans="1:24">
      <c r="A8" s="36">
        <f>IFERROR(IF(清单台账!$AE9=1,清单台账!$A9,""),"")</f>
        <v>1</v>
      </c>
      <c r="B8" s="37" t="str">
        <f>IFERROR(IF(清单台账!$AE9=1,清单台账!$AA9,""),"")</f>
        <v>RSD-20260510-001</v>
      </c>
      <c r="C8" s="38">
        <f>IFERROR(IF(清单台账!$AE9=1,清单台账!$AB9,""),"")</f>
        <v>46126</v>
      </c>
      <c r="D8" s="37" t="str">
        <f>IFERROR(IF(清单台账!$AE9=1,清单台账!$AC9,""),"")</f>
        <v>合肥荣事达太阳能有限公司</v>
      </c>
      <c r="E8" s="37" t="str">
        <f>IFERROR(IF(清单台账!$AE9=1,清单台账!$AD9,""),"")</f>
        <v>C型15P</v>
      </c>
      <c r="F8" s="37" t="str">
        <f>IFERROR(IF(清单台账!$AE9=1,清单台账!$F9,""),"")</f>
        <v>零件</v>
      </c>
      <c r="G8" s="37">
        <f>IFERROR(IF(清单台账!$AE9=1,清单台账!$G9,""),"")</f>
        <v>3</v>
      </c>
      <c r="H8" s="37" t="str">
        <f>IFERROR(IF(清单台账!$AE9=1,清单台账!$H9,""),"")</f>
        <v>通用件</v>
      </c>
      <c r="I8" s="37" t="str">
        <f>IFERROR(IF(清单台账!$AE9=1,清单台账!$I9,""),"")</f>
        <v/>
      </c>
      <c r="J8" s="37" t="str">
        <f>IFERROR(IF(清单台账!$AE9=1,清单台账!$J9,""),"")</f>
        <v/>
      </c>
      <c r="K8" s="37" t="str">
        <f>IFERROR(IF(清单台账!$AE9=1,清单台账!$K9,""),"")</f>
        <v>RS10701050459</v>
      </c>
      <c r="L8" s="37" t="str">
        <f>IFERROR(IF(清单台账!$AE9=1,清单台账!$L9,""),"")</f>
        <v>RBKS-300DBII-10-03</v>
      </c>
      <c r="M8" s="37" t="str">
        <f>IFERROR(IF(清单台账!$AE9=1,清单台账!$M9,""),"")</f>
        <v>前风机板（钢丝网）</v>
      </c>
      <c r="N8" s="37">
        <f>IFERROR(IF(清单台账!$AE9=1,清单台账!$N9,""),"")</f>
        <v>0</v>
      </c>
      <c r="O8" s="37" t="str">
        <f>IFERROR(IF(清单台账!$AE9=1,清单台账!$O9,""),"")</f>
        <v>1mm</v>
      </c>
      <c r="P8" s="39">
        <f>IFERROR(IF(清单台账!$AE9=1,清单台账!$P9,""),"")</f>
        <v>16</v>
      </c>
      <c r="Q8" s="39">
        <f>IFERROR(IF(清单台账!$AE9=1,清单台账!$Q9,""),"")</f>
        <v>0</v>
      </c>
      <c r="R8" s="39">
        <f>IFERROR(IF(清单台账!$AE9=1,清单台账!$R9,""),"")</f>
        <v>16</v>
      </c>
      <c r="S8" s="37" t="str">
        <f>IFERROR(IF(清单台账!$AE9=1,清单台账!$S9,""),"")</f>
        <v>件</v>
      </c>
      <c r="T8" s="37" t="str">
        <f>IFERROR(IF(清单台账!$AE9=1,清单台账!$T9,""),"")</f>
        <v>激光切割&gt;折弯</v>
      </c>
      <c r="U8" s="37" t="str">
        <f>IFERROR(IF(清单台账!$AE9=1,清单台账!$U9,""),"")</f>
        <v>增冷凝器孔</v>
      </c>
      <c r="V8" s="38">
        <f>IFERROR(IF(清单台账!$AE9=1,清单台账!$V9,""),"")</f>
        <v>44657</v>
      </c>
      <c r="W8" s="40" t="str">
        <f>IFERROR(IF(清单台账!$AE9=1,清单台账!$W9,""),"")</f>
        <v>旧图</v>
      </c>
      <c r="X8" s="46">
        <f>IF($F8&lt;&gt;"",IFERROR(MAX($X$5:$X7),0)+1,"")</f>
        <v>3</v>
      </c>
    </row>
    <row r="9" spans="1:24">
      <c r="A9" s="36">
        <f>IFERROR(IF(清单台账!$AE10=1,清单台账!$A10,""),"")</f>
        <v>1</v>
      </c>
      <c r="B9" s="37" t="str">
        <f>IFERROR(IF(清单台账!$AE10=1,清单台账!$AA10,""),"")</f>
        <v>RSD-20260510-001</v>
      </c>
      <c r="C9" s="38">
        <f>IFERROR(IF(清单台账!$AE10=1,清单台账!$AB10,""),"")</f>
        <v>46126</v>
      </c>
      <c r="D9" s="37" t="str">
        <f>IFERROR(IF(清单台账!$AE10=1,清单台账!$AC10,""),"")</f>
        <v>合肥荣事达太阳能有限公司</v>
      </c>
      <c r="E9" s="37" t="str">
        <f>IFERROR(IF(清单台账!$AE10=1,清单台账!$AD10,""),"")</f>
        <v>C型15P</v>
      </c>
      <c r="F9" s="37" t="str">
        <f>IFERROR(IF(清单台账!$AE10=1,清单台账!$F10,""),"")</f>
        <v>组件</v>
      </c>
      <c r="G9" s="37">
        <f>IFERROR(IF(清单台账!$AE10=1,清单台账!$G10,""),"")</f>
        <v>4</v>
      </c>
      <c r="H9" s="37" t="str">
        <f>IFERROR(IF(清单台账!$AE10=1,清单台账!$H10,""),"")</f>
        <v>通用件</v>
      </c>
      <c r="I9" s="37" t="str">
        <f>IFERROR(IF(清单台账!$AE10=1,清单台账!$I10,""),"")</f>
        <v>C001</v>
      </c>
      <c r="J9" s="37" t="str">
        <f>IFERROR(IF(清单台账!$AE10=1,清单台账!$J10,""),"")</f>
        <v/>
      </c>
      <c r="K9" s="37" t="str">
        <f>IFERROR(IF(清单台账!$AE10=1,清单台账!$K10,""),"")</f>
        <v>RS10701020216</v>
      </c>
      <c r="L9" s="37" t="str">
        <f>IFERROR(IF(清单台账!$AE10=1,清单台账!$L10,""),"")</f>
        <v>RBKS-300DBII-10-30</v>
      </c>
      <c r="M9" s="37" t="str">
        <f>IFERROR(IF(清单台账!$AE10=1,清单台账!$M10,""),"")</f>
        <v>风机支架组件</v>
      </c>
      <c r="N9" s="37">
        <f>IFERROR(IF(清单台账!$AE10=1,清单台账!$N10,""),"")</f>
        <v>0</v>
      </c>
      <c r="O9" s="37" t="str">
        <f>IFERROR(IF(清单台账!$AE10=1,清单台账!$O10,""),"")</f>
        <v>2mm</v>
      </c>
      <c r="P9" s="39">
        <f>IFERROR(IF(清单台账!$AE10=1,清单台账!$P10,""),"")</f>
        <v>16</v>
      </c>
      <c r="Q9" s="39">
        <f>IFERROR(IF(清单台账!$AE10=1,清单台账!$Q10,""),"")</f>
        <v>1</v>
      </c>
      <c r="R9" s="39">
        <f>IFERROR(IF(清单台账!$AE10=1,清单台账!$R10,""),"")</f>
        <v>16</v>
      </c>
      <c r="S9" s="37" t="str">
        <f>IFERROR(IF(清单台账!$AE10=1,清单台账!$S10,""),"")</f>
        <v>套</v>
      </c>
      <c r="T9" s="37" t="str">
        <f>IFERROR(IF(清单台账!$AE10=1,清单台账!$T10,""),"")</f>
        <v>装配</v>
      </c>
      <c r="U9" s="37" t="str">
        <f>IFERROR(IF(清单台账!$AE10=1,清单台账!$U10,""),"")</f>
        <v>螺丝组装，百胜样机款</v>
      </c>
      <c r="V9" s="38">
        <f>IFERROR(IF(清单台账!$AE10=1,清单台账!$V10,""),"")</f>
        <v>0</v>
      </c>
      <c r="W9" s="40" t="str">
        <f>IFERROR(IF(清单台账!$AE10=1,清单台账!$W10,""),"")</f>
        <v>旧图</v>
      </c>
      <c r="X9" s="46">
        <f>IF($F9&lt;&gt;"",IFERROR(MAX($X$5:$X8),0)+1,"")</f>
        <v>4</v>
      </c>
    </row>
    <row r="10" spans="1:24">
      <c r="A10" s="36">
        <f>IFERROR(IF(清单台账!$AE11=1,清单台账!$A11,""),"")</f>
        <v>1</v>
      </c>
      <c r="B10" s="37" t="str">
        <f>IFERROR(IF(清单台账!$AE11=1,清单台账!$AA11,""),"")</f>
        <v>RSD-20260510-001</v>
      </c>
      <c r="C10" s="38">
        <f>IFERROR(IF(清单台账!$AE11=1,清单台账!$AB11,""),"")</f>
        <v>46126</v>
      </c>
      <c r="D10" s="37" t="str">
        <f>IFERROR(IF(清单台账!$AE11=1,清单台账!$AC11,""),"")</f>
        <v>合肥荣事达太阳能有限公司</v>
      </c>
      <c r="E10" s="37" t="str">
        <f>IFERROR(IF(清单台账!$AE11=1,清单台账!$AD11,""),"")</f>
        <v>C型15P</v>
      </c>
      <c r="F10" s="37" t="str">
        <f>IFERROR(IF(清单台账!$AE11=1,清单台账!$F11,""),"")</f>
        <v>零件</v>
      </c>
      <c r="G10" s="37" t="str">
        <f>IFERROR(IF(清单台账!$AE11=1,清单台账!$G11,""),"")</f>
        <v>4.1</v>
      </c>
      <c r="H10" s="37" t="str">
        <f>IFERROR(IF(清单台账!$AE11=1,清单台账!$H11,""),"")</f>
        <v>通用件</v>
      </c>
      <c r="I10" s="37" t="str">
        <f>IFERROR(IF(清单台账!$AE11=1,清单台账!$I11,""),"")</f>
        <v/>
      </c>
      <c r="J10" s="37" t="str">
        <f>IFERROR(IF(清单台账!$AE11=1,清单台账!$J11,""),"")</f>
        <v>C001</v>
      </c>
      <c r="K10" s="37">
        <f>IFERROR(IF(清单台账!$AE11=1,清单台账!$K11,""),"")</f>
        <v>0</v>
      </c>
      <c r="L10" s="37" t="str">
        <f>IFERROR(IF(清单台账!$AE11=1,清单台账!$L11,""),"")</f>
        <v>RLKS-300DBII-10-30-B</v>
      </c>
      <c r="M10" s="37" t="str">
        <f>IFERROR(IF(清单台账!$AE11=1,清单台账!$M11,""),"")</f>
        <v>风机支架折弯件</v>
      </c>
      <c r="N10" s="37">
        <f>IFERROR(IF(清单台账!$AE11=1,清单台账!$N11,""),"")</f>
        <v>0</v>
      </c>
      <c r="O10" s="37" t="str">
        <f>IFERROR(IF(清单台账!$AE11=1,清单台账!$O11,""),"")</f>
        <v>2mm</v>
      </c>
      <c r="P10" s="39">
        <f>IFERROR(IF(清单台账!$AE11=1,清单台账!$P11,""),"")</f>
        <v>0</v>
      </c>
      <c r="Q10" s="39">
        <f>IFERROR(IF(清单台账!$AE11=1,清单台账!$Q11,""),"")</f>
        <v>1</v>
      </c>
      <c r="R10" s="39">
        <f>IFERROR(IF(清单台账!$AE11=1,清单台账!$R11,""),"")</f>
        <v>16</v>
      </c>
      <c r="S10" s="37" t="str">
        <f>IFERROR(IF(清单台账!$AE11=1,清单台账!$S11,""),"")</f>
        <v>件</v>
      </c>
      <c r="T10" s="37" t="str">
        <f>IFERROR(IF(清单台账!$AE11=1,清单台账!$T11,""),"")</f>
        <v>激光切割&gt;折弯</v>
      </c>
      <c r="U10" s="37" t="str">
        <f>IFERROR(IF(清单台账!$AE11=1,清单台账!$U11,""),"")</f>
        <v>组件 C001 的子件</v>
      </c>
      <c r="V10" s="38">
        <f>IFERROR(IF(清单台账!$AE11=1,清单台账!$V11,""),"")</f>
        <v>0</v>
      </c>
      <c r="W10" s="40" t="str">
        <f>IFERROR(IF(清单台账!$AE11=1,清单台账!$W11,""),"")</f>
        <v>旧图</v>
      </c>
      <c r="X10" s="46">
        <f>IF($F10&lt;&gt;"",IFERROR(MAX($X$5:$X9),0)+1,"")</f>
        <v>5</v>
      </c>
    </row>
    <row r="11" spans="1:24">
      <c r="A11" s="36">
        <f>IFERROR(IF(清单台账!$AE12=1,清单台账!$A12,""),"")</f>
        <v>1</v>
      </c>
      <c r="B11" s="37" t="str">
        <f>IFERROR(IF(清单台账!$AE12=1,清单台账!$AA12,""),"")</f>
        <v>RSD-20260510-001</v>
      </c>
      <c r="C11" s="38">
        <f>IFERROR(IF(清单台账!$AE12=1,清单台账!$AB12,""),"")</f>
        <v>46126</v>
      </c>
      <c r="D11" s="37" t="str">
        <f>IFERROR(IF(清单台账!$AE12=1,清单台账!$AC12,""),"")</f>
        <v>合肥荣事达太阳能有限公司</v>
      </c>
      <c r="E11" s="37" t="str">
        <f>IFERROR(IF(清单台账!$AE12=1,清单台账!$AD12,""),"")</f>
        <v>C型15P</v>
      </c>
      <c r="F11" s="37" t="str">
        <f>IFERROR(IF(清单台账!$AE12=1,清单台账!$F12,""),"")</f>
        <v>零件</v>
      </c>
      <c r="G11" s="37" t="str">
        <f>IFERROR(IF(清单台账!$AE12=1,清单台账!$G12,""),"")</f>
        <v>4.2</v>
      </c>
      <c r="H11" s="37" t="str">
        <f>IFERROR(IF(清单台账!$AE12=1,清单台账!$H12,""),"")</f>
        <v>通用件</v>
      </c>
      <c r="I11" s="37" t="str">
        <f>IFERROR(IF(清单台账!$AE12=1,清单台账!$I12,""),"")</f>
        <v/>
      </c>
      <c r="J11" s="37" t="str">
        <f>IFERROR(IF(清单台账!$AE12=1,清单台账!$J12,""),"")</f>
        <v>C001</v>
      </c>
      <c r="K11" s="37">
        <f>IFERROR(IF(清单台账!$AE12=1,清单台账!$K12,""),"")</f>
        <v>0</v>
      </c>
      <c r="L11" s="37" t="str">
        <f>IFERROR(IF(清单台账!$AE12=1,清单台账!$L12,""),"")</f>
        <v>RBKS-300DBII-10-30-05</v>
      </c>
      <c r="M11" s="37" t="str">
        <f>IFERROR(IF(清单台账!$AE12=1,清单台账!$M12,""),"")</f>
        <v>机架加强板</v>
      </c>
      <c r="N11" s="37">
        <f>IFERROR(IF(清单台账!$AE12=1,清单台账!$N12,""),"")</f>
        <v>0</v>
      </c>
      <c r="O11" s="37" t="str">
        <f>IFERROR(IF(清单台账!$AE12=1,清单台账!$O12,""),"")</f>
        <v>1mm</v>
      </c>
      <c r="P11" s="39">
        <f>IFERROR(IF(清单台账!$AE12=1,清单台账!$P12,""),"")</f>
        <v>0</v>
      </c>
      <c r="Q11" s="39">
        <f>IFERROR(IF(清单台账!$AE12=1,清单台账!$Q12,""),"")</f>
        <v>1</v>
      </c>
      <c r="R11" s="39">
        <f>IFERROR(IF(清单台账!$AE12=1,清单台账!$R12,""),"")</f>
        <v>16</v>
      </c>
      <c r="S11" s="37" t="str">
        <f>IFERROR(IF(清单台账!$AE12=1,清单台账!$S12,""),"")</f>
        <v>件</v>
      </c>
      <c r="T11" s="37" t="str">
        <f>IFERROR(IF(清单台账!$AE12=1,清单台账!$T12,""),"")</f>
        <v>激光切割</v>
      </c>
      <c r="U11" s="37" t="str">
        <f>IFERROR(IF(清单台账!$AE12=1,清单台账!$U12,""),"")</f>
        <v>模具成型，百胜样机款</v>
      </c>
      <c r="V11" s="38">
        <f>IFERROR(IF(清单台账!$AE12=1,清单台账!$V12,""),"")</f>
        <v>0</v>
      </c>
      <c r="W11" s="40" t="str">
        <f>IFERROR(IF(清单台账!$AE12=1,清单台账!$W12,""),"")</f>
        <v>旧图</v>
      </c>
      <c r="X11" s="46">
        <f>IF($F11&lt;&gt;"",IFERROR(MAX($X$5:$X10),0)+1,"")</f>
        <v>6</v>
      </c>
    </row>
    <row r="12" spans="1:24">
      <c r="A12" s="36">
        <f>IFERROR(IF(清单台账!$AE13=1,清单台账!$A13,""),"")</f>
        <v>1</v>
      </c>
      <c r="B12" s="37" t="str">
        <f>IFERROR(IF(清单台账!$AE13=1,清单台账!$AA13,""),"")</f>
        <v>RSD-20260510-001</v>
      </c>
      <c r="C12" s="38">
        <f>IFERROR(IF(清单台账!$AE13=1,清单台账!$AB13,""),"")</f>
        <v>46126</v>
      </c>
      <c r="D12" s="37" t="str">
        <f>IFERROR(IF(清单台账!$AE13=1,清单台账!$AC13,""),"")</f>
        <v>合肥荣事达太阳能有限公司</v>
      </c>
      <c r="E12" s="37" t="str">
        <f>IFERROR(IF(清单台账!$AE13=1,清单台账!$AD13,""),"")</f>
        <v>C型15P</v>
      </c>
      <c r="F12" s="37" t="str">
        <f>IFERROR(IF(清单台账!$AE13=1,清单台账!$F13,""),"")</f>
        <v>组件</v>
      </c>
      <c r="G12" s="37">
        <f>IFERROR(IF(清单台账!$AE13=1,清单台账!$G13,""),"")</f>
        <v>5</v>
      </c>
      <c r="H12" s="37" t="str">
        <f>IFERROR(IF(清单台账!$AE13=1,清单台账!$H13,""),"")</f>
        <v>定制件</v>
      </c>
      <c r="I12" s="37" t="str">
        <f>IFERROR(IF(清单台账!$AE13=1,清单台账!$I13,""),"")</f>
        <v>C002</v>
      </c>
      <c r="J12" s="37" t="str">
        <f>IFERROR(IF(清单台账!$AE13=1,清单台账!$J13,""),"")</f>
        <v/>
      </c>
      <c r="K12" s="37" t="str">
        <f>IFERROR(IF(清单台账!$AE13=1,清单台账!$K13,""),"")</f>
        <v>RS10701010142</v>
      </c>
      <c r="L12" s="37" t="str">
        <f>IFERROR(IF(清单台账!$AE13=1,清单台账!$L13,""),"")</f>
        <v>RBKS-300DBII-10-00</v>
      </c>
      <c r="M12" s="37" t="str">
        <f>IFERROR(IF(清单台账!$AE13=1,清单台账!$M13,""),"")</f>
        <v>底盘组件（激光割）</v>
      </c>
      <c r="N12" s="37">
        <f>IFERROR(IF(清单台账!$AE13=1,清单台账!$N13,""),"")</f>
        <v>0</v>
      </c>
      <c r="O12" s="37" t="str">
        <f>IFERROR(IF(清单台账!$AE13=1,清单台账!$O13,""),"")</f>
        <v>2mm</v>
      </c>
      <c r="P12" s="39">
        <f>IFERROR(IF(清单台账!$AE13=1,清单台账!$P13,""),"")</f>
        <v>16</v>
      </c>
      <c r="Q12" s="39">
        <f>IFERROR(IF(清单台账!$AE13=1,清单台账!$Q13,""),"")</f>
        <v>1</v>
      </c>
      <c r="R12" s="39">
        <f>IFERROR(IF(清单台账!$AE13=1,清单台账!$R13,""),"")</f>
        <v>16</v>
      </c>
      <c r="S12" s="37" t="str">
        <f>IFERROR(IF(清单台账!$AE13=1,清单台账!$S13,""),"")</f>
        <v>套</v>
      </c>
      <c r="T12" s="37" t="str">
        <f>IFERROR(IF(清单台账!$AE13=1,清单台账!$T13,""),"")</f>
        <v>激光切割&gt;焊接&gt;装配</v>
      </c>
      <c r="U12" s="37" t="str">
        <f>IFERROR(IF(清单台账!$AE13=1,清单台账!$U13,""),"")</f>
        <v>点5个电热丝固定卡，割孔，焊螺丝</v>
      </c>
      <c r="V12" s="38">
        <f>IFERROR(IF(清单台账!$AE13=1,清单台账!$V13,""),"")</f>
        <v>45247</v>
      </c>
      <c r="W12" s="40" t="str">
        <f>IFERROR(IF(清单台账!$AE13=1,清单台账!$W13,""),"")</f>
        <v>旧图</v>
      </c>
      <c r="X12" s="46">
        <f>IF($F12&lt;&gt;"",IFERROR(MAX($X$5:$X11),0)+1,"")</f>
        <v>7</v>
      </c>
    </row>
    <row r="13" spans="1:24">
      <c r="A13" s="36">
        <f>IFERROR(IF(清单台账!$AE14=1,清单台账!$A14,""),"")</f>
        <v>1</v>
      </c>
      <c r="B13" s="37" t="str">
        <f>IFERROR(IF(清单台账!$AE14=1,清单台账!$AA14,""),"")</f>
        <v>RSD-20260510-001</v>
      </c>
      <c r="C13" s="38">
        <f>IFERROR(IF(清单台账!$AE14=1,清单台账!$AB14,""),"")</f>
        <v>46126</v>
      </c>
      <c r="D13" s="37" t="str">
        <f>IFERROR(IF(清单台账!$AE14=1,清单台账!$AC14,""),"")</f>
        <v>合肥荣事达太阳能有限公司</v>
      </c>
      <c r="E13" s="37" t="str">
        <f>IFERROR(IF(清单台账!$AE14=1,清单台账!$AD14,""),"")</f>
        <v>C型15P</v>
      </c>
      <c r="F13" s="37" t="str">
        <f>IFERROR(IF(清单台账!$AE14=1,清单台账!$F14,""),"")</f>
        <v>零件</v>
      </c>
      <c r="G13" s="37" t="str">
        <f>IFERROR(IF(清单台账!$AE14=1,清单台账!$G14,""),"")</f>
        <v>5.1</v>
      </c>
      <c r="H13" s="37" t="str">
        <f>IFERROR(IF(清单台账!$AE14=1,清单台账!$H14,""),"")</f>
        <v>定制件</v>
      </c>
      <c r="I13" s="37" t="str">
        <f>IFERROR(IF(清单台账!$AE14=1,清单台账!$I14,""),"")</f>
        <v/>
      </c>
      <c r="J13" s="37" t="str">
        <f>IFERROR(IF(清单台账!$AE14=1,清单台账!$J14,""),"")</f>
        <v>C002</v>
      </c>
      <c r="K13" s="37">
        <f>IFERROR(IF(清单台账!$AE14=1,清单台账!$K14,""),"")</f>
        <v>0</v>
      </c>
      <c r="L13" s="37" t="str">
        <f>IFERROR(IF(清单台账!$AE14=1,清单台账!$L14,""),"")</f>
        <v>RBKS-300DBII-10-00-A</v>
      </c>
      <c r="M13" s="37" t="str">
        <f>IFERROR(IF(清单台账!$AE14=1,清单台账!$M14,""),"")</f>
        <v>底盘板</v>
      </c>
      <c r="N13" s="37">
        <f>IFERROR(IF(清单台账!$AE14=1,清单台账!$N14,""),"")</f>
        <v>0</v>
      </c>
      <c r="O13" s="37" t="str">
        <f>IFERROR(IF(清单台账!$AE14=1,清单台账!$O14,""),"")</f>
        <v>2mm</v>
      </c>
      <c r="P13" s="39">
        <f>IFERROR(IF(清单台账!$AE14=1,清单台账!$P14,""),"")</f>
        <v>0</v>
      </c>
      <c r="Q13" s="39">
        <f>IFERROR(IF(清单台账!$AE14=1,清单台账!$Q14,""),"")</f>
        <v>1</v>
      </c>
      <c r="R13" s="39">
        <f>IFERROR(IF(清单台账!$AE14=1,清单台账!$R14,""),"")</f>
        <v>16</v>
      </c>
      <c r="S13" s="37" t="str">
        <f>IFERROR(IF(清单台账!$AE14=1,清单台账!$S14,""),"")</f>
        <v>件</v>
      </c>
      <c r="T13" s="37" t="str">
        <f>IFERROR(IF(清单台账!$AE14=1,清单台账!$T14,""),"")</f>
        <v>激光切割</v>
      </c>
      <c r="U13" s="37" t="str">
        <f>IFERROR(IF(清单台账!$AE14=1,清单台账!$U14,""),"")</f>
        <v>小孔，割3-Φ3.2孔</v>
      </c>
      <c r="V13" s="38">
        <f>IFERROR(IF(清单台账!$AE14=1,清单台账!$V14,""),"")</f>
        <v>0</v>
      </c>
      <c r="W13" s="40" t="str">
        <f>IFERROR(IF(清单台账!$AE14=1,清单台账!$W14,""),"")</f>
        <v>待确认</v>
      </c>
      <c r="X13" s="46">
        <f>IF($F13&lt;&gt;"",IFERROR(MAX($X$5:$X12),0)+1,"")</f>
        <v>8</v>
      </c>
    </row>
    <row r="14" spans="1:24">
      <c r="A14" s="36">
        <f>IFERROR(IF(清单台账!$AE15=1,清单台账!$A15,""),"")</f>
        <v>1</v>
      </c>
      <c r="B14" s="37" t="str">
        <f>IFERROR(IF(清单台账!$AE15=1,清单台账!$AA15,""),"")</f>
        <v>RSD-20260510-001</v>
      </c>
      <c r="C14" s="38">
        <f>IFERROR(IF(清单台账!$AE15=1,清单台账!$AB15,""),"")</f>
        <v>46126</v>
      </c>
      <c r="D14" s="37" t="str">
        <f>IFERROR(IF(清单台账!$AE15=1,清单台账!$AC15,""),"")</f>
        <v>合肥荣事达太阳能有限公司</v>
      </c>
      <c r="E14" s="37" t="str">
        <f>IFERROR(IF(清单台账!$AE15=1,清单台账!$AD15,""),"")</f>
        <v>C型15P</v>
      </c>
      <c r="F14" s="37" t="str">
        <f>IFERROR(IF(清单台账!$AE15=1,清单台账!$F15,""),"")</f>
        <v>零件</v>
      </c>
      <c r="G14" s="37" t="str">
        <f>IFERROR(IF(清单台账!$AE15=1,清单台账!$G15,""),"")</f>
        <v>5.2</v>
      </c>
      <c r="H14" s="37" t="str">
        <f>IFERROR(IF(清单台账!$AE15=1,清单台账!$H15,""),"")</f>
        <v>定制件</v>
      </c>
      <c r="I14" s="37" t="str">
        <f>IFERROR(IF(清单台账!$AE15=1,清单台账!$I15,""),"")</f>
        <v/>
      </c>
      <c r="J14" s="37" t="str">
        <f>IFERROR(IF(清单台账!$AE15=1,清单台账!$J15,""),"")</f>
        <v>C002</v>
      </c>
      <c r="K14" s="37">
        <f>IFERROR(IF(清单台账!$AE15=1,清单台账!$K15,""),"")</f>
        <v>0</v>
      </c>
      <c r="L14" s="37" t="str">
        <f>IFERROR(IF(清单台账!$AE15=1,清单台账!$L15,""),"")</f>
        <v>RBKS-300DBII-10-00-B</v>
      </c>
      <c r="M14" s="37" t="str">
        <f>IFERROR(IF(清单台账!$AE15=1,清单台账!$M15,""),"")</f>
        <v>底盘加强片</v>
      </c>
      <c r="N14" s="37">
        <f>IFERROR(IF(清单台账!$AE15=1,清单台账!$N15,""),"")</f>
        <v>0</v>
      </c>
      <c r="O14" s="37" t="str">
        <f>IFERROR(IF(清单台账!$AE15=1,清单台账!$O15,""),"")</f>
        <v>1.5mm</v>
      </c>
      <c r="P14" s="39">
        <f>IFERROR(IF(清单台账!$AE15=1,清单台账!$P15,""),"")</f>
        <v>0</v>
      </c>
      <c r="Q14" s="39">
        <f>IFERROR(IF(清单台账!$AE15=1,清单台账!$Q15,""),"")</f>
        <v>1</v>
      </c>
      <c r="R14" s="39">
        <f>IFERROR(IF(清单台账!$AE15=1,清单台账!$R15,""),"")</f>
        <v>16</v>
      </c>
      <c r="S14" s="37" t="str">
        <f>IFERROR(IF(清单台账!$AE15=1,清单台账!$S15,""),"")</f>
        <v>件</v>
      </c>
      <c r="T14" s="37" t="str">
        <f>IFERROR(IF(清单台账!$AE15=1,清单台账!$T15,""),"")</f>
        <v>激光切割&gt;折弯</v>
      </c>
      <c r="U14" s="37" t="str">
        <f>IFERROR(IF(清单台账!$AE15=1,清单台账!$U15,""),"")</f>
        <v>焊2-M8x20螺丝</v>
      </c>
      <c r="V14" s="38">
        <f>IFERROR(IF(清单台账!$AE15=1,清单台账!$V15,""),"")</f>
        <v>0</v>
      </c>
      <c r="W14" s="40" t="str">
        <f>IFERROR(IF(清单台账!$AE15=1,清单台账!$W15,""),"")</f>
        <v>待确认</v>
      </c>
      <c r="X14" s="46">
        <f>IF($F14&lt;&gt;"",IFERROR(MAX($X$5:$X13),0)+1,"")</f>
        <v>9</v>
      </c>
    </row>
    <row r="15" spans="1:24">
      <c r="A15" s="36">
        <f>IFERROR(IF(清单台账!$AE16=1,清单台账!$A16,""),"")</f>
        <v>1</v>
      </c>
      <c r="B15" s="37" t="str">
        <f>IFERROR(IF(清单台账!$AE16=1,清单台账!$AA16,""),"")</f>
        <v>RSD-20260510-001</v>
      </c>
      <c r="C15" s="38">
        <f>IFERROR(IF(清单台账!$AE16=1,清单台账!$AB16,""),"")</f>
        <v>46126</v>
      </c>
      <c r="D15" s="37" t="str">
        <f>IFERROR(IF(清单台账!$AE16=1,清单台账!$AC16,""),"")</f>
        <v>合肥荣事达太阳能有限公司</v>
      </c>
      <c r="E15" s="37" t="str">
        <f>IFERROR(IF(清单台账!$AE16=1,清单台账!$AD16,""),"")</f>
        <v>C型15P</v>
      </c>
      <c r="F15" s="37" t="str">
        <f>IFERROR(IF(清单台账!$AE16=1,清单台账!$F16,""),"")</f>
        <v>零件</v>
      </c>
      <c r="G15" s="37">
        <f>IFERROR(IF(清单台账!$AE16=1,清单台账!$G16,""),"")</f>
        <v>6</v>
      </c>
      <c r="H15" s="37" t="str">
        <f>IFERROR(IF(清单台账!$AE16=1,清单台账!$H16,""),"")</f>
        <v>外协件</v>
      </c>
      <c r="I15" s="37" t="str">
        <f>IFERROR(IF(清单台账!$AE16=1,清单台账!$I16,""),"")</f>
        <v/>
      </c>
      <c r="J15" s="37" t="str">
        <f>IFERROR(IF(清单台账!$AE16=1,清单台账!$J16,""),"")</f>
        <v/>
      </c>
      <c r="K15" s="37" t="str">
        <f>IFERROR(IF(清单台账!$AE16=1,清单台账!$K16,""),"")</f>
        <v>RS10707010049</v>
      </c>
      <c r="L15" s="37" t="str">
        <f>IFERROR(IF(清单台账!$AE16=1,清单台账!$L16,""),"")</f>
        <v>RBKS-300DBII-10-04</v>
      </c>
      <c r="M15" s="37" t="str">
        <f>IFERROR(IF(清单台账!$AE16=1,清单台账!$M16,""),"")</f>
        <v>网罩</v>
      </c>
      <c r="N15" s="37">
        <f>IFERROR(IF(清单台账!$AE16=1,清单台账!$N16,""),"")</f>
        <v>0</v>
      </c>
      <c r="O15" s="37">
        <f>IFERROR(IF(清单台账!$AE16=1,清单台账!$O16,""),"")</f>
        <v>0</v>
      </c>
      <c r="P15" s="39">
        <f>IFERROR(IF(清单台账!$AE16=1,清单台账!$P16,""),"")</f>
        <v>32</v>
      </c>
      <c r="Q15" s="39">
        <f>IFERROR(IF(清单台账!$AE16=1,清单台账!$Q16,""),"")</f>
        <v>0</v>
      </c>
      <c r="R15" s="39">
        <f>IFERROR(IF(清单台账!$AE16=1,清单台账!$R16,""),"")</f>
        <v>32</v>
      </c>
      <c r="S15" s="37" t="str">
        <f>IFERROR(IF(清单台账!$AE16=1,清单台账!$S16,""),"")</f>
        <v>件</v>
      </c>
      <c r="T15" s="37">
        <f>IFERROR(IF(清单台账!$AE16=1,清单台账!$T16,""),"")</f>
        <v>0</v>
      </c>
      <c r="U15" s="37" t="str">
        <f>IFERROR(IF(清单台账!$AE16=1,清单台账!$U16,""),"")</f>
        <v>钢丝网</v>
      </c>
      <c r="V15" s="38">
        <f>IFERROR(IF(清单台账!$AE16=1,清单台账!$V16,""),"")</f>
        <v>0</v>
      </c>
      <c r="W15" s="40" t="str">
        <f>IFERROR(IF(清单台账!$AE16=1,清单台账!$W16,""),"")</f>
        <v>旧图</v>
      </c>
      <c r="X15" s="46">
        <f>IF($F15&lt;&gt;"",IFERROR(MAX($X$5:$X14),0)+1,"")</f>
        <v>10</v>
      </c>
    </row>
    <row r="16" spans="1:24">
      <c r="A16" s="36" t="str">
        <f>IFERROR(IF(清单台账!$AE17=1,清单台账!$A17,""),"")</f>
        <v/>
      </c>
      <c r="B16" s="37" t="str">
        <f>IFERROR(IF(清单台账!$AE17=1,清单台账!$AA17,""),"")</f>
        <v/>
      </c>
      <c r="C16" s="38" t="str">
        <f>IFERROR(IF(清单台账!$AE17=1,清单台账!$AB17,""),"")</f>
        <v/>
      </c>
      <c r="D16" s="37" t="str">
        <f>IFERROR(IF(清单台账!$AE17=1,清单台账!$AC17,""),"")</f>
        <v/>
      </c>
      <c r="E16" s="37" t="str">
        <f>IFERROR(IF(清单台账!$AE17=1,清单台账!$AD17,""),"")</f>
        <v/>
      </c>
      <c r="F16" s="37" t="str">
        <f>IFERROR(IF(清单台账!$AE17=1,清单台账!$F17,""),"")</f>
        <v/>
      </c>
      <c r="G16" s="37" t="str">
        <f>IFERROR(IF(清单台账!$AE17=1,清单台账!$G17,""),"")</f>
        <v/>
      </c>
      <c r="H16" s="37" t="str">
        <f>IFERROR(IF(清单台账!$AE17=1,清单台账!$H17,""),"")</f>
        <v/>
      </c>
      <c r="I16" s="37" t="str">
        <f>IFERROR(IF(清单台账!$AE17=1,清单台账!$I17,""),"")</f>
        <v/>
      </c>
      <c r="J16" s="37" t="str">
        <f>IFERROR(IF(清单台账!$AE17=1,清单台账!$J17,""),"")</f>
        <v/>
      </c>
      <c r="K16" s="37" t="str">
        <f>IFERROR(IF(清单台账!$AE17=1,清单台账!$K17,""),"")</f>
        <v/>
      </c>
      <c r="L16" s="37" t="str">
        <f>IFERROR(IF(清单台账!$AE17=1,清单台账!$L17,""),"")</f>
        <v/>
      </c>
      <c r="M16" s="37" t="str">
        <f>IFERROR(IF(清单台账!$AE17=1,清单台账!$M17,""),"")</f>
        <v/>
      </c>
      <c r="N16" s="37" t="str">
        <f>IFERROR(IF(清单台账!$AE17=1,清单台账!$N17,""),"")</f>
        <v/>
      </c>
      <c r="O16" s="37" t="str">
        <f>IFERROR(IF(清单台账!$AE17=1,清单台账!$O17,""),"")</f>
        <v/>
      </c>
      <c r="P16" s="39" t="str">
        <f>IFERROR(IF(清单台账!$AE17=1,清单台账!$P17,""),"")</f>
        <v/>
      </c>
      <c r="Q16" s="39" t="str">
        <f>IFERROR(IF(清单台账!$AE17=1,清单台账!$Q17,""),"")</f>
        <v/>
      </c>
      <c r="R16" s="39" t="str">
        <f>IFERROR(IF(清单台账!$AE17=1,清单台账!$R17,""),"")</f>
        <v/>
      </c>
      <c r="S16" s="37" t="str">
        <f>IFERROR(IF(清单台账!$AE17=1,清单台账!$S17,""),"")</f>
        <v/>
      </c>
      <c r="T16" s="37" t="str">
        <f>IFERROR(IF(清单台账!$AE17=1,清单台账!$T17,""),"")</f>
        <v/>
      </c>
      <c r="U16" s="37" t="str">
        <f>IFERROR(IF(清单台账!$AE17=1,清单台账!$U17,""),"")</f>
        <v/>
      </c>
      <c r="V16" s="38" t="str">
        <f>IFERROR(IF(清单台账!$AE17=1,清单台账!$V17,""),"")</f>
        <v/>
      </c>
      <c r="W16" s="40" t="str">
        <f>IFERROR(IF(清单台账!$AE17=1,清单台账!$W17,""),"")</f>
        <v/>
      </c>
      <c r="X16" s="46" t="str">
        <f>IF($F16&lt;&gt;"",IFERROR(MAX($X$5:$X15),0)+1,"")</f>
        <v/>
      </c>
    </row>
    <row r="17" spans="1:24">
      <c r="A17" s="36" t="str">
        <f>IFERROR(IF(清单台账!$AE18=1,清单台账!$A18,""),"")</f>
        <v/>
      </c>
      <c r="B17" s="37" t="str">
        <f>IFERROR(IF(清单台账!$AE18=1,清单台账!$AA18,""),"")</f>
        <v/>
      </c>
      <c r="C17" s="38" t="str">
        <f>IFERROR(IF(清单台账!$AE18=1,清单台账!$AB18,""),"")</f>
        <v/>
      </c>
      <c r="D17" s="37" t="str">
        <f>IFERROR(IF(清单台账!$AE18=1,清单台账!$AC18,""),"")</f>
        <v/>
      </c>
      <c r="E17" s="37" t="str">
        <f>IFERROR(IF(清单台账!$AE18=1,清单台账!$AD18,""),"")</f>
        <v/>
      </c>
      <c r="F17" s="37" t="str">
        <f>IFERROR(IF(清单台账!$AE18=1,清单台账!$F18,""),"")</f>
        <v/>
      </c>
      <c r="G17" s="37" t="str">
        <f>IFERROR(IF(清单台账!$AE18=1,清单台账!$G18,""),"")</f>
        <v/>
      </c>
      <c r="H17" s="37" t="str">
        <f>IFERROR(IF(清单台账!$AE18=1,清单台账!$H18,""),"")</f>
        <v/>
      </c>
      <c r="I17" s="37" t="str">
        <f>IFERROR(IF(清单台账!$AE18=1,清单台账!$I18,""),"")</f>
        <v/>
      </c>
      <c r="J17" s="37" t="str">
        <f>IFERROR(IF(清单台账!$AE18=1,清单台账!$J18,""),"")</f>
        <v/>
      </c>
      <c r="K17" s="37" t="str">
        <f>IFERROR(IF(清单台账!$AE18=1,清单台账!$K18,""),"")</f>
        <v/>
      </c>
      <c r="L17" s="37" t="str">
        <f>IFERROR(IF(清单台账!$AE18=1,清单台账!$L18,""),"")</f>
        <v/>
      </c>
      <c r="M17" s="37" t="str">
        <f>IFERROR(IF(清单台账!$AE18=1,清单台账!$M18,""),"")</f>
        <v/>
      </c>
      <c r="N17" s="37" t="str">
        <f>IFERROR(IF(清单台账!$AE18=1,清单台账!$N18,""),"")</f>
        <v/>
      </c>
      <c r="O17" s="37" t="str">
        <f>IFERROR(IF(清单台账!$AE18=1,清单台账!$O18,""),"")</f>
        <v/>
      </c>
      <c r="P17" s="39" t="str">
        <f>IFERROR(IF(清单台账!$AE18=1,清单台账!$P18,""),"")</f>
        <v/>
      </c>
      <c r="Q17" s="39" t="str">
        <f>IFERROR(IF(清单台账!$AE18=1,清单台账!$Q18,""),"")</f>
        <v/>
      </c>
      <c r="R17" s="39" t="str">
        <f>IFERROR(IF(清单台账!$AE18=1,清单台账!$R18,""),"")</f>
        <v/>
      </c>
      <c r="S17" s="37" t="str">
        <f>IFERROR(IF(清单台账!$AE18=1,清单台账!$S18,""),"")</f>
        <v/>
      </c>
      <c r="T17" s="37" t="str">
        <f>IFERROR(IF(清单台账!$AE18=1,清单台账!$T18,""),"")</f>
        <v/>
      </c>
      <c r="U17" s="37" t="str">
        <f>IFERROR(IF(清单台账!$AE18=1,清单台账!$U18,""),"")</f>
        <v/>
      </c>
      <c r="V17" s="38" t="str">
        <f>IFERROR(IF(清单台账!$AE18=1,清单台账!$V18,""),"")</f>
        <v/>
      </c>
      <c r="W17" s="40" t="str">
        <f>IFERROR(IF(清单台账!$AE18=1,清单台账!$W18,""),"")</f>
        <v/>
      </c>
      <c r="X17" s="46" t="str">
        <f>IF($F17&lt;&gt;"",IFERROR(MAX($X$5:$X16),0)+1,"")</f>
        <v/>
      </c>
    </row>
    <row r="18" spans="1:24">
      <c r="A18" s="36">
        <f>IFERROR(IF(清单台账!$AE19=1,清单台账!$A19,""),"")</f>
        <v>2</v>
      </c>
      <c r="B18" s="37" t="str">
        <f>IFERROR(IF(清单台账!$AE19=1,清单台账!$AA19,""),"")</f>
        <v>RSD-20260601-002</v>
      </c>
      <c r="C18" s="38">
        <f>IFERROR(IF(清单台账!$AE19=1,清单台账!$AB19,""),"")</f>
        <v>46174</v>
      </c>
      <c r="D18" s="37" t="str">
        <f>IFERROR(IF(清单台账!$AE19=1,清单台账!$AC19,""),"")</f>
        <v>合肥荣事达太阳能有限公司</v>
      </c>
      <c r="E18" s="37" t="str">
        <f>IFERROR(IF(清单台账!$AE19=1,清单台账!$AD19,""),"")</f>
        <v>B型5P</v>
      </c>
      <c r="F18" s="37" t="str">
        <f>IFERROR(IF(清单台账!$AE19=1,清单台账!$F19,""),"")</f>
        <v>零件</v>
      </c>
      <c r="G18" s="37">
        <f>IFERROR(IF(清单台账!$AE19=1,清单台账!$G19,""),"")</f>
        <v>1</v>
      </c>
      <c r="H18" s="37" t="str">
        <f>IFERROR(IF(清单台账!$AE19=1,清单台账!$H19,""),"")</f>
        <v>通用件</v>
      </c>
      <c r="I18" s="37" t="str">
        <f>IFERROR(IF(清单台账!$AE19=1,清单台账!$I19,""),"")</f>
        <v/>
      </c>
      <c r="J18" s="37" t="str">
        <f>IFERROR(IF(清单台账!$AE19=1,清单台账!$J19,""),"")</f>
        <v/>
      </c>
      <c r="K18" s="37" t="str">
        <f>IFERROR(IF(清单台账!$AE19=1,清单台账!$K19,""),"")</f>
        <v>RS10703222</v>
      </c>
      <c r="L18" s="37" t="str">
        <f>IFERROR(IF(清单台账!$AE19=1,清单台账!$L19,""),"")</f>
        <v>B5机型物料号-10-50-01</v>
      </c>
      <c r="M18" s="37" t="str">
        <f>IFERROR(IF(清单台账!$AE19=1,清单台账!$M19,""),"")</f>
        <v>顶盖</v>
      </c>
      <c r="N18" s="37">
        <f>IFERROR(IF(清单台账!$AE19=1,清单台账!$N19,""),"")</f>
        <v>0</v>
      </c>
      <c r="O18" s="37" t="str">
        <f>IFERROR(IF(清单台账!$AE19=1,清单台账!$O19,""),"")</f>
        <v>1mm</v>
      </c>
      <c r="P18" s="39">
        <f>IFERROR(IF(清单台账!$AE19=1,清单台账!$P19,""),"")</f>
        <v>16</v>
      </c>
      <c r="Q18" s="39">
        <f>IFERROR(IF(清单台账!$AE19=1,清单台账!$Q19,""),"")</f>
        <v>0</v>
      </c>
      <c r="R18" s="39">
        <f>IFERROR(IF(清单台账!$AE19=1,清单台账!$R19,""),"")</f>
        <v>16</v>
      </c>
      <c r="S18" s="37" t="str">
        <f>IFERROR(IF(清单台账!$AE19=1,清单台账!$S19,""),"")</f>
        <v>件</v>
      </c>
      <c r="T18" s="37">
        <f>IFERROR(IF(清单台账!$AE19=1,清单台账!$T19,""),"")</f>
        <v>0</v>
      </c>
      <c r="U18" s="37" t="str">
        <f>IFERROR(IF(清单台账!$AE19=1,清单台账!$U19,""),"")</f>
        <v>百胜样机款</v>
      </c>
      <c r="V18" s="38">
        <f>IFERROR(IF(清单台账!$AE19=1,清单台账!$V19,""),"")</f>
        <v>0</v>
      </c>
      <c r="W18" s="40" t="str">
        <f>IFERROR(IF(清单台账!$AE19=1,清单台账!$W19,""),"")</f>
        <v>旧图</v>
      </c>
      <c r="X18" s="46">
        <f>IF($F18&lt;&gt;"",IFERROR(MAX($X$5:$X17),0)+1,"")</f>
        <v>11</v>
      </c>
    </row>
    <row r="19" spans="1:24">
      <c r="A19" s="36">
        <f>IFERROR(IF(清单台账!$AE20=1,清单台账!$A20,""),"")</f>
        <v>2</v>
      </c>
      <c r="B19" s="37" t="str">
        <f>IFERROR(IF(清单台账!$AE20=1,清单台账!$AA20,""),"")</f>
        <v>RSD-20260601-002</v>
      </c>
      <c r="C19" s="38">
        <f>IFERROR(IF(清单台账!$AE20=1,清单台账!$AB20,""),"")</f>
        <v>46174</v>
      </c>
      <c r="D19" s="37" t="str">
        <f>IFERROR(IF(清单台账!$AE20=1,清单台账!$AC20,""),"")</f>
        <v>合肥荣事达太阳能有限公司</v>
      </c>
      <c r="E19" s="37" t="str">
        <f>IFERROR(IF(清单台账!$AE20=1,清单台账!$AD20,""),"")</f>
        <v>B型5P</v>
      </c>
      <c r="F19" s="37" t="str">
        <f>IFERROR(IF(清单台账!$AE20=1,清单台账!$F20,""),"")</f>
        <v>零件</v>
      </c>
      <c r="G19" s="37">
        <f>IFERROR(IF(清单台账!$AE20=1,清单台账!$G20,""),"")</f>
        <v>2</v>
      </c>
      <c r="H19" s="37" t="str">
        <f>IFERROR(IF(清单台账!$AE20=1,清单台账!$H20,""),"")</f>
        <v>通用件</v>
      </c>
      <c r="I19" s="37" t="str">
        <f>IFERROR(IF(清单台账!$AE20=1,清单台账!$I20,""),"")</f>
        <v/>
      </c>
      <c r="J19" s="37" t="str">
        <f>IFERROR(IF(清单台账!$AE20=1,清单台账!$J20,""),"")</f>
        <v/>
      </c>
      <c r="K19" s="37" t="str">
        <f>IFERROR(IF(清单台账!$AE20=1,清单台账!$K20,""),"")</f>
        <v>RS1070103</v>
      </c>
      <c r="L19" s="37" t="str">
        <f>IFERROR(IF(清单台账!$AE20=1,清单台账!$L20,""),"")</f>
        <v>B5机型物料号-10-01</v>
      </c>
      <c r="M19" s="37" t="str">
        <f>IFERROR(IF(清单台账!$AE20=1,清单台账!$M20,""),"")</f>
        <v>左侧封板</v>
      </c>
      <c r="N19" s="37">
        <f>IFERROR(IF(清单台账!$AE20=1,清单台账!$N20,""),"")</f>
        <v>0</v>
      </c>
      <c r="O19" s="37" t="str">
        <f>IFERROR(IF(清单台账!$AE20=1,清单台账!$O20,""),"")</f>
        <v>1mm</v>
      </c>
      <c r="P19" s="39">
        <f>IFERROR(IF(清单台账!$AE20=1,清单台账!$P20,""),"")</f>
        <v>16</v>
      </c>
      <c r="Q19" s="39">
        <f>IFERROR(IF(清单台账!$AE20=1,清单台账!$Q20,""),"")</f>
        <v>0</v>
      </c>
      <c r="R19" s="39">
        <f>IFERROR(IF(清单台账!$AE20=1,清单台账!$R20,""),"")</f>
        <v>16</v>
      </c>
      <c r="S19" s="37" t="str">
        <f>IFERROR(IF(清单台账!$AE20=1,清单台账!$S20,""),"")</f>
        <v>件</v>
      </c>
      <c r="T19" s="37" t="str">
        <f>IFERROR(IF(清单台账!$AE20=1,清单台账!$T20,""),"")</f>
        <v>激光切割&gt;折弯</v>
      </c>
      <c r="U19" s="37" t="str">
        <f>IFERROR(IF(清单台账!$AE20=1,清单台账!$U20,""),"")</f>
        <v>百胜样机款</v>
      </c>
      <c r="V19" s="38">
        <f>IFERROR(IF(清单台账!$AE20=1,清单台账!$V20,""),"")</f>
        <v>0</v>
      </c>
      <c r="W19" s="40" t="str">
        <f>IFERROR(IF(清单台账!$AE20=1,清单台账!$W20,""),"")</f>
        <v>旧图</v>
      </c>
      <c r="X19" s="46">
        <f>IF($F19&lt;&gt;"",IFERROR(MAX($X$5:$X18),0)+1,"")</f>
        <v>12</v>
      </c>
    </row>
    <row r="20" spans="1:24">
      <c r="A20" s="36">
        <f>IFERROR(IF(清单台账!$AE21=1,清单台账!$A21,""),"")</f>
        <v>2</v>
      </c>
      <c r="B20" s="37" t="str">
        <f>IFERROR(IF(清单台账!$AE21=1,清单台账!$AA21,""),"")</f>
        <v>RSD-20260601-002</v>
      </c>
      <c r="C20" s="38">
        <f>IFERROR(IF(清单台账!$AE21=1,清单台账!$AB21,""),"")</f>
        <v>46174</v>
      </c>
      <c r="D20" s="37" t="str">
        <f>IFERROR(IF(清单台账!$AE21=1,清单台账!$AC21,""),"")</f>
        <v>合肥荣事达太阳能有限公司</v>
      </c>
      <c r="E20" s="37" t="str">
        <f>IFERROR(IF(清单台账!$AE21=1,清单台账!$AD21,""),"")</f>
        <v>B型5P</v>
      </c>
      <c r="F20" s="37" t="str">
        <f>IFERROR(IF(清单台账!$AE21=1,清单台账!$F21,""),"")</f>
        <v>组件</v>
      </c>
      <c r="G20" s="37">
        <f>IFERROR(IF(清单台账!$AE21=1,清单台账!$G21,""),"")</f>
        <v>3</v>
      </c>
      <c r="H20" s="37" t="str">
        <f>IFERROR(IF(清单台账!$AE21=1,清单台账!$H21,""),"")</f>
        <v>通用件</v>
      </c>
      <c r="I20" s="37" t="str">
        <f>IFERROR(IF(清单台账!$AE21=1,清单台账!$I21,""),"")</f>
        <v>C001</v>
      </c>
      <c r="J20" s="37" t="str">
        <f>IFERROR(IF(清单台账!$AE21=1,清单台账!$J21,""),"")</f>
        <v/>
      </c>
      <c r="K20" s="37" t="str">
        <f>IFERROR(IF(清单台账!$AE21=1,清单台账!$K21,""),"")</f>
        <v>RS1071123</v>
      </c>
      <c r="L20" s="37" t="str">
        <f>IFERROR(IF(清单台账!$AE21=1,清单台账!$L21,""),"")</f>
        <v>B5机型物料号-10-30</v>
      </c>
      <c r="M20" s="37" t="str">
        <f>IFERROR(IF(清单台账!$AE21=1,清单台账!$M21,""),"")</f>
        <v>风机支架组件</v>
      </c>
      <c r="N20" s="37">
        <f>IFERROR(IF(清单台账!$AE21=1,清单台账!$N21,""),"")</f>
        <v>0</v>
      </c>
      <c r="O20" s="37" t="str">
        <f>IFERROR(IF(清单台账!$AE21=1,清单台账!$O21,""),"")</f>
        <v>2mm</v>
      </c>
      <c r="P20" s="39">
        <f>IFERROR(IF(清单台账!$AE21=1,清单台账!$P21,""),"")</f>
        <v>90</v>
      </c>
      <c r="Q20" s="39">
        <f>IFERROR(IF(清单台账!$AE21=1,清单台账!$Q21,""),"")</f>
        <v>2</v>
      </c>
      <c r="R20" s="39">
        <f>IFERROR(IF(清单台账!$AE21=1,清单台账!$R21,""),"")</f>
        <v>180</v>
      </c>
      <c r="S20" s="37" t="str">
        <f>IFERROR(IF(清单台账!$AE21=1,清单台账!$S21,""),"")</f>
        <v>套</v>
      </c>
      <c r="T20" s="37" t="str">
        <f>IFERROR(IF(清单台账!$AE21=1,清单台账!$T21,""),"")</f>
        <v>装配</v>
      </c>
      <c r="U20" s="37" t="str">
        <f>IFERROR(IF(清单台账!$AE21=1,清单台账!$U21,""),"")</f>
        <v>组件本体 90 套，每套用 2 件</v>
      </c>
      <c r="V20" s="38">
        <f>IFERROR(IF(清单台账!$AE21=1,清单台账!$V21,""),"")</f>
        <v>0</v>
      </c>
      <c r="W20" s="40" t="str">
        <f>IFERROR(IF(清单台账!$AE21=1,清单台账!$W21,""),"")</f>
        <v>旧图</v>
      </c>
      <c r="X20" s="46">
        <f>IF($F20&lt;&gt;"",IFERROR(MAX($X$5:$X19),0)+1,"")</f>
        <v>13</v>
      </c>
    </row>
    <row r="21" spans="1:24">
      <c r="A21" s="36">
        <f>IFERROR(IF(清单台账!$AE22=1,清单台账!$A22,""),"")</f>
        <v>2</v>
      </c>
      <c r="B21" s="37" t="str">
        <f>IFERROR(IF(清单台账!$AE22=1,清单台账!$AA22,""),"")</f>
        <v>RSD-20260601-002</v>
      </c>
      <c r="C21" s="38">
        <f>IFERROR(IF(清单台账!$AE22=1,清单台账!$AB22,""),"")</f>
        <v>46174</v>
      </c>
      <c r="D21" s="37" t="str">
        <f>IFERROR(IF(清单台账!$AE22=1,清单台账!$AC22,""),"")</f>
        <v>合肥荣事达太阳能有限公司</v>
      </c>
      <c r="E21" s="37" t="str">
        <f>IFERROR(IF(清单台账!$AE22=1,清单台账!$AD22,""),"")</f>
        <v>B型5P</v>
      </c>
      <c r="F21" s="37" t="str">
        <f>IFERROR(IF(清单台账!$AE22=1,清单台账!$F22,""),"")</f>
        <v>零件</v>
      </c>
      <c r="G21" s="37" t="str">
        <f>IFERROR(IF(清单台账!$AE22=1,清单台账!$G22,""),"")</f>
        <v>3.1</v>
      </c>
      <c r="H21" s="37" t="str">
        <f>IFERROR(IF(清单台账!$AE22=1,清单台账!$H22,""),"")</f>
        <v>通用件</v>
      </c>
      <c r="I21" s="37" t="str">
        <f>IFERROR(IF(清单台账!$AE22=1,清单台账!$I22,""),"")</f>
        <v/>
      </c>
      <c r="J21" s="37" t="str">
        <f>IFERROR(IF(清单台账!$AE22=1,清单台账!$J22,""),"")</f>
        <v>C001</v>
      </c>
      <c r="K21" s="37">
        <f>IFERROR(IF(清单台账!$AE22=1,清单台账!$K22,""),"")</f>
        <v>0</v>
      </c>
      <c r="L21" s="37" t="str">
        <f>IFERROR(IF(清单台账!$AE22=1,清单台账!$L22,""),"")</f>
        <v>B5机型物料号-10-30-B</v>
      </c>
      <c r="M21" s="37" t="str">
        <f>IFERROR(IF(清单台账!$AE22=1,清单台账!$M22,""),"")</f>
        <v>风机支架折弯件</v>
      </c>
      <c r="N21" s="37">
        <f>IFERROR(IF(清单台账!$AE22=1,清单台账!$N22,""),"")</f>
        <v>0</v>
      </c>
      <c r="O21" s="37" t="str">
        <f>IFERROR(IF(清单台账!$AE22=1,清单台账!$O22,""),"")</f>
        <v>2mm</v>
      </c>
      <c r="P21" s="39">
        <f>IFERROR(IF(清单台账!$AE22=1,清单台账!$P22,""),"")</f>
        <v>0</v>
      </c>
      <c r="Q21" s="39">
        <f>IFERROR(IF(清单台账!$AE22=1,清单台账!$Q22,""),"")</f>
        <v>2</v>
      </c>
      <c r="R21" s="39">
        <f>IFERROR(IF(清单台账!$AE22=1,清单台账!$R22,""),"")</f>
        <v>360</v>
      </c>
      <c r="S21" s="37" t="str">
        <f>IFERROR(IF(清单台账!$AE22=1,清单台账!$S22,""),"")</f>
        <v>件</v>
      </c>
      <c r="T21" s="37" t="str">
        <f>IFERROR(IF(清单台账!$AE22=1,清单台账!$T22,""),"")</f>
        <v>激光切割&gt;折弯</v>
      </c>
      <c r="U21" s="37" t="str">
        <f>IFERROR(IF(清单台账!$AE22=1,清单台账!$U22,""),"")</f>
        <v>按父组件需求数量×2</v>
      </c>
      <c r="V21" s="38">
        <f>IFERROR(IF(清单台账!$AE22=1,清单台账!$V22,""),"")</f>
        <v>0</v>
      </c>
      <c r="W21" s="40" t="str">
        <f>IFERROR(IF(清单台账!$AE22=1,清单台账!$W22,""),"")</f>
        <v>旧图</v>
      </c>
      <c r="X21" s="46">
        <f>IF($F21&lt;&gt;"",IFERROR(MAX($X$5:$X20),0)+1,"")</f>
        <v>14</v>
      </c>
    </row>
    <row r="22" spans="1:24">
      <c r="A22" s="36">
        <f>IFERROR(IF(清单台账!$AE23=1,清单台账!$A23,""),"")</f>
        <v>2</v>
      </c>
      <c r="B22" s="37" t="str">
        <f>IFERROR(IF(清单台账!$AE23=1,清单台账!$AA23,""),"")</f>
        <v>RSD-20260601-002</v>
      </c>
      <c r="C22" s="38">
        <f>IFERROR(IF(清单台账!$AE23=1,清单台账!$AB23,""),"")</f>
        <v>46174</v>
      </c>
      <c r="D22" s="37" t="str">
        <f>IFERROR(IF(清单台账!$AE23=1,清单台账!$AC23,""),"")</f>
        <v>合肥荣事达太阳能有限公司</v>
      </c>
      <c r="E22" s="37" t="str">
        <f>IFERROR(IF(清单台账!$AE23=1,清单台账!$AD23,""),"")</f>
        <v>B型5P</v>
      </c>
      <c r="F22" s="37" t="str">
        <f>IFERROR(IF(清单台账!$AE23=1,清单台账!$F23,""),"")</f>
        <v>零件</v>
      </c>
      <c r="G22" s="37" t="str">
        <f>IFERROR(IF(清单台账!$AE23=1,清单台账!$G23,""),"")</f>
        <v>3.2</v>
      </c>
      <c r="H22" s="37" t="str">
        <f>IFERROR(IF(清单台账!$AE23=1,清单台账!$H23,""),"")</f>
        <v>通用件</v>
      </c>
      <c r="I22" s="37" t="str">
        <f>IFERROR(IF(清单台账!$AE23=1,清单台账!$I23,""),"")</f>
        <v/>
      </c>
      <c r="J22" s="37" t="str">
        <f>IFERROR(IF(清单台账!$AE23=1,清单台账!$J23,""),"")</f>
        <v>C001</v>
      </c>
      <c r="K22" s="37">
        <f>IFERROR(IF(清单台账!$AE23=1,清单台账!$K23,""),"")</f>
        <v>0</v>
      </c>
      <c r="L22" s="37" t="str">
        <f>IFERROR(IF(清单台账!$AE23=1,清单台账!$L23,""),"")</f>
        <v>B5机型物料号-10-30-05</v>
      </c>
      <c r="M22" s="37" t="str">
        <f>IFERROR(IF(清单台账!$AE23=1,清单台账!$M23,""),"")</f>
        <v>机架加强板</v>
      </c>
      <c r="N22" s="37">
        <f>IFERROR(IF(清单台账!$AE23=1,清单台账!$N23,""),"")</f>
        <v>0</v>
      </c>
      <c r="O22" s="37" t="str">
        <f>IFERROR(IF(清单台账!$AE23=1,清单台账!$O23,""),"")</f>
        <v>1mm</v>
      </c>
      <c r="P22" s="39">
        <f>IFERROR(IF(清单台账!$AE23=1,清单台账!$P23,""),"")</f>
        <v>0</v>
      </c>
      <c r="Q22" s="39">
        <f>IFERROR(IF(清单台账!$AE23=1,清单台账!$Q23,""),"")</f>
        <v>1</v>
      </c>
      <c r="R22" s="39">
        <f>IFERROR(IF(清单台账!$AE23=1,清单台账!$R23,""),"")</f>
        <v>180</v>
      </c>
      <c r="S22" s="37" t="str">
        <f>IFERROR(IF(清单台账!$AE23=1,清单台账!$S23,""),"")</f>
        <v>件</v>
      </c>
      <c r="T22" s="37" t="str">
        <f>IFERROR(IF(清单台账!$AE23=1,清单台账!$T23,""),"")</f>
        <v>激光切割</v>
      </c>
      <c r="U22" s="37" t="str">
        <f>IFERROR(IF(清单台账!$AE23=1,清单台账!$U23,""),"")</f>
        <v>按父组件需求数量×1</v>
      </c>
      <c r="V22" s="38">
        <f>IFERROR(IF(清单台账!$AE23=1,清单台账!$V23,""),"")</f>
        <v>0</v>
      </c>
      <c r="W22" s="40" t="str">
        <f>IFERROR(IF(清单台账!$AE23=1,清单台账!$W23,""),"")</f>
        <v>旧图</v>
      </c>
      <c r="X22" s="46">
        <f>IF($F22&lt;&gt;"",IFERROR(MAX($X$5:$X21),0)+1,"")</f>
        <v>15</v>
      </c>
    </row>
    <row r="23" spans="1:24">
      <c r="A23" s="36">
        <f>IFERROR(IF(清单台账!$AE24=1,清单台账!$A24,""),"")</f>
        <v>2</v>
      </c>
      <c r="B23" s="37" t="str">
        <f>IFERROR(IF(清单台账!$AE24=1,清单台账!$AA24,""),"")</f>
        <v>RSD-20260601-002</v>
      </c>
      <c r="C23" s="38">
        <f>IFERROR(IF(清单台账!$AE24=1,清单台账!$AB24,""),"")</f>
        <v>46174</v>
      </c>
      <c r="D23" s="37" t="str">
        <f>IFERROR(IF(清单台账!$AE24=1,清单台账!$AC24,""),"")</f>
        <v>合肥荣事达太阳能有限公司</v>
      </c>
      <c r="E23" s="37" t="str">
        <f>IFERROR(IF(清单台账!$AE24=1,清单台账!$AD24,""),"")</f>
        <v>B型5P</v>
      </c>
      <c r="F23" s="37" t="str">
        <f>IFERROR(IF(清单台账!$AE24=1,清单台账!$F24,""),"")</f>
        <v>组件</v>
      </c>
      <c r="G23" s="37">
        <f>IFERROR(IF(清单台账!$AE24=1,清单台账!$G24,""),"")</f>
        <v>4</v>
      </c>
      <c r="H23" s="37" t="str">
        <f>IFERROR(IF(清单台账!$AE24=1,清单台账!$H24,""),"")</f>
        <v>定制件</v>
      </c>
      <c r="I23" s="37" t="str">
        <f>IFERROR(IF(清单台账!$AE24=1,清单台账!$I24,""),"")</f>
        <v>C002</v>
      </c>
      <c r="J23" s="37" t="str">
        <f>IFERROR(IF(清单台账!$AE24=1,清单台账!$J24,""),"")</f>
        <v/>
      </c>
      <c r="K23" s="37" t="str">
        <f>IFERROR(IF(清单台账!$AE24=1,清单台账!$K24,""),"")</f>
        <v>RS103</v>
      </c>
      <c r="L23" s="37" t="str">
        <f>IFERROR(IF(清单台账!$AE24=1,清单台账!$L24,""),"")</f>
        <v>B5机型物料号-10-00</v>
      </c>
      <c r="M23" s="37" t="str">
        <f>IFERROR(IF(清单台账!$AE24=1,清单台账!$M24,""),"")</f>
        <v>底盘组件（激光割）</v>
      </c>
      <c r="N23" s="37">
        <f>IFERROR(IF(清单台账!$AE24=1,清单台账!$N24,""),"")</f>
        <v>0</v>
      </c>
      <c r="O23" s="37" t="str">
        <f>IFERROR(IF(清单台账!$AE24=1,清单台账!$O24,""),"")</f>
        <v>2mm</v>
      </c>
      <c r="P23" s="39">
        <f>IFERROR(IF(清单台账!$AE24=1,清单台账!$P24,""),"")</f>
        <v>16</v>
      </c>
      <c r="Q23" s="39">
        <f>IFERROR(IF(清单台账!$AE24=1,清单台账!$Q24,""),"")</f>
        <v>1</v>
      </c>
      <c r="R23" s="39">
        <f>IFERROR(IF(清单台账!$AE24=1,清单台账!$R24,""),"")</f>
        <v>16</v>
      </c>
      <c r="S23" s="37" t="str">
        <f>IFERROR(IF(清单台账!$AE24=1,清单台账!$S24,""),"")</f>
        <v>套</v>
      </c>
      <c r="T23" s="37" t="str">
        <f>IFERROR(IF(清单台账!$AE24=1,清单台账!$T24,""),"")</f>
        <v>激光切割&gt;焊接&gt;装配</v>
      </c>
      <c r="U23" s="37" t="str">
        <f>IFERROR(IF(清单台账!$AE24=1,清单台账!$U24,""),"")</f>
        <v>点5个电热丝固定卡，割孔，焊螺丝</v>
      </c>
      <c r="V23" s="38">
        <f>IFERROR(IF(清单台账!$AE24=1,清单台账!$V24,""),"")</f>
        <v>45247</v>
      </c>
      <c r="W23" s="40" t="str">
        <f>IFERROR(IF(清单台账!$AE24=1,清单台账!$W24,""),"")</f>
        <v>旧图</v>
      </c>
      <c r="X23" s="46">
        <f>IF($F23&lt;&gt;"",IFERROR(MAX($X$5:$X22),0)+1,"")</f>
        <v>16</v>
      </c>
    </row>
    <row r="24" spans="1:24">
      <c r="A24" s="36">
        <f>IFERROR(IF(清单台账!$AE25=1,清单台账!$A25,""),"")</f>
        <v>2</v>
      </c>
      <c r="B24" s="37" t="str">
        <f>IFERROR(IF(清单台账!$AE25=1,清单台账!$AA25,""),"")</f>
        <v>RSD-20260601-002</v>
      </c>
      <c r="C24" s="38">
        <f>IFERROR(IF(清单台账!$AE25=1,清单台账!$AB25,""),"")</f>
        <v>46174</v>
      </c>
      <c r="D24" s="37" t="str">
        <f>IFERROR(IF(清单台账!$AE25=1,清单台账!$AC25,""),"")</f>
        <v>合肥荣事达太阳能有限公司</v>
      </c>
      <c r="E24" s="37" t="str">
        <f>IFERROR(IF(清单台账!$AE25=1,清单台账!$AD25,""),"")</f>
        <v>B型5P</v>
      </c>
      <c r="F24" s="37" t="str">
        <f>IFERROR(IF(清单台账!$AE25=1,清单台账!$F25,""),"")</f>
        <v>零件</v>
      </c>
      <c r="G24" s="37" t="str">
        <f>IFERROR(IF(清单台账!$AE25=1,清单台账!$G25,""),"")</f>
        <v>4.1</v>
      </c>
      <c r="H24" s="37" t="str">
        <f>IFERROR(IF(清单台账!$AE25=1,清单台账!$H25,""),"")</f>
        <v>定制件</v>
      </c>
      <c r="I24" s="37" t="str">
        <f>IFERROR(IF(清单台账!$AE25=1,清单台账!$I25,""),"")</f>
        <v/>
      </c>
      <c r="J24" s="37" t="str">
        <f>IFERROR(IF(清单台账!$AE25=1,清单台账!$J25,""),"")</f>
        <v>C002</v>
      </c>
      <c r="K24" s="37">
        <f>IFERROR(IF(清单台账!$AE25=1,清单台账!$K25,""),"")</f>
        <v>0</v>
      </c>
      <c r="L24" s="37" t="str">
        <f>IFERROR(IF(清单台账!$AE25=1,清单台账!$L25,""),"")</f>
        <v>B5机型物料号-10-00-A</v>
      </c>
      <c r="M24" s="37" t="str">
        <f>IFERROR(IF(清单台账!$AE25=1,清单台账!$M25,""),"")</f>
        <v>底盘板</v>
      </c>
      <c r="N24" s="37">
        <f>IFERROR(IF(清单台账!$AE25=1,清单台账!$N25,""),"")</f>
        <v>0</v>
      </c>
      <c r="O24" s="37" t="str">
        <f>IFERROR(IF(清单台账!$AE25=1,清单台账!$O25,""),"")</f>
        <v>2mm</v>
      </c>
      <c r="P24" s="39">
        <f>IFERROR(IF(清单台账!$AE25=1,清单台账!$P25,""),"")</f>
        <v>0</v>
      </c>
      <c r="Q24" s="39">
        <f>IFERROR(IF(清单台账!$AE25=1,清单台账!$Q25,""),"")</f>
        <v>2</v>
      </c>
      <c r="R24" s="39">
        <f>IFERROR(IF(清单台账!$AE25=1,清单台账!$R25,""),"")</f>
        <v>32</v>
      </c>
      <c r="S24" s="37" t="str">
        <f>IFERROR(IF(清单台账!$AE25=1,清单台账!$S25,""),"")</f>
        <v>件</v>
      </c>
      <c r="T24" s="37" t="str">
        <f>IFERROR(IF(清单台账!$AE25=1,清单台账!$T25,""),"")</f>
        <v>激光切割</v>
      </c>
      <c r="U24" s="37" t="str">
        <f>IFERROR(IF(清单台账!$AE25=1,清单台账!$U25,""),"")</f>
        <v>按父组件需求数量×2</v>
      </c>
      <c r="V24" s="38">
        <f>IFERROR(IF(清单台账!$AE25=1,清单台账!$V25,""),"")</f>
        <v>0</v>
      </c>
      <c r="W24" s="40" t="str">
        <f>IFERROR(IF(清单台账!$AE25=1,清单台账!$W25,""),"")</f>
        <v>待确认</v>
      </c>
      <c r="X24" s="46">
        <f>IF($F24&lt;&gt;"",IFERROR(MAX($X$5:$X23),0)+1,"")</f>
        <v>17</v>
      </c>
    </row>
    <row r="25" spans="1:24">
      <c r="A25" s="36">
        <f>IFERROR(IF(清单台账!$AE26=1,清单台账!$A26,""),"")</f>
        <v>2</v>
      </c>
      <c r="B25" s="37" t="str">
        <f>IFERROR(IF(清单台账!$AE26=1,清单台账!$AA26,""),"")</f>
        <v>RSD-20260601-002</v>
      </c>
      <c r="C25" s="38">
        <f>IFERROR(IF(清单台账!$AE26=1,清单台账!$AB26,""),"")</f>
        <v>46174</v>
      </c>
      <c r="D25" s="37" t="str">
        <f>IFERROR(IF(清单台账!$AE26=1,清单台账!$AC26,""),"")</f>
        <v>合肥荣事达太阳能有限公司</v>
      </c>
      <c r="E25" s="37" t="str">
        <f>IFERROR(IF(清单台账!$AE26=1,清单台账!$AD26,""),"")</f>
        <v>B型5P</v>
      </c>
      <c r="F25" s="37" t="str">
        <f>IFERROR(IF(清单台账!$AE26=1,清单台账!$F26,""),"")</f>
        <v>零件</v>
      </c>
      <c r="G25" s="37" t="str">
        <f>IFERROR(IF(清单台账!$AE26=1,清单台账!$G26,""),"")</f>
        <v>4.2</v>
      </c>
      <c r="H25" s="37" t="str">
        <f>IFERROR(IF(清单台账!$AE26=1,清单台账!$H26,""),"")</f>
        <v>定制件</v>
      </c>
      <c r="I25" s="37" t="str">
        <f>IFERROR(IF(清单台账!$AE26=1,清单台账!$I26,""),"")</f>
        <v/>
      </c>
      <c r="J25" s="37" t="str">
        <f>IFERROR(IF(清单台账!$AE26=1,清单台账!$J26,""),"")</f>
        <v>C002</v>
      </c>
      <c r="K25" s="37">
        <f>IFERROR(IF(清单台账!$AE26=1,清单台账!$K26,""),"")</f>
        <v>0</v>
      </c>
      <c r="L25" s="37" t="str">
        <f>IFERROR(IF(清单台账!$AE26=1,清单台账!$L26,""),"")</f>
        <v>B5机型物料号-10-00-B</v>
      </c>
      <c r="M25" s="37" t="str">
        <f>IFERROR(IF(清单台账!$AE26=1,清单台账!$M26,""),"")</f>
        <v>底盘加强片</v>
      </c>
      <c r="N25" s="37">
        <f>IFERROR(IF(清单台账!$AE26=1,清单台账!$N26,""),"")</f>
        <v>0</v>
      </c>
      <c r="O25" s="37" t="str">
        <f>IFERROR(IF(清单台账!$AE26=1,清单台账!$O26,""),"")</f>
        <v>1.5mm</v>
      </c>
      <c r="P25" s="39">
        <f>IFERROR(IF(清单台账!$AE26=1,清单台账!$P26,""),"")</f>
        <v>0</v>
      </c>
      <c r="Q25" s="39">
        <f>IFERROR(IF(清单台账!$AE26=1,清单台账!$Q26,""),"")</f>
        <v>2</v>
      </c>
      <c r="R25" s="39">
        <f>IFERROR(IF(清单台账!$AE26=1,清单台账!$R26,""),"")</f>
        <v>32</v>
      </c>
      <c r="S25" s="37" t="str">
        <f>IFERROR(IF(清单台账!$AE26=1,清单台账!$S26,""),"")</f>
        <v>件</v>
      </c>
      <c r="T25" s="37" t="str">
        <f>IFERROR(IF(清单台账!$AE26=1,清单台账!$T26,""),"")</f>
        <v>激光切割&gt;折弯</v>
      </c>
      <c r="U25" s="37" t="str">
        <f>IFERROR(IF(清单台账!$AE26=1,清单台账!$U26,""),"")</f>
        <v>按父组件需求数量×2</v>
      </c>
      <c r="V25" s="38">
        <f>IFERROR(IF(清单台账!$AE26=1,清单台账!$V26,""),"")</f>
        <v>0</v>
      </c>
      <c r="W25" s="40" t="str">
        <f>IFERROR(IF(清单台账!$AE26=1,清单台账!$W26,""),"")</f>
        <v>待确认</v>
      </c>
      <c r="X25" s="46">
        <f>IF($F25&lt;&gt;"",IFERROR(MAX($X$5:$X24),0)+1,"")</f>
        <v>18</v>
      </c>
    </row>
    <row r="26" spans="1:24">
      <c r="A26" s="36">
        <f>IFERROR(IF(清单台账!$AE27=1,清单台账!$A27,""),"")</f>
        <v>2</v>
      </c>
      <c r="B26" s="37" t="str">
        <f>IFERROR(IF(清单台账!$AE27=1,清单台账!$AA27,""),"")</f>
        <v>RSD-20260601-002</v>
      </c>
      <c r="C26" s="38">
        <f>IFERROR(IF(清单台账!$AE27=1,清单台账!$AB27,""),"")</f>
        <v>46174</v>
      </c>
      <c r="D26" s="37" t="str">
        <f>IFERROR(IF(清单台账!$AE27=1,清单台账!$AC27,""),"")</f>
        <v>合肥荣事达太阳能有限公司</v>
      </c>
      <c r="E26" s="37" t="str">
        <f>IFERROR(IF(清单台账!$AE27=1,清单台账!$AD27,""),"")</f>
        <v>B型5P</v>
      </c>
      <c r="F26" s="37" t="str">
        <f>IFERROR(IF(清单台账!$AE27=1,清单台账!$F27,""),"")</f>
        <v>零件</v>
      </c>
      <c r="G26" s="37">
        <f>IFERROR(IF(清单台账!$AE27=1,清单台账!$G27,""),"")</f>
        <v>5</v>
      </c>
      <c r="H26" s="37" t="str">
        <f>IFERROR(IF(清单台账!$AE27=1,清单台账!$H27,""),"")</f>
        <v>外协件</v>
      </c>
      <c r="I26" s="37" t="str">
        <f>IFERROR(IF(清单台账!$AE27=1,清单台账!$I27,""),"")</f>
        <v/>
      </c>
      <c r="J26" s="37" t="str">
        <f>IFERROR(IF(清单台账!$AE27=1,清单台账!$J27,""),"")</f>
        <v/>
      </c>
      <c r="K26" s="37" t="str">
        <f>IFERROR(IF(清单台账!$AE27=1,清单台账!$K27,""),"")</f>
        <v>RS107023</v>
      </c>
      <c r="L26" s="37" t="str">
        <f>IFERROR(IF(清单台账!$AE27=1,清单台账!$L27,""),"")</f>
        <v>B5机型物料号-10-04</v>
      </c>
      <c r="M26" s="37" t="str">
        <f>IFERROR(IF(清单台账!$AE27=1,清单台账!$M27,""),"")</f>
        <v>网罩</v>
      </c>
      <c r="N26" s="37">
        <f>IFERROR(IF(清单台账!$AE27=1,清单台账!$N27,""),"")</f>
        <v>0</v>
      </c>
      <c r="O26" s="37">
        <f>IFERROR(IF(清单台账!$AE27=1,清单台账!$O27,""),"")</f>
        <v>0</v>
      </c>
      <c r="P26" s="39">
        <f>IFERROR(IF(清单台账!$AE27=1,清单台账!$P27,""),"")</f>
        <v>32</v>
      </c>
      <c r="Q26" s="39">
        <f>IFERROR(IF(清单台账!$AE27=1,清单台账!$Q27,""),"")</f>
        <v>0</v>
      </c>
      <c r="R26" s="39">
        <f>IFERROR(IF(清单台账!$AE27=1,清单台账!$R27,""),"")</f>
        <v>32</v>
      </c>
      <c r="S26" s="37" t="str">
        <f>IFERROR(IF(清单台账!$AE27=1,清单台账!$S27,""),"")</f>
        <v>件</v>
      </c>
      <c r="T26" s="37">
        <f>IFERROR(IF(清单台账!$AE27=1,清单台账!$T27,""),"")</f>
        <v>0</v>
      </c>
      <c r="U26" s="37" t="str">
        <f>IFERROR(IF(清单台账!$AE27=1,清单台账!$U27,""),"")</f>
        <v>钢丝网</v>
      </c>
      <c r="V26" s="38">
        <f>IFERROR(IF(清单台账!$AE27=1,清单台账!$V27,""),"")</f>
        <v>0</v>
      </c>
      <c r="W26" s="40" t="str">
        <f>IFERROR(IF(清单台账!$AE27=1,清单台账!$W27,""),"")</f>
        <v>旧图</v>
      </c>
      <c r="X26" s="46">
        <f>IF($F26&lt;&gt;"",IFERROR(MAX($X$5:$X25),0)+1,"")</f>
        <v>19</v>
      </c>
    </row>
    <row r="27" spans="1:24">
      <c r="A27" s="36" t="str">
        <f>IFERROR(IF(清单台账!$AE28=1,清单台账!$A28,""),"")</f>
        <v/>
      </c>
      <c r="B27" s="37" t="str">
        <f>IFERROR(IF(清单台账!$AE28=1,清单台账!$AA28,""),"")</f>
        <v/>
      </c>
      <c r="C27" s="38" t="str">
        <f>IFERROR(IF(清单台账!$AE28=1,清单台账!$AB28,""),"")</f>
        <v/>
      </c>
      <c r="D27" s="37" t="str">
        <f>IFERROR(IF(清单台账!$AE28=1,清单台账!$AC28,""),"")</f>
        <v/>
      </c>
      <c r="E27" s="37" t="str">
        <f>IFERROR(IF(清单台账!$AE28=1,清单台账!$AD28,""),"")</f>
        <v/>
      </c>
      <c r="F27" s="37" t="str">
        <f>IFERROR(IF(清单台账!$AE28=1,清单台账!$F28,""),"")</f>
        <v/>
      </c>
      <c r="G27" s="37" t="str">
        <f>IFERROR(IF(清单台账!$AE28=1,清单台账!$G28,""),"")</f>
        <v/>
      </c>
      <c r="H27" s="37" t="str">
        <f>IFERROR(IF(清单台账!$AE28=1,清单台账!$H28,""),"")</f>
        <v/>
      </c>
      <c r="I27" s="37" t="str">
        <f>IFERROR(IF(清单台账!$AE28=1,清单台账!$I28,""),"")</f>
        <v/>
      </c>
      <c r="J27" s="37" t="str">
        <f>IFERROR(IF(清单台账!$AE28=1,清单台账!$J28,""),"")</f>
        <v/>
      </c>
      <c r="K27" s="37" t="str">
        <f>IFERROR(IF(清单台账!$AE28=1,清单台账!$K28,""),"")</f>
        <v/>
      </c>
      <c r="L27" s="37" t="str">
        <f>IFERROR(IF(清单台账!$AE28=1,清单台账!$L28,""),"")</f>
        <v/>
      </c>
      <c r="M27" s="37" t="str">
        <f>IFERROR(IF(清单台账!$AE28=1,清单台账!$M28,""),"")</f>
        <v/>
      </c>
      <c r="N27" s="37" t="str">
        <f>IFERROR(IF(清单台账!$AE28=1,清单台账!$N28,""),"")</f>
        <v/>
      </c>
      <c r="O27" s="37" t="str">
        <f>IFERROR(IF(清单台账!$AE28=1,清单台账!$O28,""),"")</f>
        <v/>
      </c>
      <c r="P27" s="39" t="str">
        <f>IFERROR(IF(清单台账!$AE28=1,清单台账!$P28,""),"")</f>
        <v/>
      </c>
      <c r="Q27" s="39" t="str">
        <f>IFERROR(IF(清单台账!$AE28=1,清单台账!$Q28,""),"")</f>
        <v/>
      </c>
      <c r="R27" s="39" t="str">
        <f>IFERROR(IF(清单台账!$AE28=1,清单台账!$R28,""),"")</f>
        <v/>
      </c>
      <c r="S27" s="37" t="str">
        <f>IFERROR(IF(清单台账!$AE28=1,清单台账!$S28,""),"")</f>
        <v/>
      </c>
      <c r="T27" s="37" t="str">
        <f>IFERROR(IF(清单台账!$AE28=1,清单台账!$T28,""),"")</f>
        <v/>
      </c>
      <c r="U27" s="37" t="str">
        <f>IFERROR(IF(清单台账!$AE28=1,清单台账!$U28,""),"")</f>
        <v/>
      </c>
      <c r="V27" s="38" t="str">
        <f>IFERROR(IF(清单台账!$AE28=1,清单台账!$V28,""),"")</f>
        <v/>
      </c>
      <c r="W27" s="40" t="str">
        <f>IFERROR(IF(清单台账!$AE28=1,清单台账!$W28,""),"")</f>
        <v/>
      </c>
      <c r="X27" s="46" t="str">
        <f>IF($F27&lt;&gt;"",IFERROR(MAX($X$5:$X26),0)+1,"")</f>
        <v/>
      </c>
    </row>
    <row r="28" spans="1:24">
      <c r="A28" s="36" t="str">
        <f>IFERROR(IF(清单台账!$AE29=1,清单台账!$A29,""),"")</f>
        <v/>
      </c>
      <c r="B28" s="37" t="str">
        <f>IFERROR(IF(清单台账!$AE29=1,清单台账!$AA29,""),"")</f>
        <v/>
      </c>
      <c r="C28" s="38" t="str">
        <f>IFERROR(IF(清单台账!$AE29=1,清单台账!$AB29,""),"")</f>
        <v/>
      </c>
      <c r="D28" s="37" t="str">
        <f>IFERROR(IF(清单台账!$AE29=1,清单台账!$AC29,""),"")</f>
        <v/>
      </c>
      <c r="E28" s="37" t="str">
        <f>IFERROR(IF(清单台账!$AE29=1,清单台账!$AD29,""),"")</f>
        <v/>
      </c>
      <c r="F28" s="37" t="str">
        <f>IFERROR(IF(清单台账!$AE29=1,清单台账!$F29,""),"")</f>
        <v/>
      </c>
      <c r="G28" s="37" t="str">
        <f>IFERROR(IF(清单台账!$AE29=1,清单台账!$G29,""),"")</f>
        <v/>
      </c>
      <c r="H28" s="37" t="str">
        <f>IFERROR(IF(清单台账!$AE29=1,清单台账!$H29,""),"")</f>
        <v/>
      </c>
      <c r="I28" s="37" t="str">
        <f>IFERROR(IF(清单台账!$AE29=1,清单台账!$I29,""),"")</f>
        <v/>
      </c>
      <c r="J28" s="37" t="str">
        <f>IFERROR(IF(清单台账!$AE29=1,清单台账!$J29,""),"")</f>
        <v/>
      </c>
      <c r="K28" s="37" t="str">
        <f>IFERROR(IF(清单台账!$AE29=1,清单台账!$K29,""),"")</f>
        <v/>
      </c>
      <c r="L28" s="37" t="str">
        <f>IFERROR(IF(清单台账!$AE29=1,清单台账!$L29,""),"")</f>
        <v/>
      </c>
      <c r="M28" s="37" t="str">
        <f>IFERROR(IF(清单台账!$AE29=1,清单台账!$M29,""),"")</f>
        <v/>
      </c>
      <c r="N28" s="37" t="str">
        <f>IFERROR(IF(清单台账!$AE29=1,清单台账!$N29,""),"")</f>
        <v/>
      </c>
      <c r="O28" s="37" t="str">
        <f>IFERROR(IF(清单台账!$AE29=1,清单台账!$O29,""),"")</f>
        <v/>
      </c>
      <c r="P28" s="39" t="str">
        <f>IFERROR(IF(清单台账!$AE29=1,清单台账!$P29,""),"")</f>
        <v/>
      </c>
      <c r="Q28" s="39" t="str">
        <f>IFERROR(IF(清单台账!$AE29=1,清单台账!$Q29,""),"")</f>
        <v/>
      </c>
      <c r="R28" s="39" t="str">
        <f>IFERROR(IF(清单台账!$AE29=1,清单台账!$R29,""),"")</f>
        <v/>
      </c>
      <c r="S28" s="37" t="str">
        <f>IFERROR(IF(清单台账!$AE29=1,清单台账!$S29,""),"")</f>
        <v/>
      </c>
      <c r="T28" s="37" t="str">
        <f>IFERROR(IF(清单台账!$AE29=1,清单台账!$T29,""),"")</f>
        <v/>
      </c>
      <c r="U28" s="37" t="str">
        <f>IFERROR(IF(清单台账!$AE29=1,清单台账!$U29,""),"")</f>
        <v/>
      </c>
      <c r="V28" s="38" t="str">
        <f>IFERROR(IF(清单台账!$AE29=1,清单台账!$V29,""),"")</f>
        <v/>
      </c>
      <c r="W28" s="40" t="str">
        <f>IFERROR(IF(清单台账!$AE29=1,清单台账!$W29,""),"")</f>
        <v/>
      </c>
      <c r="X28" s="46" t="str">
        <f>IF($F28&lt;&gt;"",IFERROR(MAX($X$5:$X27),0)+1,"")</f>
        <v/>
      </c>
    </row>
    <row r="29" spans="1:24">
      <c r="A29" s="36">
        <f>IFERROR(IF(清单台账!$AE30=1,清单台账!$A30,""),"")</f>
        <v>3</v>
      </c>
      <c r="B29" s="37" t="str">
        <f>IFERROR(IF(清单台账!$AE30=1,清单台账!$AA30,""),"")</f>
        <v>RSD-20260615-003</v>
      </c>
      <c r="C29" s="38">
        <f>IFERROR(IF(清单台账!$AE30=1,清单台账!$AB30,""),"")</f>
        <v>46188</v>
      </c>
      <c r="D29" s="37" t="str">
        <f>IFERROR(IF(清单台账!$AE30=1,清单台账!$AC30,""),"")</f>
        <v>合肥荣事达太阳能有限公司</v>
      </c>
      <c r="E29" s="37" t="str">
        <f>IFERROR(IF(清单台账!$AE30=1,清单台账!$AD30,""),"")</f>
        <v>D型8P</v>
      </c>
      <c r="F29" s="37" t="str">
        <f>IFERROR(IF(清单台账!$AE30=1,清单台账!$F30,""),"")</f>
        <v>零件</v>
      </c>
      <c r="G29" s="37">
        <f>IFERROR(IF(清单台账!$AE30=1,清单台账!$G30,""),"")</f>
        <v>1</v>
      </c>
      <c r="H29" s="37" t="str">
        <f>IFERROR(IF(清单台账!$AE30=1,清单台账!$H30,""),"")</f>
        <v>通用件</v>
      </c>
      <c r="I29" s="37" t="str">
        <f>IFERROR(IF(清单台账!$AE30=1,清单台账!$I30,""),"")</f>
        <v/>
      </c>
      <c r="J29" s="37" t="str">
        <f>IFERROR(IF(清单台账!$AE30=1,清单台账!$J30,""),"")</f>
        <v/>
      </c>
      <c r="K29" s="37" t="str">
        <f>IFERROR(IF(清单台账!$AE30=1,清单台账!$K30,""),"")</f>
        <v>RS20703010033</v>
      </c>
      <c r="L29" s="37" t="str">
        <f>IFERROR(IF(清单台账!$AE30=1,清单台账!$L30,""),"")</f>
        <v>D8-10-50-01</v>
      </c>
      <c r="M29" s="37" t="str">
        <f>IFERROR(IF(清单台账!$AE30=1,清单台账!$M30,""),"")</f>
        <v>顶盖</v>
      </c>
      <c r="N29" s="37">
        <f>IFERROR(IF(清单台账!$AE30=1,清单台账!$N30,""),"")</f>
        <v>0</v>
      </c>
      <c r="O29" s="37" t="str">
        <f>IFERROR(IF(清单台账!$AE30=1,清单台账!$O30,""),"")</f>
        <v>1mm</v>
      </c>
      <c r="P29" s="39">
        <f>IFERROR(IF(清单台账!$AE30=1,清单台账!$P30,""),"")</f>
        <v>8</v>
      </c>
      <c r="Q29" s="39">
        <f>IFERROR(IF(清单台账!$AE30=1,清单台账!$Q30,""),"")</f>
        <v>0</v>
      </c>
      <c r="R29" s="39">
        <f>IFERROR(IF(清单台账!$AE30=1,清单台账!$R30,""),"")</f>
        <v>8</v>
      </c>
      <c r="S29" s="37" t="str">
        <f>IFERROR(IF(清单台账!$AE30=1,清单台账!$S30,""),"")</f>
        <v>件</v>
      </c>
      <c r="T29" s="37">
        <f>IFERROR(IF(清单台账!$AE30=1,清单台账!$T30,""),"")</f>
        <v>0</v>
      </c>
      <c r="U29" s="37" t="str">
        <f>IFERROR(IF(清单台账!$AE30=1,清单台账!$U30,""),"")</f>
        <v>样机款</v>
      </c>
      <c r="V29" s="38">
        <f>IFERROR(IF(清单台账!$AE30=1,清单台账!$V30,""),"")</f>
        <v>0</v>
      </c>
      <c r="W29" s="40" t="str">
        <f>IFERROR(IF(清单台账!$AE30=1,清单台账!$W30,""),"")</f>
        <v>新图</v>
      </c>
      <c r="X29" s="46">
        <f>IF($F29&lt;&gt;"",IFERROR(MAX($X$5:$X28),0)+1,"")</f>
        <v>20</v>
      </c>
    </row>
    <row r="30" spans="1:24">
      <c r="A30" s="36">
        <f>IFERROR(IF(清单台账!$AE31=1,清单台账!$A31,""),"")</f>
        <v>3</v>
      </c>
      <c r="B30" s="37" t="str">
        <f>IFERROR(IF(清单台账!$AE31=1,清单台账!$AA31,""),"")</f>
        <v>RSD-20260615-003</v>
      </c>
      <c r="C30" s="38">
        <f>IFERROR(IF(清单台账!$AE31=1,清单台账!$AB31,""),"")</f>
        <v>46188</v>
      </c>
      <c r="D30" s="37" t="str">
        <f>IFERROR(IF(清单台账!$AE31=1,清单台账!$AC31,""),"")</f>
        <v>合肥荣事达太阳能有限公司</v>
      </c>
      <c r="E30" s="37" t="str">
        <f>IFERROR(IF(清单台账!$AE31=1,清单台账!$AD31,""),"")</f>
        <v>D型8P</v>
      </c>
      <c r="F30" s="37" t="str">
        <f>IFERROR(IF(清单台账!$AE31=1,清单台账!$F31,""),"")</f>
        <v>组件</v>
      </c>
      <c r="G30" s="37">
        <f>IFERROR(IF(清单台账!$AE31=1,清单台账!$G31,""),"")</f>
        <v>2</v>
      </c>
      <c r="H30" s="37" t="str">
        <f>IFERROR(IF(清单台账!$AE31=1,清单台账!$H31,""),"")</f>
        <v>通用件</v>
      </c>
      <c r="I30" s="37" t="str">
        <f>IFERROR(IF(清单台账!$AE31=1,清单台账!$I31,""),"")</f>
        <v>C001</v>
      </c>
      <c r="J30" s="37" t="str">
        <f>IFERROR(IF(清单台账!$AE31=1,清单台账!$J31,""),"")</f>
        <v/>
      </c>
      <c r="K30" s="37" t="str">
        <f>IFERROR(IF(清单台账!$AE31=1,清单台账!$K31,""),"")</f>
        <v>RS20701020216</v>
      </c>
      <c r="L30" s="37" t="str">
        <f>IFERROR(IF(清单台账!$AE31=1,清单台账!$L31,""),"")</f>
        <v>D8-10-30</v>
      </c>
      <c r="M30" s="37" t="str">
        <f>IFERROR(IF(清单台账!$AE31=1,清单台账!$M31,""),"")</f>
        <v>电控支架组件</v>
      </c>
      <c r="N30" s="37">
        <f>IFERROR(IF(清单台账!$AE31=1,清单台账!$N31,""),"")</f>
        <v>0</v>
      </c>
      <c r="O30" s="37" t="str">
        <f>IFERROR(IF(清单台账!$AE31=1,清单台账!$O31,""),"")</f>
        <v>2mm</v>
      </c>
      <c r="P30" s="39">
        <f>IFERROR(IF(清单台账!$AE31=1,清单台账!$P31,""),"")</f>
        <v>8</v>
      </c>
      <c r="Q30" s="39">
        <f>IFERROR(IF(清单台账!$AE31=1,清单台账!$Q31,""),"")</f>
        <v>1</v>
      </c>
      <c r="R30" s="39">
        <f>IFERROR(IF(清单台账!$AE31=1,清单台账!$R31,""),"")</f>
        <v>8</v>
      </c>
      <c r="S30" s="37" t="str">
        <f>IFERROR(IF(清单台账!$AE31=1,清单台账!$S31,""),"")</f>
        <v>套</v>
      </c>
      <c r="T30" s="37" t="str">
        <f>IFERROR(IF(清单台账!$AE31=1,清单台账!$T31,""),"")</f>
        <v>装配</v>
      </c>
      <c r="U30" s="37" t="str">
        <f>IFERROR(IF(清单台账!$AE31=1,清单台账!$U31,""),"")</f>
        <v>螺丝组装</v>
      </c>
      <c r="V30" s="38">
        <f>IFERROR(IF(清单台账!$AE31=1,清单台账!$V31,""),"")</f>
        <v>46188</v>
      </c>
      <c r="W30" s="40" t="str">
        <f>IFERROR(IF(清单台账!$AE31=1,清单台账!$W31,""),"")</f>
        <v>新图</v>
      </c>
      <c r="X30" s="46">
        <f>IF($F30&lt;&gt;"",IFERROR(MAX($X$5:$X29),0)+1,"")</f>
        <v>21</v>
      </c>
    </row>
    <row r="31" spans="1:24">
      <c r="A31" s="36">
        <f>IFERROR(IF(清单台账!$AE32=1,清单台账!$A32,""),"")</f>
        <v>3</v>
      </c>
      <c r="B31" s="37" t="str">
        <f>IFERROR(IF(清单台账!$AE32=1,清单台账!$AA32,""),"")</f>
        <v>RSD-20260615-003</v>
      </c>
      <c r="C31" s="38">
        <f>IFERROR(IF(清单台账!$AE32=1,清单台账!$AB32,""),"")</f>
        <v>46188</v>
      </c>
      <c r="D31" s="37" t="str">
        <f>IFERROR(IF(清单台账!$AE32=1,清单台账!$AC32,""),"")</f>
        <v>合肥荣事达太阳能有限公司</v>
      </c>
      <c r="E31" s="37" t="str">
        <f>IFERROR(IF(清单台账!$AE32=1,清单台账!$AD32,""),"")</f>
        <v>D型8P</v>
      </c>
      <c r="F31" s="37" t="str">
        <f>IFERROR(IF(清单台账!$AE32=1,清单台账!$F32,""),"")</f>
        <v>零件</v>
      </c>
      <c r="G31" s="37" t="str">
        <f>IFERROR(IF(清单台账!$AE32=1,清单台账!$G32,""),"")</f>
        <v>2.1</v>
      </c>
      <c r="H31" s="37" t="str">
        <f>IFERROR(IF(清单台账!$AE32=1,清单台账!$H32,""),"")</f>
        <v>通用件</v>
      </c>
      <c r="I31" s="37" t="str">
        <f>IFERROR(IF(清单台账!$AE32=1,清单台账!$I32,""),"")</f>
        <v/>
      </c>
      <c r="J31" s="37" t="str">
        <f>IFERROR(IF(清单台账!$AE32=1,清单台账!$J32,""),"")</f>
        <v>C001</v>
      </c>
      <c r="K31" s="37">
        <f>IFERROR(IF(清单台账!$AE32=1,清单台账!$K32,""),"")</f>
        <v>0</v>
      </c>
      <c r="L31" s="37" t="str">
        <f>IFERROR(IF(清单台账!$AE32=1,清单台账!$L32,""),"")</f>
        <v>D8-10-30-A</v>
      </c>
      <c r="M31" s="37" t="str">
        <f>IFERROR(IF(清单台账!$AE32=1,清单台账!$M32,""),"")</f>
        <v>支架主板</v>
      </c>
      <c r="N31" s="37">
        <f>IFERROR(IF(清单台账!$AE32=1,清单台账!$N32,""),"")</f>
        <v>0</v>
      </c>
      <c r="O31" s="37" t="str">
        <f>IFERROR(IF(清单台账!$AE32=1,清单台账!$O32,""),"")</f>
        <v>2mm</v>
      </c>
      <c r="P31" s="39">
        <f>IFERROR(IF(清单台账!$AE32=1,清单台账!$P32,""),"")</f>
        <v>0</v>
      </c>
      <c r="Q31" s="39">
        <f>IFERROR(IF(清单台账!$AE32=1,清单台账!$Q32,""),"")</f>
        <v>1</v>
      </c>
      <c r="R31" s="39">
        <f>IFERROR(IF(清单台账!$AE32=1,清单台账!$R32,""),"")</f>
        <v>8</v>
      </c>
      <c r="S31" s="37" t="str">
        <f>IFERROR(IF(清单台账!$AE32=1,清单台账!$S32,""),"")</f>
        <v>件</v>
      </c>
      <c r="T31" s="37" t="str">
        <f>IFERROR(IF(清单台账!$AE32=1,清单台账!$T32,""),"")</f>
        <v>激光切割&gt;折弯</v>
      </c>
      <c r="U31" s="37" t="str">
        <f>IFERROR(IF(清单台账!$AE32=1,清单台账!$U32,""),"")</f>
        <v>组件 C001 的子件</v>
      </c>
      <c r="V31" s="38">
        <f>IFERROR(IF(清单台账!$AE32=1,清单台账!$V32,""),"")</f>
        <v>46188</v>
      </c>
      <c r="W31" s="40" t="str">
        <f>IFERROR(IF(清单台账!$AE32=1,清单台账!$W32,""),"")</f>
        <v>新图</v>
      </c>
      <c r="X31" s="46">
        <f>IF($F31&lt;&gt;"",IFERROR(MAX($X$5:$X30),0)+1,"")</f>
        <v>22</v>
      </c>
    </row>
    <row r="32" spans="1:24">
      <c r="A32" s="36">
        <f>IFERROR(IF(清单台账!$AE33=1,清单台账!$A33,""),"")</f>
        <v>3</v>
      </c>
      <c r="B32" s="37" t="str">
        <f>IFERROR(IF(清单台账!$AE33=1,清单台账!$AA33,""),"")</f>
        <v>RSD-20260615-003</v>
      </c>
      <c r="C32" s="38">
        <f>IFERROR(IF(清单台账!$AE33=1,清单台账!$AB33,""),"")</f>
        <v>46188</v>
      </c>
      <c r="D32" s="37" t="str">
        <f>IFERROR(IF(清单台账!$AE33=1,清单台账!$AC33,""),"")</f>
        <v>合肥荣事达太阳能有限公司</v>
      </c>
      <c r="E32" s="37" t="str">
        <f>IFERROR(IF(清单台账!$AE33=1,清单台账!$AD33,""),"")</f>
        <v>D型8P</v>
      </c>
      <c r="F32" s="37" t="str">
        <f>IFERROR(IF(清单台账!$AE33=1,清单台账!$F33,""),"")</f>
        <v>零件</v>
      </c>
      <c r="G32" s="37" t="str">
        <f>IFERROR(IF(清单台账!$AE33=1,清单台账!$G33,""),"")</f>
        <v>2.2</v>
      </c>
      <c r="H32" s="37" t="str">
        <f>IFERROR(IF(清单台账!$AE33=1,清单台账!$H33,""),"")</f>
        <v>通用件</v>
      </c>
      <c r="I32" s="37" t="str">
        <f>IFERROR(IF(清单台账!$AE33=1,清单台账!$I33,""),"")</f>
        <v/>
      </c>
      <c r="J32" s="37" t="str">
        <f>IFERROR(IF(清单台账!$AE33=1,清单台账!$J33,""),"")</f>
        <v>C001</v>
      </c>
      <c r="K32" s="37">
        <f>IFERROR(IF(清单台账!$AE33=1,清单台账!$K33,""),"")</f>
        <v>0</v>
      </c>
      <c r="L32" s="37" t="str">
        <f>IFERROR(IF(清单台账!$AE33=1,清单台账!$L33,""),"")</f>
        <v>D8-10-30-B</v>
      </c>
      <c r="M32" s="37" t="str">
        <f>IFERROR(IF(清单台账!$AE33=1,清单台账!$M33,""),"")</f>
        <v>支架加强片</v>
      </c>
      <c r="N32" s="37">
        <f>IFERROR(IF(清单台账!$AE33=1,清单台账!$N33,""),"")</f>
        <v>0</v>
      </c>
      <c r="O32" s="37" t="str">
        <f>IFERROR(IF(清单台账!$AE33=1,清单台账!$O33,""),"")</f>
        <v>1.5mm</v>
      </c>
      <c r="P32" s="39">
        <f>IFERROR(IF(清单台账!$AE33=1,清单台账!$P33,""),"")</f>
        <v>0</v>
      </c>
      <c r="Q32" s="39">
        <f>IFERROR(IF(清单台账!$AE33=1,清单台账!$Q33,""),"")</f>
        <v>2</v>
      </c>
      <c r="R32" s="39">
        <f>IFERROR(IF(清单台账!$AE33=1,清单台账!$R33,""),"")</f>
        <v>16</v>
      </c>
      <c r="S32" s="37" t="str">
        <f>IFERROR(IF(清单台账!$AE33=1,清单台账!$S33,""),"")</f>
        <v>件</v>
      </c>
      <c r="T32" s="37" t="str">
        <f>IFERROR(IF(清单台账!$AE33=1,清单台账!$T33,""),"")</f>
        <v>激光切割</v>
      </c>
      <c r="U32" s="37" t="str">
        <f>IFERROR(IF(清单台账!$AE33=1,清单台账!$U33,""),"")</f>
        <v>每套组件 2 件</v>
      </c>
      <c r="V32" s="38">
        <f>IFERROR(IF(清单台账!$AE33=1,清单台账!$V33,""),"")</f>
        <v>46188</v>
      </c>
      <c r="W32" s="40" t="str">
        <f>IFERROR(IF(清单台账!$AE33=1,清单台账!$W33,""),"")</f>
        <v>新图</v>
      </c>
      <c r="X32" s="46">
        <f>IF($F32&lt;&gt;"",IFERROR(MAX($X$5:$X31),0)+1,"")</f>
        <v>23</v>
      </c>
    </row>
    <row r="33" spans="1:24">
      <c r="A33" s="36">
        <f>IFERROR(IF(清单台账!$AE34=1,清单台账!$A34,""),"")</f>
        <v>3</v>
      </c>
      <c r="B33" s="37" t="str">
        <f>IFERROR(IF(清单台账!$AE34=1,清单台账!$AA34,""),"")</f>
        <v>RSD-20260615-003</v>
      </c>
      <c r="C33" s="38">
        <f>IFERROR(IF(清单台账!$AE34=1,清单台账!$AB34,""),"")</f>
        <v>46188</v>
      </c>
      <c r="D33" s="37" t="str">
        <f>IFERROR(IF(清单台账!$AE34=1,清单台账!$AC34,""),"")</f>
        <v>合肥荣事达太阳能有限公司</v>
      </c>
      <c r="E33" s="37" t="str">
        <f>IFERROR(IF(清单台账!$AE34=1,清单台账!$AD34,""),"")</f>
        <v>D型8P</v>
      </c>
      <c r="F33" s="37" t="str">
        <f>IFERROR(IF(清单台账!$AE34=1,清单台账!$F34,""),"")</f>
        <v>零件</v>
      </c>
      <c r="G33" s="37">
        <f>IFERROR(IF(清单台账!$AE34=1,清单台账!$G34,""),"")</f>
        <v>3</v>
      </c>
      <c r="H33" s="37" t="str">
        <f>IFERROR(IF(清单台账!$AE34=1,清单台账!$H34,""),"")</f>
        <v>外协件</v>
      </c>
      <c r="I33" s="37" t="str">
        <f>IFERROR(IF(清单台账!$AE34=1,清单台账!$I34,""),"")</f>
        <v/>
      </c>
      <c r="J33" s="37" t="str">
        <f>IFERROR(IF(清单台账!$AE34=1,清单台账!$J34,""),"")</f>
        <v/>
      </c>
      <c r="K33" s="37" t="str">
        <f>IFERROR(IF(清单台账!$AE34=1,清单台账!$K34,""),"")</f>
        <v>RS20707010049</v>
      </c>
      <c r="L33" s="37" t="str">
        <f>IFERROR(IF(清单台账!$AE34=1,清单台账!$L34,""),"")</f>
        <v>D8-10-04</v>
      </c>
      <c r="M33" s="37" t="str">
        <f>IFERROR(IF(清单台账!$AE34=1,清单台账!$M34,""),"")</f>
        <v>网罩</v>
      </c>
      <c r="N33" s="37">
        <f>IFERROR(IF(清单台账!$AE34=1,清单台账!$N34,""),"")</f>
        <v>0</v>
      </c>
      <c r="O33" s="37">
        <f>IFERROR(IF(清单台账!$AE34=1,清单台账!$O34,""),"")</f>
        <v>0</v>
      </c>
      <c r="P33" s="39">
        <f>IFERROR(IF(清单台账!$AE34=1,清单台账!$P34,""),"")</f>
        <v>8</v>
      </c>
      <c r="Q33" s="39">
        <f>IFERROR(IF(清单台账!$AE34=1,清单台账!$Q34,""),"")</f>
        <v>0</v>
      </c>
      <c r="R33" s="39">
        <f>IFERROR(IF(清单台账!$AE34=1,清单台账!$R34,""),"")</f>
        <v>8</v>
      </c>
      <c r="S33" s="37" t="str">
        <f>IFERROR(IF(清单台账!$AE34=1,清单台账!$S34,""),"")</f>
        <v>件</v>
      </c>
      <c r="T33" s="37">
        <f>IFERROR(IF(清单台账!$AE34=1,清单台账!$T34,""),"")</f>
        <v>0</v>
      </c>
      <c r="U33" s="37" t="str">
        <f>IFERROR(IF(清单台账!$AE34=1,清单台账!$U34,""),"")</f>
        <v>黑色</v>
      </c>
      <c r="V33" s="38">
        <f>IFERROR(IF(清单台账!$AE34=1,清单台账!$V34,""),"")</f>
        <v>0</v>
      </c>
      <c r="W33" s="40" t="str">
        <f>IFERROR(IF(清单台账!$AE34=1,清单台账!$W34,""),"")</f>
        <v>待确认</v>
      </c>
      <c r="X33" s="46">
        <f>IF($F33&lt;&gt;"",IFERROR(MAX($X$5:$X32),0)+1,"")</f>
        <v>24</v>
      </c>
    </row>
    <row r="34" spans="1:24">
      <c r="A34" s="36" t="str">
        <f>IFERROR(IF(清单台账!$AE35=1,清单台账!$A35,""),"")</f>
        <v/>
      </c>
      <c r="B34" s="37" t="str">
        <f>IFERROR(IF(清单台账!$AE35=1,清单台账!$AA35,""),"")</f>
        <v/>
      </c>
      <c r="C34" s="38" t="str">
        <f>IFERROR(IF(清单台账!$AE35=1,清单台账!$AB35,""),"")</f>
        <v/>
      </c>
      <c r="D34" s="37" t="str">
        <f>IFERROR(IF(清单台账!$AE35=1,清单台账!$AC35,""),"")</f>
        <v/>
      </c>
      <c r="E34" s="37" t="str">
        <f>IFERROR(IF(清单台账!$AE35=1,清单台账!$AD35,""),"")</f>
        <v/>
      </c>
      <c r="F34" s="37" t="str">
        <f>IFERROR(IF(清单台账!$AE35=1,清单台账!$F35,""),"")</f>
        <v/>
      </c>
      <c r="G34" s="37" t="str">
        <f>IFERROR(IF(清单台账!$AE35=1,清单台账!$G35,""),"")</f>
        <v/>
      </c>
      <c r="H34" s="37" t="str">
        <f>IFERROR(IF(清单台账!$AE35=1,清单台账!$H35,""),"")</f>
        <v/>
      </c>
      <c r="I34" s="37" t="str">
        <f>IFERROR(IF(清单台账!$AE35=1,清单台账!$I35,""),"")</f>
        <v/>
      </c>
      <c r="J34" s="37" t="str">
        <f>IFERROR(IF(清单台账!$AE35=1,清单台账!$J35,""),"")</f>
        <v/>
      </c>
      <c r="K34" s="37" t="str">
        <f>IFERROR(IF(清单台账!$AE35=1,清单台账!$K35,""),"")</f>
        <v/>
      </c>
      <c r="L34" s="37" t="str">
        <f>IFERROR(IF(清单台账!$AE35=1,清单台账!$L35,""),"")</f>
        <v/>
      </c>
      <c r="M34" s="37" t="str">
        <f>IFERROR(IF(清单台账!$AE35=1,清单台账!$M35,""),"")</f>
        <v/>
      </c>
      <c r="N34" s="37" t="str">
        <f>IFERROR(IF(清单台账!$AE35=1,清单台账!$N35,""),"")</f>
        <v/>
      </c>
      <c r="O34" s="37" t="str">
        <f>IFERROR(IF(清单台账!$AE35=1,清单台账!$O35,""),"")</f>
        <v/>
      </c>
      <c r="P34" s="39" t="str">
        <f>IFERROR(IF(清单台账!$AE35=1,清单台账!$P35,""),"")</f>
        <v/>
      </c>
      <c r="Q34" s="39" t="str">
        <f>IFERROR(IF(清单台账!$AE35=1,清单台账!$Q35,""),"")</f>
        <v/>
      </c>
      <c r="R34" s="39" t="str">
        <f>IFERROR(IF(清单台账!$AE35=1,清单台账!$R35,""),"")</f>
        <v/>
      </c>
      <c r="S34" s="37" t="str">
        <f>IFERROR(IF(清单台账!$AE35=1,清单台账!$S35,""),"")</f>
        <v/>
      </c>
      <c r="T34" s="37" t="str">
        <f>IFERROR(IF(清单台账!$AE35=1,清单台账!$T35,""),"")</f>
        <v/>
      </c>
      <c r="U34" s="37" t="str">
        <f>IFERROR(IF(清单台账!$AE35=1,清单台账!$U35,""),"")</f>
        <v/>
      </c>
      <c r="V34" s="38" t="str">
        <f>IFERROR(IF(清单台账!$AE35=1,清单台账!$V35,""),"")</f>
        <v/>
      </c>
      <c r="W34" s="40" t="str">
        <f>IFERROR(IF(清单台账!$AE35=1,清单台账!$W35,""),"")</f>
        <v/>
      </c>
      <c r="X34" s="46" t="str">
        <f>IF($F34&lt;&gt;"",IFERROR(MAX($X$5:$X33),0)+1,"")</f>
        <v/>
      </c>
    </row>
    <row r="35" spans="1:24">
      <c r="A35" s="36" t="str">
        <f>IFERROR(IF(清单台账!$AE36=1,清单台账!$A36,""),"")</f>
        <v/>
      </c>
      <c r="B35" s="37" t="str">
        <f>IFERROR(IF(清单台账!$AE36=1,清单台账!$AA36,""),"")</f>
        <v/>
      </c>
      <c r="C35" s="38" t="str">
        <f>IFERROR(IF(清单台账!$AE36=1,清单台账!$AB36,""),"")</f>
        <v/>
      </c>
      <c r="D35" s="37" t="str">
        <f>IFERROR(IF(清单台账!$AE36=1,清单台账!$AC36,""),"")</f>
        <v/>
      </c>
      <c r="E35" s="37" t="str">
        <f>IFERROR(IF(清单台账!$AE36=1,清单台账!$AD36,""),"")</f>
        <v/>
      </c>
      <c r="F35" s="37" t="str">
        <f>IFERROR(IF(清单台账!$AE36=1,清单台账!$F36,""),"")</f>
        <v/>
      </c>
      <c r="G35" s="37" t="str">
        <f>IFERROR(IF(清单台账!$AE36=1,清单台账!$G36,""),"")</f>
        <v/>
      </c>
      <c r="H35" s="37" t="str">
        <f>IFERROR(IF(清单台账!$AE36=1,清单台账!$H36,""),"")</f>
        <v/>
      </c>
      <c r="I35" s="37" t="str">
        <f>IFERROR(IF(清单台账!$AE36=1,清单台账!$I36,""),"")</f>
        <v/>
      </c>
      <c r="J35" s="37" t="str">
        <f>IFERROR(IF(清单台账!$AE36=1,清单台账!$J36,""),"")</f>
        <v/>
      </c>
      <c r="K35" s="37" t="str">
        <f>IFERROR(IF(清单台账!$AE36=1,清单台账!$K36,""),"")</f>
        <v/>
      </c>
      <c r="L35" s="37" t="str">
        <f>IFERROR(IF(清单台账!$AE36=1,清单台账!$L36,""),"")</f>
        <v/>
      </c>
      <c r="M35" s="37" t="str">
        <f>IFERROR(IF(清单台账!$AE36=1,清单台账!$M36,""),"")</f>
        <v/>
      </c>
      <c r="N35" s="37" t="str">
        <f>IFERROR(IF(清单台账!$AE36=1,清单台账!$N36,""),"")</f>
        <v/>
      </c>
      <c r="O35" s="37" t="str">
        <f>IFERROR(IF(清单台账!$AE36=1,清单台账!$O36,""),"")</f>
        <v/>
      </c>
      <c r="P35" s="39" t="str">
        <f>IFERROR(IF(清单台账!$AE36=1,清单台账!$P36,""),"")</f>
        <v/>
      </c>
      <c r="Q35" s="39" t="str">
        <f>IFERROR(IF(清单台账!$AE36=1,清单台账!$Q36,""),"")</f>
        <v/>
      </c>
      <c r="R35" s="39" t="str">
        <f>IFERROR(IF(清单台账!$AE36=1,清单台账!$R36,""),"")</f>
        <v/>
      </c>
      <c r="S35" s="37" t="str">
        <f>IFERROR(IF(清单台账!$AE36=1,清单台账!$S36,""),"")</f>
        <v/>
      </c>
      <c r="T35" s="37" t="str">
        <f>IFERROR(IF(清单台账!$AE36=1,清单台账!$T36,""),"")</f>
        <v/>
      </c>
      <c r="U35" s="37" t="str">
        <f>IFERROR(IF(清单台账!$AE36=1,清单台账!$U36,""),"")</f>
        <v/>
      </c>
      <c r="V35" s="38" t="str">
        <f>IFERROR(IF(清单台账!$AE36=1,清单台账!$V36,""),"")</f>
        <v/>
      </c>
      <c r="W35" s="40" t="str">
        <f>IFERROR(IF(清单台账!$AE36=1,清单台账!$W36,""),"")</f>
        <v/>
      </c>
      <c r="X35" s="46" t="str">
        <f>IF($F35&lt;&gt;"",IFERROR(MAX($X$5:$X34),0)+1,"")</f>
        <v/>
      </c>
    </row>
    <row r="36" spans="1:24">
      <c r="A36" s="36" t="str">
        <f>IFERROR(IF(清单台账!$AE37=1,清单台账!$A37,""),"")</f>
        <v/>
      </c>
      <c r="B36" s="37" t="str">
        <f>IFERROR(IF(清单台账!$AE37=1,清单台账!$AA37,""),"")</f>
        <v/>
      </c>
      <c r="C36" s="38" t="str">
        <f>IFERROR(IF(清单台账!$AE37=1,清单台账!$AB37,""),"")</f>
        <v/>
      </c>
      <c r="D36" s="37" t="str">
        <f>IFERROR(IF(清单台账!$AE37=1,清单台账!$AC37,""),"")</f>
        <v/>
      </c>
      <c r="E36" s="37" t="str">
        <f>IFERROR(IF(清单台账!$AE37=1,清单台账!$AD37,""),"")</f>
        <v/>
      </c>
      <c r="F36" s="37" t="str">
        <f>IFERROR(IF(清单台账!$AE37=1,清单台账!$F37,""),"")</f>
        <v/>
      </c>
      <c r="G36" s="37" t="str">
        <f>IFERROR(IF(清单台账!$AE37=1,清单台账!$G37,""),"")</f>
        <v/>
      </c>
      <c r="H36" s="37" t="str">
        <f>IFERROR(IF(清单台账!$AE37=1,清单台账!$H37,""),"")</f>
        <v/>
      </c>
      <c r="I36" s="37" t="str">
        <f>IFERROR(IF(清单台账!$AE37=1,清单台账!$I37,""),"")</f>
        <v/>
      </c>
      <c r="J36" s="37" t="str">
        <f>IFERROR(IF(清单台账!$AE37=1,清单台账!$J37,""),"")</f>
        <v/>
      </c>
      <c r="K36" s="37" t="str">
        <f>IFERROR(IF(清单台账!$AE37=1,清单台账!$K37,""),"")</f>
        <v/>
      </c>
      <c r="L36" s="37" t="str">
        <f>IFERROR(IF(清单台账!$AE37=1,清单台账!$L37,""),"")</f>
        <v/>
      </c>
      <c r="M36" s="37" t="str">
        <f>IFERROR(IF(清单台账!$AE37=1,清单台账!$M37,""),"")</f>
        <v/>
      </c>
      <c r="N36" s="37" t="str">
        <f>IFERROR(IF(清单台账!$AE37=1,清单台账!$N37,""),"")</f>
        <v/>
      </c>
      <c r="O36" s="37" t="str">
        <f>IFERROR(IF(清单台账!$AE37=1,清单台账!$O37,""),"")</f>
        <v/>
      </c>
      <c r="P36" s="39" t="str">
        <f>IFERROR(IF(清单台账!$AE37=1,清单台账!$P37,""),"")</f>
        <v/>
      </c>
      <c r="Q36" s="39" t="str">
        <f>IFERROR(IF(清单台账!$AE37=1,清单台账!$Q37,""),"")</f>
        <v/>
      </c>
      <c r="R36" s="39" t="str">
        <f>IFERROR(IF(清单台账!$AE37=1,清单台账!$R37,""),"")</f>
        <v/>
      </c>
      <c r="S36" s="37" t="str">
        <f>IFERROR(IF(清单台账!$AE37=1,清单台账!$S37,""),"")</f>
        <v/>
      </c>
      <c r="T36" s="37" t="str">
        <f>IFERROR(IF(清单台账!$AE37=1,清单台账!$T37,""),"")</f>
        <v/>
      </c>
      <c r="U36" s="37" t="str">
        <f>IFERROR(IF(清单台账!$AE37=1,清单台账!$U37,""),"")</f>
        <v/>
      </c>
      <c r="V36" s="38" t="str">
        <f>IFERROR(IF(清单台账!$AE37=1,清单台账!$V37,""),"")</f>
        <v/>
      </c>
      <c r="W36" s="40" t="str">
        <f>IFERROR(IF(清单台账!$AE37=1,清单台账!$W37,""),"")</f>
        <v/>
      </c>
      <c r="X36" s="46" t="str">
        <f>IF($F36&lt;&gt;"",IFERROR(MAX($X$5:$X35),0)+1,"")</f>
        <v/>
      </c>
    </row>
    <row r="37" spans="1:24">
      <c r="A37" s="36" t="str">
        <f>IFERROR(IF(清单台账!$AE38=1,清单台账!$A38,""),"")</f>
        <v/>
      </c>
      <c r="B37" s="37" t="str">
        <f>IFERROR(IF(清单台账!$AE38=1,清单台账!$AA38,""),"")</f>
        <v/>
      </c>
      <c r="C37" s="38" t="str">
        <f>IFERROR(IF(清单台账!$AE38=1,清单台账!$AB38,""),"")</f>
        <v/>
      </c>
      <c r="D37" s="37" t="str">
        <f>IFERROR(IF(清单台账!$AE38=1,清单台账!$AC38,""),"")</f>
        <v/>
      </c>
      <c r="E37" s="37" t="str">
        <f>IFERROR(IF(清单台账!$AE38=1,清单台账!$AD38,""),"")</f>
        <v/>
      </c>
      <c r="F37" s="37" t="str">
        <f>IFERROR(IF(清单台账!$AE38=1,清单台账!$F38,""),"")</f>
        <v/>
      </c>
      <c r="G37" s="37" t="str">
        <f>IFERROR(IF(清单台账!$AE38=1,清单台账!$G38,""),"")</f>
        <v/>
      </c>
      <c r="H37" s="37" t="str">
        <f>IFERROR(IF(清单台账!$AE38=1,清单台账!$H38,""),"")</f>
        <v/>
      </c>
      <c r="I37" s="37" t="str">
        <f>IFERROR(IF(清单台账!$AE38=1,清单台账!$I38,""),"")</f>
        <v/>
      </c>
      <c r="J37" s="37" t="str">
        <f>IFERROR(IF(清单台账!$AE38=1,清单台账!$J38,""),"")</f>
        <v/>
      </c>
      <c r="K37" s="37" t="str">
        <f>IFERROR(IF(清单台账!$AE38=1,清单台账!$K38,""),"")</f>
        <v/>
      </c>
      <c r="L37" s="37" t="str">
        <f>IFERROR(IF(清单台账!$AE38=1,清单台账!$L38,""),"")</f>
        <v/>
      </c>
      <c r="M37" s="37" t="str">
        <f>IFERROR(IF(清单台账!$AE38=1,清单台账!$M38,""),"")</f>
        <v/>
      </c>
      <c r="N37" s="37" t="str">
        <f>IFERROR(IF(清单台账!$AE38=1,清单台账!$N38,""),"")</f>
        <v/>
      </c>
      <c r="O37" s="37" t="str">
        <f>IFERROR(IF(清单台账!$AE38=1,清单台账!$O38,""),"")</f>
        <v/>
      </c>
      <c r="P37" s="39" t="str">
        <f>IFERROR(IF(清单台账!$AE38=1,清单台账!$P38,""),"")</f>
        <v/>
      </c>
      <c r="Q37" s="39" t="str">
        <f>IFERROR(IF(清单台账!$AE38=1,清单台账!$Q38,""),"")</f>
        <v/>
      </c>
      <c r="R37" s="39" t="str">
        <f>IFERROR(IF(清单台账!$AE38=1,清单台账!$R38,""),"")</f>
        <v/>
      </c>
      <c r="S37" s="37" t="str">
        <f>IFERROR(IF(清单台账!$AE38=1,清单台账!$S38,""),"")</f>
        <v/>
      </c>
      <c r="T37" s="37" t="str">
        <f>IFERROR(IF(清单台账!$AE38=1,清单台账!$T38,""),"")</f>
        <v/>
      </c>
      <c r="U37" s="37" t="str">
        <f>IFERROR(IF(清单台账!$AE38=1,清单台账!$U38,""),"")</f>
        <v/>
      </c>
      <c r="V37" s="38" t="str">
        <f>IFERROR(IF(清单台账!$AE38=1,清单台账!$V38,""),"")</f>
        <v/>
      </c>
      <c r="W37" s="40" t="str">
        <f>IFERROR(IF(清单台账!$AE38=1,清单台账!$W38,""),"")</f>
        <v/>
      </c>
      <c r="X37" s="46" t="str">
        <f>IF($F37&lt;&gt;"",IFERROR(MAX($X$5:$X36),0)+1,"")</f>
        <v/>
      </c>
    </row>
    <row r="38" spans="1:24">
      <c r="A38" s="36" t="str">
        <f>IFERROR(IF(清单台账!$AE39=1,清单台账!$A39,""),"")</f>
        <v/>
      </c>
      <c r="B38" s="37" t="str">
        <f>IFERROR(IF(清单台账!$AE39=1,清单台账!$AA39,""),"")</f>
        <v/>
      </c>
      <c r="C38" s="38" t="str">
        <f>IFERROR(IF(清单台账!$AE39=1,清单台账!$AB39,""),"")</f>
        <v/>
      </c>
      <c r="D38" s="37" t="str">
        <f>IFERROR(IF(清单台账!$AE39=1,清单台账!$AC39,""),"")</f>
        <v/>
      </c>
      <c r="E38" s="37" t="str">
        <f>IFERROR(IF(清单台账!$AE39=1,清单台账!$AD39,""),"")</f>
        <v/>
      </c>
      <c r="F38" s="37" t="str">
        <f>IFERROR(IF(清单台账!$AE39=1,清单台账!$F39,""),"")</f>
        <v/>
      </c>
      <c r="G38" s="37" t="str">
        <f>IFERROR(IF(清单台账!$AE39=1,清单台账!$G39,""),"")</f>
        <v/>
      </c>
      <c r="H38" s="37" t="str">
        <f>IFERROR(IF(清单台账!$AE39=1,清单台账!$H39,""),"")</f>
        <v/>
      </c>
      <c r="I38" s="37" t="str">
        <f>IFERROR(IF(清单台账!$AE39=1,清单台账!$I39,""),"")</f>
        <v/>
      </c>
      <c r="J38" s="37" t="str">
        <f>IFERROR(IF(清单台账!$AE39=1,清单台账!$J39,""),"")</f>
        <v/>
      </c>
      <c r="K38" s="37" t="str">
        <f>IFERROR(IF(清单台账!$AE39=1,清单台账!$K39,""),"")</f>
        <v/>
      </c>
      <c r="L38" s="37" t="str">
        <f>IFERROR(IF(清单台账!$AE39=1,清单台账!$L39,""),"")</f>
        <v/>
      </c>
      <c r="M38" s="37" t="str">
        <f>IFERROR(IF(清单台账!$AE39=1,清单台账!$M39,""),"")</f>
        <v/>
      </c>
      <c r="N38" s="37" t="str">
        <f>IFERROR(IF(清单台账!$AE39=1,清单台账!$N39,""),"")</f>
        <v/>
      </c>
      <c r="O38" s="37" t="str">
        <f>IFERROR(IF(清单台账!$AE39=1,清单台账!$O39,""),"")</f>
        <v/>
      </c>
      <c r="P38" s="39" t="str">
        <f>IFERROR(IF(清单台账!$AE39=1,清单台账!$P39,""),"")</f>
        <v/>
      </c>
      <c r="Q38" s="39" t="str">
        <f>IFERROR(IF(清单台账!$AE39=1,清单台账!$Q39,""),"")</f>
        <v/>
      </c>
      <c r="R38" s="39" t="str">
        <f>IFERROR(IF(清单台账!$AE39=1,清单台账!$R39,""),"")</f>
        <v/>
      </c>
      <c r="S38" s="37" t="str">
        <f>IFERROR(IF(清单台账!$AE39=1,清单台账!$S39,""),"")</f>
        <v/>
      </c>
      <c r="T38" s="37" t="str">
        <f>IFERROR(IF(清单台账!$AE39=1,清单台账!$T39,""),"")</f>
        <v/>
      </c>
      <c r="U38" s="37" t="str">
        <f>IFERROR(IF(清单台账!$AE39=1,清单台账!$U39,""),"")</f>
        <v/>
      </c>
      <c r="V38" s="38" t="str">
        <f>IFERROR(IF(清单台账!$AE39=1,清单台账!$V39,""),"")</f>
        <v/>
      </c>
      <c r="W38" s="40" t="str">
        <f>IFERROR(IF(清单台账!$AE39=1,清单台账!$W39,""),"")</f>
        <v/>
      </c>
      <c r="X38" s="46" t="str">
        <f>IF($F38&lt;&gt;"",IFERROR(MAX($X$5:$X37),0)+1,"")</f>
        <v/>
      </c>
    </row>
    <row r="39" spans="1:24">
      <c r="A39" s="36" t="str">
        <f>IFERROR(IF(清单台账!$AE40=1,清单台账!$A40,""),"")</f>
        <v/>
      </c>
      <c r="B39" s="37" t="str">
        <f>IFERROR(IF(清单台账!$AE40=1,清单台账!$AA40,""),"")</f>
        <v/>
      </c>
      <c r="C39" s="38" t="str">
        <f>IFERROR(IF(清单台账!$AE40=1,清单台账!$AB40,""),"")</f>
        <v/>
      </c>
      <c r="D39" s="37" t="str">
        <f>IFERROR(IF(清单台账!$AE40=1,清单台账!$AC40,""),"")</f>
        <v/>
      </c>
      <c r="E39" s="37" t="str">
        <f>IFERROR(IF(清单台账!$AE40=1,清单台账!$AD40,""),"")</f>
        <v/>
      </c>
      <c r="F39" s="37" t="str">
        <f>IFERROR(IF(清单台账!$AE40=1,清单台账!$F40,""),"")</f>
        <v/>
      </c>
      <c r="G39" s="37" t="str">
        <f>IFERROR(IF(清单台账!$AE40=1,清单台账!$G40,""),"")</f>
        <v/>
      </c>
      <c r="H39" s="37" t="str">
        <f>IFERROR(IF(清单台账!$AE40=1,清单台账!$H40,""),"")</f>
        <v/>
      </c>
      <c r="I39" s="37" t="str">
        <f>IFERROR(IF(清单台账!$AE40=1,清单台账!$I40,""),"")</f>
        <v/>
      </c>
      <c r="J39" s="37" t="str">
        <f>IFERROR(IF(清单台账!$AE40=1,清单台账!$J40,""),"")</f>
        <v/>
      </c>
      <c r="K39" s="37" t="str">
        <f>IFERROR(IF(清单台账!$AE40=1,清单台账!$K40,""),"")</f>
        <v/>
      </c>
      <c r="L39" s="37" t="str">
        <f>IFERROR(IF(清单台账!$AE40=1,清单台账!$L40,""),"")</f>
        <v/>
      </c>
      <c r="M39" s="37" t="str">
        <f>IFERROR(IF(清单台账!$AE40=1,清单台账!$M40,""),"")</f>
        <v/>
      </c>
      <c r="N39" s="37" t="str">
        <f>IFERROR(IF(清单台账!$AE40=1,清单台账!$N40,""),"")</f>
        <v/>
      </c>
      <c r="O39" s="37" t="str">
        <f>IFERROR(IF(清单台账!$AE40=1,清单台账!$O40,""),"")</f>
        <v/>
      </c>
      <c r="P39" s="39" t="str">
        <f>IFERROR(IF(清单台账!$AE40=1,清单台账!$P40,""),"")</f>
        <v/>
      </c>
      <c r="Q39" s="39" t="str">
        <f>IFERROR(IF(清单台账!$AE40=1,清单台账!$Q40,""),"")</f>
        <v/>
      </c>
      <c r="R39" s="39" t="str">
        <f>IFERROR(IF(清单台账!$AE40=1,清单台账!$R40,""),"")</f>
        <v/>
      </c>
      <c r="S39" s="37" t="str">
        <f>IFERROR(IF(清单台账!$AE40=1,清单台账!$S40,""),"")</f>
        <v/>
      </c>
      <c r="T39" s="37" t="str">
        <f>IFERROR(IF(清单台账!$AE40=1,清单台账!$T40,""),"")</f>
        <v/>
      </c>
      <c r="U39" s="37" t="str">
        <f>IFERROR(IF(清单台账!$AE40=1,清单台账!$U40,""),"")</f>
        <v/>
      </c>
      <c r="V39" s="38" t="str">
        <f>IFERROR(IF(清单台账!$AE40=1,清单台账!$V40,""),"")</f>
        <v/>
      </c>
      <c r="W39" s="40" t="str">
        <f>IFERROR(IF(清单台账!$AE40=1,清单台账!$W40,""),"")</f>
        <v/>
      </c>
      <c r="X39" s="46" t="str">
        <f>IF($F39&lt;&gt;"",IFERROR(MAX($X$5:$X38),0)+1,"")</f>
        <v/>
      </c>
    </row>
    <row r="40" spans="1:24">
      <c r="A40" s="36" t="str">
        <f>IFERROR(IF(清单台账!$AE41=1,清单台账!$A41,""),"")</f>
        <v/>
      </c>
      <c r="B40" s="37" t="str">
        <f>IFERROR(IF(清单台账!$AE41=1,清单台账!$AA41,""),"")</f>
        <v/>
      </c>
      <c r="C40" s="38" t="str">
        <f>IFERROR(IF(清单台账!$AE41=1,清单台账!$AB41,""),"")</f>
        <v/>
      </c>
      <c r="D40" s="37" t="str">
        <f>IFERROR(IF(清单台账!$AE41=1,清单台账!$AC41,""),"")</f>
        <v/>
      </c>
      <c r="E40" s="37" t="str">
        <f>IFERROR(IF(清单台账!$AE41=1,清单台账!$AD41,""),"")</f>
        <v/>
      </c>
      <c r="F40" s="37" t="str">
        <f>IFERROR(IF(清单台账!$AE41=1,清单台账!$F41,""),"")</f>
        <v/>
      </c>
      <c r="G40" s="37" t="str">
        <f>IFERROR(IF(清单台账!$AE41=1,清单台账!$G41,""),"")</f>
        <v/>
      </c>
      <c r="H40" s="37" t="str">
        <f>IFERROR(IF(清单台账!$AE41=1,清单台账!$H41,""),"")</f>
        <v/>
      </c>
      <c r="I40" s="37" t="str">
        <f>IFERROR(IF(清单台账!$AE41=1,清单台账!$I41,""),"")</f>
        <v/>
      </c>
      <c r="J40" s="37" t="str">
        <f>IFERROR(IF(清单台账!$AE41=1,清单台账!$J41,""),"")</f>
        <v/>
      </c>
      <c r="K40" s="37" t="str">
        <f>IFERROR(IF(清单台账!$AE41=1,清单台账!$K41,""),"")</f>
        <v/>
      </c>
      <c r="L40" s="37" t="str">
        <f>IFERROR(IF(清单台账!$AE41=1,清单台账!$L41,""),"")</f>
        <v/>
      </c>
      <c r="M40" s="37" t="str">
        <f>IFERROR(IF(清单台账!$AE41=1,清单台账!$M41,""),"")</f>
        <v/>
      </c>
      <c r="N40" s="37" t="str">
        <f>IFERROR(IF(清单台账!$AE41=1,清单台账!$N41,""),"")</f>
        <v/>
      </c>
      <c r="O40" s="37" t="str">
        <f>IFERROR(IF(清单台账!$AE41=1,清单台账!$O41,""),"")</f>
        <v/>
      </c>
      <c r="P40" s="39" t="str">
        <f>IFERROR(IF(清单台账!$AE41=1,清单台账!$P41,""),"")</f>
        <v/>
      </c>
      <c r="Q40" s="39" t="str">
        <f>IFERROR(IF(清单台账!$AE41=1,清单台账!$Q41,""),"")</f>
        <v/>
      </c>
      <c r="R40" s="39" t="str">
        <f>IFERROR(IF(清单台账!$AE41=1,清单台账!$R41,""),"")</f>
        <v/>
      </c>
      <c r="S40" s="37" t="str">
        <f>IFERROR(IF(清单台账!$AE41=1,清单台账!$S41,""),"")</f>
        <v/>
      </c>
      <c r="T40" s="37" t="str">
        <f>IFERROR(IF(清单台账!$AE41=1,清单台账!$T41,""),"")</f>
        <v/>
      </c>
      <c r="U40" s="37" t="str">
        <f>IFERROR(IF(清单台账!$AE41=1,清单台账!$U41,""),"")</f>
        <v/>
      </c>
      <c r="V40" s="38" t="str">
        <f>IFERROR(IF(清单台账!$AE41=1,清单台账!$V41,""),"")</f>
        <v/>
      </c>
      <c r="W40" s="40" t="str">
        <f>IFERROR(IF(清单台账!$AE41=1,清单台账!$W41,""),"")</f>
        <v/>
      </c>
      <c r="X40" s="46" t="str">
        <f>IF($F40&lt;&gt;"",IFERROR(MAX($X$5:$X39),0)+1,"")</f>
        <v/>
      </c>
    </row>
    <row r="41" spans="1:24">
      <c r="A41" s="36" t="str">
        <f>IFERROR(IF(清单台账!$AE42=1,清单台账!$A42,""),"")</f>
        <v/>
      </c>
      <c r="B41" s="37" t="str">
        <f>IFERROR(IF(清单台账!$AE42=1,清单台账!$AA42,""),"")</f>
        <v/>
      </c>
      <c r="C41" s="38" t="str">
        <f>IFERROR(IF(清单台账!$AE42=1,清单台账!$AB42,""),"")</f>
        <v/>
      </c>
      <c r="D41" s="37" t="str">
        <f>IFERROR(IF(清单台账!$AE42=1,清单台账!$AC42,""),"")</f>
        <v/>
      </c>
      <c r="E41" s="37" t="str">
        <f>IFERROR(IF(清单台账!$AE42=1,清单台账!$AD42,""),"")</f>
        <v/>
      </c>
      <c r="F41" s="37" t="str">
        <f>IFERROR(IF(清单台账!$AE42=1,清单台账!$F42,""),"")</f>
        <v/>
      </c>
      <c r="G41" s="37" t="str">
        <f>IFERROR(IF(清单台账!$AE42=1,清单台账!$G42,""),"")</f>
        <v/>
      </c>
      <c r="H41" s="37" t="str">
        <f>IFERROR(IF(清单台账!$AE42=1,清单台账!$H42,""),"")</f>
        <v/>
      </c>
      <c r="I41" s="37" t="str">
        <f>IFERROR(IF(清单台账!$AE42=1,清单台账!$I42,""),"")</f>
        <v/>
      </c>
      <c r="J41" s="37" t="str">
        <f>IFERROR(IF(清单台账!$AE42=1,清单台账!$J42,""),"")</f>
        <v/>
      </c>
      <c r="K41" s="37" t="str">
        <f>IFERROR(IF(清单台账!$AE42=1,清单台账!$K42,""),"")</f>
        <v/>
      </c>
      <c r="L41" s="37" t="str">
        <f>IFERROR(IF(清单台账!$AE42=1,清单台账!$L42,""),"")</f>
        <v/>
      </c>
      <c r="M41" s="37" t="str">
        <f>IFERROR(IF(清单台账!$AE42=1,清单台账!$M42,""),"")</f>
        <v/>
      </c>
      <c r="N41" s="37" t="str">
        <f>IFERROR(IF(清单台账!$AE42=1,清单台账!$N42,""),"")</f>
        <v/>
      </c>
      <c r="O41" s="37" t="str">
        <f>IFERROR(IF(清单台账!$AE42=1,清单台账!$O42,""),"")</f>
        <v/>
      </c>
      <c r="P41" s="39" t="str">
        <f>IFERROR(IF(清单台账!$AE42=1,清单台账!$P42,""),"")</f>
        <v/>
      </c>
      <c r="Q41" s="39" t="str">
        <f>IFERROR(IF(清单台账!$AE42=1,清单台账!$Q42,""),"")</f>
        <v/>
      </c>
      <c r="R41" s="39" t="str">
        <f>IFERROR(IF(清单台账!$AE42=1,清单台账!$R42,""),"")</f>
        <v/>
      </c>
      <c r="S41" s="37" t="str">
        <f>IFERROR(IF(清单台账!$AE42=1,清单台账!$S42,""),"")</f>
        <v/>
      </c>
      <c r="T41" s="37" t="str">
        <f>IFERROR(IF(清单台账!$AE42=1,清单台账!$T42,""),"")</f>
        <v/>
      </c>
      <c r="U41" s="37" t="str">
        <f>IFERROR(IF(清单台账!$AE42=1,清单台账!$U42,""),"")</f>
        <v/>
      </c>
      <c r="V41" s="38" t="str">
        <f>IFERROR(IF(清单台账!$AE42=1,清单台账!$V42,""),"")</f>
        <v/>
      </c>
      <c r="W41" s="40" t="str">
        <f>IFERROR(IF(清单台账!$AE42=1,清单台账!$W42,""),"")</f>
        <v/>
      </c>
      <c r="X41" s="46" t="str">
        <f>IF($F41&lt;&gt;"",IFERROR(MAX($X$5:$X40),0)+1,"")</f>
        <v/>
      </c>
    </row>
    <row r="42" spans="1:24">
      <c r="A42" s="36" t="str">
        <f>IFERROR(IF(清单台账!$AE43=1,清单台账!$A43,""),"")</f>
        <v/>
      </c>
      <c r="B42" s="37" t="str">
        <f>IFERROR(IF(清单台账!$AE43=1,清单台账!$AA43,""),"")</f>
        <v/>
      </c>
      <c r="C42" s="38" t="str">
        <f>IFERROR(IF(清单台账!$AE43=1,清单台账!$AB43,""),"")</f>
        <v/>
      </c>
      <c r="D42" s="37" t="str">
        <f>IFERROR(IF(清单台账!$AE43=1,清单台账!$AC43,""),"")</f>
        <v/>
      </c>
      <c r="E42" s="37" t="str">
        <f>IFERROR(IF(清单台账!$AE43=1,清单台账!$AD43,""),"")</f>
        <v/>
      </c>
      <c r="F42" s="37" t="str">
        <f>IFERROR(IF(清单台账!$AE43=1,清单台账!$F43,""),"")</f>
        <v/>
      </c>
      <c r="G42" s="37" t="str">
        <f>IFERROR(IF(清单台账!$AE43=1,清单台账!$G43,""),"")</f>
        <v/>
      </c>
      <c r="H42" s="37" t="str">
        <f>IFERROR(IF(清单台账!$AE43=1,清单台账!$H43,""),"")</f>
        <v/>
      </c>
      <c r="I42" s="37" t="str">
        <f>IFERROR(IF(清单台账!$AE43=1,清单台账!$I43,""),"")</f>
        <v/>
      </c>
      <c r="J42" s="37" t="str">
        <f>IFERROR(IF(清单台账!$AE43=1,清单台账!$J43,""),"")</f>
        <v/>
      </c>
      <c r="K42" s="37" t="str">
        <f>IFERROR(IF(清单台账!$AE43=1,清单台账!$K43,""),"")</f>
        <v/>
      </c>
      <c r="L42" s="37" t="str">
        <f>IFERROR(IF(清单台账!$AE43=1,清单台账!$L43,""),"")</f>
        <v/>
      </c>
      <c r="M42" s="37" t="str">
        <f>IFERROR(IF(清单台账!$AE43=1,清单台账!$M43,""),"")</f>
        <v/>
      </c>
      <c r="N42" s="37" t="str">
        <f>IFERROR(IF(清单台账!$AE43=1,清单台账!$N43,""),"")</f>
        <v/>
      </c>
      <c r="O42" s="37" t="str">
        <f>IFERROR(IF(清单台账!$AE43=1,清单台账!$O43,""),"")</f>
        <v/>
      </c>
      <c r="P42" s="39" t="str">
        <f>IFERROR(IF(清单台账!$AE43=1,清单台账!$P43,""),"")</f>
        <v/>
      </c>
      <c r="Q42" s="39" t="str">
        <f>IFERROR(IF(清单台账!$AE43=1,清单台账!$Q43,""),"")</f>
        <v/>
      </c>
      <c r="R42" s="39" t="str">
        <f>IFERROR(IF(清单台账!$AE43=1,清单台账!$R43,""),"")</f>
        <v/>
      </c>
      <c r="S42" s="37" t="str">
        <f>IFERROR(IF(清单台账!$AE43=1,清单台账!$S43,""),"")</f>
        <v/>
      </c>
      <c r="T42" s="37" t="str">
        <f>IFERROR(IF(清单台账!$AE43=1,清单台账!$T43,""),"")</f>
        <v/>
      </c>
      <c r="U42" s="37" t="str">
        <f>IFERROR(IF(清单台账!$AE43=1,清单台账!$U43,""),"")</f>
        <v/>
      </c>
      <c r="V42" s="38" t="str">
        <f>IFERROR(IF(清单台账!$AE43=1,清单台账!$V43,""),"")</f>
        <v/>
      </c>
      <c r="W42" s="40" t="str">
        <f>IFERROR(IF(清单台账!$AE43=1,清单台账!$W43,""),"")</f>
        <v/>
      </c>
      <c r="X42" s="46" t="str">
        <f>IF($F42&lt;&gt;"",IFERROR(MAX($X$5:$X41),0)+1,"")</f>
        <v/>
      </c>
    </row>
    <row r="43" spans="1:24">
      <c r="A43" s="36" t="str">
        <f>IFERROR(IF(清单台账!$AE44=1,清单台账!$A44,""),"")</f>
        <v/>
      </c>
      <c r="B43" s="37" t="str">
        <f>IFERROR(IF(清单台账!$AE44=1,清单台账!$AA44,""),"")</f>
        <v/>
      </c>
      <c r="C43" s="38" t="str">
        <f>IFERROR(IF(清单台账!$AE44=1,清单台账!$AB44,""),"")</f>
        <v/>
      </c>
      <c r="D43" s="37" t="str">
        <f>IFERROR(IF(清单台账!$AE44=1,清单台账!$AC44,""),"")</f>
        <v/>
      </c>
      <c r="E43" s="37" t="str">
        <f>IFERROR(IF(清单台账!$AE44=1,清单台账!$AD44,""),"")</f>
        <v/>
      </c>
      <c r="F43" s="37" t="str">
        <f>IFERROR(IF(清单台账!$AE44=1,清单台账!$F44,""),"")</f>
        <v/>
      </c>
      <c r="G43" s="37" t="str">
        <f>IFERROR(IF(清单台账!$AE44=1,清单台账!$G44,""),"")</f>
        <v/>
      </c>
      <c r="H43" s="37" t="str">
        <f>IFERROR(IF(清单台账!$AE44=1,清单台账!$H44,""),"")</f>
        <v/>
      </c>
      <c r="I43" s="37" t="str">
        <f>IFERROR(IF(清单台账!$AE44=1,清单台账!$I44,""),"")</f>
        <v/>
      </c>
      <c r="J43" s="37" t="str">
        <f>IFERROR(IF(清单台账!$AE44=1,清单台账!$J44,""),"")</f>
        <v/>
      </c>
      <c r="K43" s="37" t="str">
        <f>IFERROR(IF(清单台账!$AE44=1,清单台账!$K44,""),"")</f>
        <v/>
      </c>
      <c r="L43" s="37" t="str">
        <f>IFERROR(IF(清单台账!$AE44=1,清单台账!$L44,""),"")</f>
        <v/>
      </c>
      <c r="M43" s="37" t="str">
        <f>IFERROR(IF(清单台账!$AE44=1,清单台账!$M44,""),"")</f>
        <v/>
      </c>
      <c r="N43" s="37" t="str">
        <f>IFERROR(IF(清单台账!$AE44=1,清单台账!$N44,""),"")</f>
        <v/>
      </c>
      <c r="O43" s="37" t="str">
        <f>IFERROR(IF(清单台账!$AE44=1,清单台账!$O44,""),"")</f>
        <v/>
      </c>
      <c r="P43" s="39" t="str">
        <f>IFERROR(IF(清单台账!$AE44=1,清单台账!$P44,""),"")</f>
        <v/>
      </c>
      <c r="Q43" s="39" t="str">
        <f>IFERROR(IF(清单台账!$AE44=1,清单台账!$Q44,""),"")</f>
        <v/>
      </c>
      <c r="R43" s="39" t="str">
        <f>IFERROR(IF(清单台账!$AE44=1,清单台账!$R44,""),"")</f>
        <v/>
      </c>
      <c r="S43" s="37" t="str">
        <f>IFERROR(IF(清单台账!$AE44=1,清单台账!$S44,""),"")</f>
        <v/>
      </c>
      <c r="T43" s="37" t="str">
        <f>IFERROR(IF(清单台账!$AE44=1,清单台账!$T44,""),"")</f>
        <v/>
      </c>
      <c r="U43" s="37" t="str">
        <f>IFERROR(IF(清单台账!$AE44=1,清单台账!$U44,""),"")</f>
        <v/>
      </c>
      <c r="V43" s="38" t="str">
        <f>IFERROR(IF(清单台账!$AE44=1,清单台账!$V44,""),"")</f>
        <v/>
      </c>
      <c r="W43" s="40" t="str">
        <f>IFERROR(IF(清单台账!$AE44=1,清单台账!$W44,""),"")</f>
        <v/>
      </c>
      <c r="X43" s="46" t="str">
        <f>IF($F43&lt;&gt;"",IFERROR(MAX($X$5:$X42),0)+1,"")</f>
        <v/>
      </c>
    </row>
    <row r="44" spans="1:24">
      <c r="A44" s="36" t="str">
        <f>IFERROR(IF(清单台账!$AE45=1,清单台账!$A45,""),"")</f>
        <v/>
      </c>
      <c r="B44" s="37" t="str">
        <f>IFERROR(IF(清单台账!$AE45=1,清单台账!$AA45,""),"")</f>
        <v/>
      </c>
      <c r="C44" s="38" t="str">
        <f>IFERROR(IF(清单台账!$AE45=1,清单台账!$AB45,""),"")</f>
        <v/>
      </c>
      <c r="D44" s="37" t="str">
        <f>IFERROR(IF(清单台账!$AE45=1,清单台账!$AC45,""),"")</f>
        <v/>
      </c>
      <c r="E44" s="37" t="str">
        <f>IFERROR(IF(清单台账!$AE45=1,清单台账!$AD45,""),"")</f>
        <v/>
      </c>
      <c r="F44" s="37" t="str">
        <f>IFERROR(IF(清单台账!$AE45=1,清单台账!$F45,""),"")</f>
        <v/>
      </c>
      <c r="G44" s="37" t="str">
        <f>IFERROR(IF(清单台账!$AE45=1,清单台账!$G45,""),"")</f>
        <v/>
      </c>
      <c r="H44" s="37" t="str">
        <f>IFERROR(IF(清单台账!$AE45=1,清单台账!$H45,""),"")</f>
        <v/>
      </c>
      <c r="I44" s="37" t="str">
        <f>IFERROR(IF(清单台账!$AE45=1,清单台账!$I45,""),"")</f>
        <v/>
      </c>
      <c r="J44" s="37" t="str">
        <f>IFERROR(IF(清单台账!$AE45=1,清单台账!$J45,""),"")</f>
        <v/>
      </c>
      <c r="K44" s="37" t="str">
        <f>IFERROR(IF(清单台账!$AE45=1,清单台账!$K45,""),"")</f>
        <v/>
      </c>
      <c r="L44" s="37" t="str">
        <f>IFERROR(IF(清单台账!$AE45=1,清单台账!$L45,""),"")</f>
        <v/>
      </c>
      <c r="M44" s="37" t="str">
        <f>IFERROR(IF(清单台账!$AE45=1,清单台账!$M45,""),"")</f>
        <v/>
      </c>
      <c r="N44" s="37" t="str">
        <f>IFERROR(IF(清单台账!$AE45=1,清单台账!$N45,""),"")</f>
        <v/>
      </c>
      <c r="O44" s="37" t="str">
        <f>IFERROR(IF(清单台账!$AE45=1,清单台账!$O45,""),"")</f>
        <v/>
      </c>
      <c r="P44" s="39" t="str">
        <f>IFERROR(IF(清单台账!$AE45=1,清单台账!$P45,""),"")</f>
        <v/>
      </c>
      <c r="Q44" s="39" t="str">
        <f>IFERROR(IF(清单台账!$AE45=1,清单台账!$Q45,""),"")</f>
        <v/>
      </c>
      <c r="R44" s="39" t="str">
        <f>IFERROR(IF(清单台账!$AE45=1,清单台账!$R45,""),"")</f>
        <v/>
      </c>
      <c r="S44" s="37" t="str">
        <f>IFERROR(IF(清单台账!$AE45=1,清单台账!$S45,""),"")</f>
        <v/>
      </c>
      <c r="T44" s="37" t="str">
        <f>IFERROR(IF(清单台账!$AE45=1,清单台账!$T45,""),"")</f>
        <v/>
      </c>
      <c r="U44" s="37" t="str">
        <f>IFERROR(IF(清单台账!$AE45=1,清单台账!$U45,""),"")</f>
        <v/>
      </c>
      <c r="V44" s="38" t="str">
        <f>IFERROR(IF(清单台账!$AE45=1,清单台账!$V45,""),"")</f>
        <v/>
      </c>
      <c r="W44" s="40" t="str">
        <f>IFERROR(IF(清单台账!$AE45=1,清单台账!$W45,""),"")</f>
        <v/>
      </c>
      <c r="X44" s="46" t="str">
        <f>IF($F44&lt;&gt;"",IFERROR(MAX($X$5:$X43),0)+1,"")</f>
        <v/>
      </c>
    </row>
    <row r="45" spans="1:24">
      <c r="A45" s="36" t="str">
        <f>IFERROR(IF(清单台账!$AE46=1,清单台账!$A46,""),"")</f>
        <v/>
      </c>
      <c r="B45" s="37" t="str">
        <f>IFERROR(IF(清单台账!$AE46=1,清单台账!$AA46,""),"")</f>
        <v/>
      </c>
      <c r="C45" s="38" t="str">
        <f>IFERROR(IF(清单台账!$AE46=1,清单台账!$AB46,""),"")</f>
        <v/>
      </c>
      <c r="D45" s="37" t="str">
        <f>IFERROR(IF(清单台账!$AE46=1,清单台账!$AC46,""),"")</f>
        <v/>
      </c>
      <c r="E45" s="37" t="str">
        <f>IFERROR(IF(清单台账!$AE46=1,清单台账!$AD46,""),"")</f>
        <v/>
      </c>
      <c r="F45" s="37" t="str">
        <f>IFERROR(IF(清单台账!$AE46=1,清单台账!$F46,""),"")</f>
        <v/>
      </c>
      <c r="G45" s="37" t="str">
        <f>IFERROR(IF(清单台账!$AE46=1,清单台账!$G46,""),"")</f>
        <v/>
      </c>
      <c r="H45" s="37" t="str">
        <f>IFERROR(IF(清单台账!$AE46=1,清单台账!$H46,""),"")</f>
        <v/>
      </c>
      <c r="I45" s="37" t="str">
        <f>IFERROR(IF(清单台账!$AE46=1,清单台账!$I46,""),"")</f>
        <v/>
      </c>
      <c r="J45" s="37" t="str">
        <f>IFERROR(IF(清单台账!$AE46=1,清单台账!$J46,""),"")</f>
        <v/>
      </c>
      <c r="K45" s="37" t="str">
        <f>IFERROR(IF(清单台账!$AE46=1,清单台账!$K46,""),"")</f>
        <v/>
      </c>
      <c r="L45" s="37" t="str">
        <f>IFERROR(IF(清单台账!$AE46=1,清单台账!$L46,""),"")</f>
        <v/>
      </c>
      <c r="M45" s="37" t="str">
        <f>IFERROR(IF(清单台账!$AE46=1,清单台账!$M46,""),"")</f>
        <v/>
      </c>
      <c r="N45" s="37" t="str">
        <f>IFERROR(IF(清单台账!$AE46=1,清单台账!$N46,""),"")</f>
        <v/>
      </c>
      <c r="O45" s="37" t="str">
        <f>IFERROR(IF(清单台账!$AE46=1,清单台账!$O46,""),"")</f>
        <v/>
      </c>
      <c r="P45" s="39" t="str">
        <f>IFERROR(IF(清单台账!$AE46=1,清单台账!$P46,""),"")</f>
        <v/>
      </c>
      <c r="Q45" s="39" t="str">
        <f>IFERROR(IF(清单台账!$AE46=1,清单台账!$Q46,""),"")</f>
        <v/>
      </c>
      <c r="R45" s="39" t="str">
        <f>IFERROR(IF(清单台账!$AE46=1,清单台账!$R46,""),"")</f>
        <v/>
      </c>
      <c r="S45" s="37" t="str">
        <f>IFERROR(IF(清单台账!$AE46=1,清单台账!$S46,""),"")</f>
        <v/>
      </c>
      <c r="T45" s="37" t="str">
        <f>IFERROR(IF(清单台账!$AE46=1,清单台账!$T46,""),"")</f>
        <v/>
      </c>
      <c r="U45" s="37" t="str">
        <f>IFERROR(IF(清单台账!$AE46=1,清单台账!$U46,""),"")</f>
        <v/>
      </c>
      <c r="V45" s="38" t="str">
        <f>IFERROR(IF(清单台账!$AE46=1,清单台账!$V46,""),"")</f>
        <v/>
      </c>
      <c r="W45" s="40" t="str">
        <f>IFERROR(IF(清单台账!$AE46=1,清单台账!$W46,""),"")</f>
        <v/>
      </c>
      <c r="X45" s="46" t="str">
        <f>IF($F45&lt;&gt;"",IFERROR(MAX($X$5:$X44),0)+1,"")</f>
        <v/>
      </c>
    </row>
    <row r="46" spans="1:24">
      <c r="A46" s="36" t="str">
        <f>IFERROR(IF(清单台账!$AE47=1,清单台账!$A47,""),"")</f>
        <v/>
      </c>
      <c r="B46" s="37" t="str">
        <f>IFERROR(IF(清单台账!$AE47=1,清单台账!$AA47,""),"")</f>
        <v/>
      </c>
      <c r="C46" s="38" t="str">
        <f>IFERROR(IF(清单台账!$AE47=1,清单台账!$AB47,""),"")</f>
        <v/>
      </c>
      <c r="D46" s="37" t="str">
        <f>IFERROR(IF(清单台账!$AE47=1,清单台账!$AC47,""),"")</f>
        <v/>
      </c>
      <c r="E46" s="37" t="str">
        <f>IFERROR(IF(清单台账!$AE47=1,清单台账!$AD47,""),"")</f>
        <v/>
      </c>
      <c r="F46" s="37" t="str">
        <f>IFERROR(IF(清单台账!$AE47=1,清单台账!$F47,""),"")</f>
        <v/>
      </c>
      <c r="G46" s="37" t="str">
        <f>IFERROR(IF(清单台账!$AE47=1,清单台账!$G47,""),"")</f>
        <v/>
      </c>
      <c r="H46" s="37" t="str">
        <f>IFERROR(IF(清单台账!$AE47=1,清单台账!$H47,""),"")</f>
        <v/>
      </c>
      <c r="I46" s="37" t="str">
        <f>IFERROR(IF(清单台账!$AE47=1,清单台账!$I47,""),"")</f>
        <v/>
      </c>
      <c r="J46" s="37" t="str">
        <f>IFERROR(IF(清单台账!$AE47=1,清单台账!$J47,""),"")</f>
        <v/>
      </c>
      <c r="K46" s="37" t="str">
        <f>IFERROR(IF(清单台账!$AE47=1,清单台账!$K47,""),"")</f>
        <v/>
      </c>
      <c r="L46" s="37" t="str">
        <f>IFERROR(IF(清单台账!$AE47=1,清单台账!$L47,""),"")</f>
        <v/>
      </c>
      <c r="M46" s="37" t="str">
        <f>IFERROR(IF(清单台账!$AE47=1,清单台账!$M47,""),"")</f>
        <v/>
      </c>
      <c r="N46" s="37" t="str">
        <f>IFERROR(IF(清单台账!$AE47=1,清单台账!$N47,""),"")</f>
        <v/>
      </c>
      <c r="O46" s="37" t="str">
        <f>IFERROR(IF(清单台账!$AE47=1,清单台账!$O47,""),"")</f>
        <v/>
      </c>
      <c r="P46" s="39" t="str">
        <f>IFERROR(IF(清单台账!$AE47=1,清单台账!$P47,""),"")</f>
        <v/>
      </c>
      <c r="Q46" s="39" t="str">
        <f>IFERROR(IF(清单台账!$AE47=1,清单台账!$Q47,""),"")</f>
        <v/>
      </c>
      <c r="R46" s="39" t="str">
        <f>IFERROR(IF(清单台账!$AE47=1,清单台账!$R47,""),"")</f>
        <v/>
      </c>
      <c r="S46" s="37" t="str">
        <f>IFERROR(IF(清单台账!$AE47=1,清单台账!$S47,""),"")</f>
        <v/>
      </c>
      <c r="T46" s="37" t="str">
        <f>IFERROR(IF(清单台账!$AE47=1,清单台账!$T47,""),"")</f>
        <v/>
      </c>
      <c r="U46" s="37" t="str">
        <f>IFERROR(IF(清单台账!$AE47=1,清单台账!$U47,""),"")</f>
        <v/>
      </c>
      <c r="V46" s="38" t="str">
        <f>IFERROR(IF(清单台账!$AE47=1,清单台账!$V47,""),"")</f>
        <v/>
      </c>
      <c r="W46" s="40" t="str">
        <f>IFERROR(IF(清单台账!$AE47=1,清单台账!$W47,""),"")</f>
        <v/>
      </c>
      <c r="X46" s="46" t="str">
        <f>IF($F46&lt;&gt;"",IFERROR(MAX($X$5:$X45),0)+1,"")</f>
        <v/>
      </c>
    </row>
    <row r="47" spans="1:24">
      <c r="A47" s="36" t="str">
        <f>IFERROR(IF(清单台账!$AE48=1,清单台账!$A48,""),"")</f>
        <v/>
      </c>
      <c r="B47" s="37" t="str">
        <f>IFERROR(IF(清单台账!$AE48=1,清单台账!$AA48,""),"")</f>
        <v/>
      </c>
      <c r="C47" s="38" t="str">
        <f>IFERROR(IF(清单台账!$AE48=1,清单台账!$AB48,""),"")</f>
        <v/>
      </c>
      <c r="D47" s="37" t="str">
        <f>IFERROR(IF(清单台账!$AE48=1,清单台账!$AC48,""),"")</f>
        <v/>
      </c>
      <c r="E47" s="37" t="str">
        <f>IFERROR(IF(清单台账!$AE48=1,清单台账!$AD48,""),"")</f>
        <v/>
      </c>
      <c r="F47" s="37" t="str">
        <f>IFERROR(IF(清单台账!$AE48=1,清单台账!$F48,""),"")</f>
        <v/>
      </c>
      <c r="G47" s="37" t="str">
        <f>IFERROR(IF(清单台账!$AE48=1,清单台账!$G48,""),"")</f>
        <v/>
      </c>
      <c r="H47" s="37" t="str">
        <f>IFERROR(IF(清单台账!$AE48=1,清单台账!$H48,""),"")</f>
        <v/>
      </c>
      <c r="I47" s="37" t="str">
        <f>IFERROR(IF(清单台账!$AE48=1,清单台账!$I48,""),"")</f>
        <v/>
      </c>
      <c r="J47" s="37" t="str">
        <f>IFERROR(IF(清单台账!$AE48=1,清单台账!$J48,""),"")</f>
        <v/>
      </c>
      <c r="K47" s="37" t="str">
        <f>IFERROR(IF(清单台账!$AE48=1,清单台账!$K48,""),"")</f>
        <v/>
      </c>
      <c r="L47" s="37" t="str">
        <f>IFERROR(IF(清单台账!$AE48=1,清单台账!$L48,""),"")</f>
        <v/>
      </c>
      <c r="M47" s="37" t="str">
        <f>IFERROR(IF(清单台账!$AE48=1,清单台账!$M48,""),"")</f>
        <v/>
      </c>
      <c r="N47" s="37" t="str">
        <f>IFERROR(IF(清单台账!$AE48=1,清单台账!$N48,""),"")</f>
        <v/>
      </c>
      <c r="O47" s="37" t="str">
        <f>IFERROR(IF(清单台账!$AE48=1,清单台账!$O48,""),"")</f>
        <v/>
      </c>
      <c r="P47" s="39" t="str">
        <f>IFERROR(IF(清单台账!$AE48=1,清单台账!$P48,""),"")</f>
        <v/>
      </c>
      <c r="Q47" s="39" t="str">
        <f>IFERROR(IF(清单台账!$AE48=1,清单台账!$Q48,""),"")</f>
        <v/>
      </c>
      <c r="R47" s="39" t="str">
        <f>IFERROR(IF(清单台账!$AE48=1,清单台账!$R48,""),"")</f>
        <v/>
      </c>
      <c r="S47" s="37" t="str">
        <f>IFERROR(IF(清单台账!$AE48=1,清单台账!$S48,""),"")</f>
        <v/>
      </c>
      <c r="T47" s="37" t="str">
        <f>IFERROR(IF(清单台账!$AE48=1,清单台账!$T48,""),"")</f>
        <v/>
      </c>
      <c r="U47" s="37" t="str">
        <f>IFERROR(IF(清单台账!$AE48=1,清单台账!$U48,""),"")</f>
        <v/>
      </c>
      <c r="V47" s="38" t="str">
        <f>IFERROR(IF(清单台账!$AE48=1,清单台账!$V48,""),"")</f>
        <v/>
      </c>
      <c r="W47" s="40" t="str">
        <f>IFERROR(IF(清单台账!$AE48=1,清单台账!$W48,""),"")</f>
        <v/>
      </c>
      <c r="X47" s="46" t="str">
        <f>IF($F47&lt;&gt;"",IFERROR(MAX($X$5:$X46),0)+1,"")</f>
        <v/>
      </c>
    </row>
    <row r="48" spans="1:24">
      <c r="A48" s="36" t="str">
        <f>IFERROR(IF(清单台账!$AE49=1,清单台账!$A49,""),"")</f>
        <v/>
      </c>
      <c r="B48" s="37" t="str">
        <f>IFERROR(IF(清单台账!$AE49=1,清单台账!$AA49,""),"")</f>
        <v/>
      </c>
      <c r="C48" s="38" t="str">
        <f>IFERROR(IF(清单台账!$AE49=1,清单台账!$AB49,""),"")</f>
        <v/>
      </c>
      <c r="D48" s="37" t="str">
        <f>IFERROR(IF(清单台账!$AE49=1,清单台账!$AC49,""),"")</f>
        <v/>
      </c>
      <c r="E48" s="37" t="str">
        <f>IFERROR(IF(清单台账!$AE49=1,清单台账!$AD49,""),"")</f>
        <v/>
      </c>
      <c r="F48" s="37" t="str">
        <f>IFERROR(IF(清单台账!$AE49=1,清单台账!$F49,""),"")</f>
        <v/>
      </c>
      <c r="G48" s="37" t="str">
        <f>IFERROR(IF(清单台账!$AE49=1,清单台账!$G49,""),"")</f>
        <v/>
      </c>
      <c r="H48" s="37" t="str">
        <f>IFERROR(IF(清单台账!$AE49=1,清单台账!$H49,""),"")</f>
        <v/>
      </c>
      <c r="I48" s="37" t="str">
        <f>IFERROR(IF(清单台账!$AE49=1,清单台账!$I49,""),"")</f>
        <v/>
      </c>
      <c r="J48" s="37" t="str">
        <f>IFERROR(IF(清单台账!$AE49=1,清单台账!$J49,""),"")</f>
        <v/>
      </c>
      <c r="K48" s="37" t="str">
        <f>IFERROR(IF(清单台账!$AE49=1,清单台账!$K49,""),"")</f>
        <v/>
      </c>
      <c r="L48" s="37" t="str">
        <f>IFERROR(IF(清单台账!$AE49=1,清单台账!$L49,""),"")</f>
        <v/>
      </c>
      <c r="M48" s="37" t="str">
        <f>IFERROR(IF(清单台账!$AE49=1,清单台账!$M49,""),"")</f>
        <v/>
      </c>
      <c r="N48" s="37" t="str">
        <f>IFERROR(IF(清单台账!$AE49=1,清单台账!$N49,""),"")</f>
        <v/>
      </c>
      <c r="O48" s="37" t="str">
        <f>IFERROR(IF(清单台账!$AE49=1,清单台账!$O49,""),"")</f>
        <v/>
      </c>
      <c r="P48" s="39" t="str">
        <f>IFERROR(IF(清单台账!$AE49=1,清单台账!$P49,""),"")</f>
        <v/>
      </c>
      <c r="Q48" s="39" t="str">
        <f>IFERROR(IF(清单台账!$AE49=1,清单台账!$Q49,""),"")</f>
        <v/>
      </c>
      <c r="R48" s="39" t="str">
        <f>IFERROR(IF(清单台账!$AE49=1,清单台账!$R49,""),"")</f>
        <v/>
      </c>
      <c r="S48" s="37" t="str">
        <f>IFERROR(IF(清单台账!$AE49=1,清单台账!$S49,""),"")</f>
        <v/>
      </c>
      <c r="T48" s="37" t="str">
        <f>IFERROR(IF(清单台账!$AE49=1,清单台账!$T49,""),"")</f>
        <v/>
      </c>
      <c r="U48" s="37" t="str">
        <f>IFERROR(IF(清单台账!$AE49=1,清单台账!$U49,""),"")</f>
        <v/>
      </c>
      <c r="V48" s="38" t="str">
        <f>IFERROR(IF(清单台账!$AE49=1,清单台账!$V49,""),"")</f>
        <v/>
      </c>
      <c r="W48" s="40" t="str">
        <f>IFERROR(IF(清单台账!$AE49=1,清单台账!$W49,""),"")</f>
        <v/>
      </c>
      <c r="X48" s="46" t="str">
        <f>IF($F48&lt;&gt;"",IFERROR(MAX($X$5:$X47),0)+1,"")</f>
        <v/>
      </c>
    </row>
    <row r="49" spans="1:24">
      <c r="A49" s="36" t="str">
        <f>IFERROR(IF(清单台账!$AE50=1,清单台账!$A50,""),"")</f>
        <v/>
      </c>
      <c r="B49" s="37" t="str">
        <f>IFERROR(IF(清单台账!$AE50=1,清单台账!$AA50,""),"")</f>
        <v/>
      </c>
      <c r="C49" s="38" t="str">
        <f>IFERROR(IF(清单台账!$AE50=1,清单台账!$AB50,""),"")</f>
        <v/>
      </c>
      <c r="D49" s="37" t="str">
        <f>IFERROR(IF(清单台账!$AE50=1,清单台账!$AC50,""),"")</f>
        <v/>
      </c>
      <c r="E49" s="37" t="str">
        <f>IFERROR(IF(清单台账!$AE50=1,清单台账!$AD50,""),"")</f>
        <v/>
      </c>
      <c r="F49" s="37" t="str">
        <f>IFERROR(IF(清单台账!$AE50=1,清单台账!$F50,""),"")</f>
        <v/>
      </c>
      <c r="G49" s="37" t="str">
        <f>IFERROR(IF(清单台账!$AE50=1,清单台账!$G50,""),"")</f>
        <v/>
      </c>
      <c r="H49" s="37" t="str">
        <f>IFERROR(IF(清单台账!$AE50=1,清单台账!$H50,""),"")</f>
        <v/>
      </c>
      <c r="I49" s="37" t="str">
        <f>IFERROR(IF(清单台账!$AE50=1,清单台账!$I50,""),"")</f>
        <v/>
      </c>
      <c r="J49" s="37" t="str">
        <f>IFERROR(IF(清单台账!$AE50=1,清单台账!$J50,""),"")</f>
        <v/>
      </c>
      <c r="K49" s="37" t="str">
        <f>IFERROR(IF(清单台账!$AE50=1,清单台账!$K50,""),"")</f>
        <v/>
      </c>
      <c r="L49" s="37" t="str">
        <f>IFERROR(IF(清单台账!$AE50=1,清单台账!$L50,""),"")</f>
        <v/>
      </c>
      <c r="M49" s="37" t="str">
        <f>IFERROR(IF(清单台账!$AE50=1,清单台账!$M50,""),"")</f>
        <v/>
      </c>
      <c r="N49" s="37" t="str">
        <f>IFERROR(IF(清单台账!$AE50=1,清单台账!$N50,""),"")</f>
        <v/>
      </c>
      <c r="O49" s="37" t="str">
        <f>IFERROR(IF(清单台账!$AE50=1,清单台账!$O50,""),"")</f>
        <v/>
      </c>
      <c r="P49" s="39" t="str">
        <f>IFERROR(IF(清单台账!$AE50=1,清单台账!$P50,""),"")</f>
        <v/>
      </c>
      <c r="Q49" s="39" t="str">
        <f>IFERROR(IF(清单台账!$AE50=1,清单台账!$Q50,""),"")</f>
        <v/>
      </c>
      <c r="R49" s="39" t="str">
        <f>IFERROR(IF(清单台账!$AE50=1,清单台账!$R50,""),"")</f>
        <v/>
      </c>
      <c r="S49" s="37" t="str">
        <f>IFERROR(IF(清单台账!$AE50=1,清单台账!$S50,""),"")</f>
        <v/>
      </c>
      <c r="T49" s="37" t="str">
        <f>IFERROR(IF(清单台账!$AE50=1,清单台账!$T50,""),"")</f>
        <v/>
      </c>
      <c r="U49" s="37" t="str">
        <f>IFERROR(IF(清单台账!$AE50=1,清单台账!$U50,""),"")</f>
        <v/>
      </c>
      <c r="V49" s="38" t="str">
        <f>IFERROR(IF(清单台账!$AE50=1,清单台账!$V50,""),"")</f>
        <v/>
      </c>
      <c r="W49" s="40" t="str">
        <f>IFERROR(IF(清单台账!$AE50=1,清单台账!$W50,""),"")</f>
        <v/>
      </c>
      <c r="X49" s="46" t="str">
        <f>IF($F49&lt;&gt;"",IFERROR(MAX($X$5:$X48),0)+1,"")</f>
        <v/>
      </c>
    </row>
    <row r="50" spans="1:24">
      <c r="A50" s="36" t="str">
        <f>IFERROR(IF(清单台账!$AE51=1,清单台账!$A51,""),"")</f>
        <v/>
      </c>
      <c r="B50" s="37" t="str">
        <f>IFERROR(IF(清单台账!$AE51=1,清单台账!$AA51,""),"")</f>
        <v/>
      </c>
      <c r="C50" s="38" t="str">
        <f>IFERROR(IF(清单台账!$AE51=1,清单台账!$AB51,""),"")</f>
        <v/>
      </c>
      <c r="D50" s="37" t="str">
        <f>IFERROR(IF(清单台账!$AE51=1,清单台账!$AC51,""),"")</f>
        <v/>
      </c>
      <c r="E50" s="37" t="str">
        <f>IFERROR(IF(清单台账!$AE51=1,清单台账!$AD51,""),"")</f>
        <v/>
      </c>
      <c r="F50" s="37" t="str">
        <f>IFERROR(IF(清单台账!$AE51=1,清单台账!$F51,""),"")</f>
        <v/>
      </c>
      <c r="G50" s="37" t="str">
        <f>IFERROR(IF(清单台账!$AE51=1,清单台账!$G51,""),"")</f>
        <v/>
      </c>
      <c r="H50" s="37" t="str">
        <f>IFERROR(IF(清单台账!$AE51=1,清单台账!$H51,""),"")</f>
        <v/>
      </c>
      <c r="I50" s="37" t="str">
        <f>IFERROR(IF(清单台账!$AE51=1,清单台账!$I51,""),"")</f>
        <v/>
      </c>
      <c r="J50" s="37" t="str">
        <f>IFERROR(IF(清单台账!$AE51=1,清单台账!$J51,""),"")</f>
        <v/>
      </c>
      <c r="K50" s="37" t="str">
        <f>IFERROR(IF(清单台账!$AE51=1,清单台账!$K51,""),"")</f>
        <v/>
      </c>
      <c r="L50" s="37" t="str">
        <f>IFERROR(IF(清单台账!$AE51=1,清单台账!$L51,""),"")</f>
        <v/>
      </c>
      <c r="M50" s="37" t="str">
        <f>IFERROR(IF(清单台账!$AE51=1,清单台账!$M51,""),"")</f>
        <v/>
      </c>
      <c r="N50" s="37" t="str">
        <f>IFERROR(IF(清单台账!$AE51=1,清单台账!$N51,""),"")</f>
        <v/>
      </c>
      <c r="O50" s="37" t="str">
        <f>IFERROR(IF(清单台账!$AE51=1,清单台账!$O51,""),"")</f>
        <v/>
      </c>
      <c r="P50" s="39" t="str">
        <f>IFERROR(IF(清单台账!$AE51=1,清单台账!$P51,""),"")</f>
        <v/>
      </c>
      <c r="Q50" s="39" t="str">
        <f>IFERROR(IF(清单台账!$AE51=1,清单台账!$Q51,""),"")</f>
        <v/>
      </c>
      <c r="R50" s="39" t="str">
        <f>IFERROR(IF(清单台账!$AE51=1,清单台账!$R51,""),"")</f>
        <v/>
      </c>
      <c r="S50" s="37" t="str">
        <f>IFERROR(IF(清单台账!$AE51=1,清单台账!$S51,""),"")</f>
        <v/>
      </c>
      <c r="T50" s="37" t="str">
        <f>IFERROR(IF(清单台账!$AE51=1,清单台账!$T51,""),"")</f>
        <v/>
      </c>
      <c r="U50" s="37" t="str">
        <f>IFERROR(IF(清单台账!$AE51=1,清单台账!$U51,""),"")</f>
        <v/>
      </c>
      <c r="V50" s="38" t="str">
        <f>IFERROR(IF(清单台账!$AE51=1,清单台账!$V51,""),"")</f>
        <v/>
      </c>
      <c r="W50" s="40" t="str">
        <f>IFERROR(IF(清单台账!$AE51=1,清单台账!$W51,""),"")</f>
        <v/>
      </c>
      <c r="X50" s="46" t="str">
        <f>IF($F50&lt;&gt;"",IFERROR(MAX($X$5:$X49),0)+1,"")</f>
        <v/>
      </c>
    </row>
    <row r="51" spans="1:24">
      <c r="A51" s="36" t="str">
        <f>IFERROR(IF(清单台账!$AE52=1,清单台账!$A52,""),"")</f>
        <v/>
      </c>
      <c r="B51" s="37" t="str">
        <f>IFERROR(IF(清单台账!$AE52=1,清单台账!$AA52,""),"")</f>
        <v/>
      </c>
      <c r="C51" s="38" t="str">
        <f>IFERROR(IF(清单台账!$AE52=1,清单台账!$AB52,""),"")</f>
        <v/>
      </c>
      <c r="D51" s="37" t="str">
        <f>IFERROR(IF(清单台账!$AE52=1,清单台账!$AC52,""),"")</f>
        <v/>
      </c>
      <c r="E51" s="37" t="str">
        <f>IFERROR(IF(清单台账!$AE52=1,清单台账!$AD52,""),"")</f>
        <v/>
      </c>
      <c r="F51" s="37" t="str">
        <f>IFERROR(IF(清单台账!$AE52=1,清单台账!$F52,""),"")</f>
        <v/>
      </c>
      <c r="G51" s="37" t="str">
        <f>IFERROR(IF(清单台账!$AE52=1,清单台账!$G52,""),"")</f>
        <v/>
      </c>
      <c r="H51" s="37" t="str">
        <f>IFERROR(IF(清单台账!$AE52=1,清单台账!$H52,""),"")</f>
        <v/>
      </c>
      <c r="I51" s="37" t="str">
        <f>IFERROR(IF(清单台账!$AE52=1,清单台账!$I52,""),"")</f>
        <v/>
      </c>
      <c r="J51" s="37" t="str">
        <f>IFERROR(IF(清单台账!$AE52=1,清单台账!$J52,""),"")</f>
        <v/>
      </c>
      <c r="K51" s="37" t="str">
        <f>IFERROR(IF(清单台账!$AE52=1,清单台账!$K52,""),"")</f>
        <v/>
      </c>
      <c r="L51" s="37" t="str">
        <f>IFERROR(IF(清单台账!$AE52=1,清单台账!$L52,""),"")</f>
        <v/>
      </c>
      <c r="M51" s="37" t="str">
        <f>IFERROR(IF(清单台账!$AE52=1,清单台账!$M52,""),"")</f>
        <v/>
      </c>
      <c r="N51" s="37" t="str">
        <f>IFERROR(IF(清单台账!$AE52=1,清单台账!$N52,""),"")</f>
        <v/>
      </c>
      <c r="O51" s="37" t="str">
        <f>IFERROR(IF(清单台账!$AE52=1,清单台账!$O52,""),"")</f>
        <v/>
      </c>
      <c r="P51" s="39" t="str">
        <f>IFERROR(IF(清单台账!$AE52=1,清单台账!$P52,""),"")</f>
        <v/>
      </c>
      <c r="Q51" s="39" t="str">
        <f>IFERROR(IF(清单台账!$AE52=1,清单台账!$Q52,""),"")</f>
        <v/>
      </c>
      <c r="R51" s="39" t="str">
        <f>IFERROR(IF(清单台账!$AE52=1,清单台账!$R52,""),"")</f>
        <v/>
      </c>
      <c r="S51" s="37" t="str">
        <f>IFERROR(IF(清单台账!$AE52=1,清单台账!$S52,""),"")</f>
        <v/>
      </c>
      <c r="T51" s="37" t="str">
        <f>IFERROR(IF(清单台账!$AE52=1,清单台账!$T52,""),"")</f>
        <v/>
      </c>
      <c r="U51" s="37" t="str">
        <f>IFERROR(IF(清单台账!$AE52=1,清单台账!$U52,""),"")</f>
        <v/>
      </c>
      <c r="V51" s="38" t="str">
        <f>IFERROR(IF(清单台账!$AE52=1,清单台账!$V52,""),"")</f>
        <v/>
      </c>
      <c r="W51" s="40" t="str">
        <f>IFERROR(IF(清单台账!$AE52=1,清单台账!$W52,""),"")</f>
        <v/>
      </c>
      <c r="X51" s="46" t="str">
        <f>IF($F51&lt;&gt;"",IFERROR(MAX($X$5:$X50),0)+1,"")</f>
        <v/>
      </c>
    </row>
    <row r="52" spans="1:24">
      <c r="A52" s="36" t="str">
        <f>IFERROR(IF(清单台账!$AE53=1,清单台账!$A53,""),"")</f>
        <v/>
      </c>
      <c r="B52" s="37" t="str">
        <f>IFERROR(IF(清单台账!$AE53=1,清单台账!$AA53,""),"")</f>
        <v/>
      </c>
      <c r="C52" s="38" t="str">
        <f>IFERROR(IF(清单台账!$AE53=1,清单台账!$AB53,""),"")</f>
        <v/>
      </c>
      <c r="D52" s="37" t="str">
        <f>IFERROR(IF(清单台账!$AE53=1,清单台账!$AC53,""),"")</f>
        <v/>
      </c>
      <c r="E52" s="37" t="str">
        <f>IFERROR(IF(清单台账!$AE53=1,清单台账!$AD53,""),"")</f>
        <v/>
      </c>
      <c r="F52" s="37" t="str">
        <f>IFERROR(IF(清单台账!$AE53=1,清单台账!$F53,""),"")</f>
        <v/>
      </c>
      <c r="G52" s="37" t="str">
        <f>IFERROR(IF(清单台账!$AE53=1,清单台账!$G53,""),"")</f>
        <v/>
      </c>
      <c r="H52" s="37" t="str">
        <f>IFERROR(IF(清单台账!$AE53=1,清单台账!$H53,""),"")</f>
        <v/>
      </c>
      <c r="I52" s="37" t="str">
        <f>IFERROR(IF(清单台账!$AE53=1,清单台账!$I53,""),"")</f>
        <v/>
      </c>
      <c r="J52" s="37" t="str">
        <f>IFERROR(IF(清单台账!$AE53=1,清单台账!$J53,""),"")</f>
        <v/>
      </c>
      <c r="K52" s="37" t="str">
        <f>IFERROR(IF(清单台账!$AE53=1,清单台账!$K53,""),"")</f>
        <v/>
      </c>
      <c r="L52" s="37" t="str">
        <f>IFERROR(IF(清单台账!$AE53=1,清单台账!$L53,""),"")</f>
        <v/>
      </c>
      <c r="M52" s="37" t="str">
        <f>IFERROR(IF(清单台账!$AE53=1,清单台账!$M53,""),"")</f>
        <v/>
      </c>
      <c r="N52" s="37" t="str">
        <f>IFERROR(IF(清单台账!$AE53=1,清单台账!$N53,""),"")</f>
        <v/>
      </c>
      <c r="O52" s="37" t="str">
        <f>IFERROR(IF(清单台账!$AE53=1,清单台账!$O53,""),"")</f>
        <v/>
      </c>
      <c r="P52" s="39" t="str">
        <f>IFERROR(IF(清单台账!$AE53=1,清单台账!$P53,""),"")</f>
        <v/>
      </c>
      <c r="Q52" s="39" t="str">
        <f>IFERROR(IF(清单台账!$AE53=1,清单台账!$Q53,""),"")</f>
        <v/>
      </c>
      <c r="R52" s="39" t="str">
        <f>IFERROR(IF(清单台账!$AE53=1,清单台账!$R53,""),"")</f>
        <v/>
      </c>
      <c r="S52" s="37" t="str">
        <f>IFERROR(IF(清单台账!$AE53=1,清单台账!$S53,""),"")</f>
        <v/>
      </c>
      <c r="T52" s="37" t="str">
        <f>IFERROR(IF(清单台账!$AE53=1,清单台账!$T53,""),"")</f>
        <v/>
      </c>
      <c r="U52" s="37" t="str">
        <f>IFERROR(IF(清单台账!$AE53=1,清单台账!$U53,""),"")</f>
        <v/>
      </c>
      <c r="V52" s="38" t="str">
        <f>IFERROR(IF(清单台账!$AE53=1,清单台账!$V53,""),"")</f>
        <v/>
      </c>
      <c r="W52" s="40" t="str">
        <f>IFERROR(IF(清单台账!$AE53=1,清单台账!$W53,""),"")</f>
        <v/>
      </c>
      <c r="X52" s="46" t="str">
        <f>IF($F52&lt;&gt;"",IFERROR(MAX($X$5:$X51),0)+1,"")</f>
        <v/>
      </c>
    </row>
    <row r="53" spans="1:24">
      <c r="A53" s="36" t="str">
        <f>IFERROR(IF(清单台账!$AE54=1,清单台账!$A54,""),"")</f>
        <v/>
      </c>
      <c r="B53" s="37" t="str">
        <f>IFERROR(IF(清单台账!$AE54=1,清单台账!$AA54,""),"")</f>
        <v/>
      </c>
      <c r="C53" s="38" t="str">
        <f>IFERROR(IF(清单台账!$AE54=1,清单台账!$AB54,""),"")</f>
        <v/>
      </c>
      <c r="D53" s="37" t="str">
        <f>IFERROR(IF(清单台账!$AE54=1,清单台账!$AC54,""),"")</f>
        <v/>
      </c>
      <c r="E53" s="37" t="str">
        <f>IFERROR(IF(清单台账!$AE54=1,清单台账!$AD54,""),"")</f>
        <v/>
      </c>
      <c r="F53" s="37" t="str">
        <f>IFERROR(IF(清单台账!$AE54=1,清单台账!$F54,""),"")</f>
        <v/>
      </c>
      <c r="G53" s="37" t="str">
        <f>IFERROR(IF(清单台账!$AE54=1,清单台账!$G54,""),"")</f>
        <v/>
      </c>
      <c r="H53" s="37" t="str">
        <f>IFERROR(IF(清单台账!$AE54=1,清单台账!$H54,""),"")</f>
        <v/>
      </c>
      <c r="I53" s="37" t="str">
        <f>IFERROR(IF(清单台账!$AE54=1,清单台账!$I54,""),"")</f>
        <v/>
      </c>
      <c r="J53" s="37" t="str">
        <f>IFERROR(IF(清单台账!$AE54=1,清单台账!$J54,""),"")</f>
        <v/>
      </c>
      <c r="K53" s="37" t="str">
        <f>IFERROR(IF(清单台账!$AE54=1,清单台账!$K54,""),"")</f>
        <v/>
      </c>
      <c r="L53" s="37" t="str">
        <f>IFERROR(IF(清单台账!$AE54=1,清单台账!$L54,""),"")</f>
        <v/>
      </c>
      <c r="M53" s="37" t="str">
        <f>IFERROR(IF(清单台账!$AE54=1,清单台账!$M54,""),"")</f>
        <v/>
      </c>
      <c r="N53" s="37" t="str">
        <f>IFERROR(IF(清单台账!$AE54=1,清单台账!$N54,""),"")</f>
        <v/>
      </c>
      <c r="O53" s="37" t="str">
        <f>IFERROR(IF(清单台账!$AE54=1,清单台账!$O54,""),"")</f>
        <v/>
      </c>
      <c r="P53" s="39" t="str">
        <f>IFERROR(IF(清单台账!$AE54=1,清单台账!$P54,""),"")</f>
        <v/>
      </c>
      <c r="Q53" s="39" t="str">
        <f>IFERROR(IF(清单台账!$AE54=1,清单台账!$Q54,""),"")</f>
        <v/>
      </c>
      <c r="R53" s="39" t="str">
        <f>IFERROR(IF(清单台账!$AE54=1,清单台账!$R54,""),"")</f>
        <v/>
      </c>
      <c r="S53" s="37" t="str">
        <f>IFERROR(IF(清单台账!$AE54=1,清单台账!$S54,""),"")</f>
        <v/>
      </c>
      <c r="T53" s="37" t="str">
        <f>IFERROR(IF(清单台账!$AE54=1,清单台账!$T54,""),"")</f>
        <v/>
      </c>
      <c r="U53" s="37" t="str">
        <f>IFERROR(IF(清单台账!$AE54=1,清单台账!$U54,""),"")</f>
        <v/>
      </c>
      <c r="V53" s="38" t="str">
        <f>IFERROR(IF(清单台账!$AE54=1,清单台账!$V54,""),"")</f>
        <v/>
      </c>
      <c r="W53" s="40" t="str">
        <f>IFERROR(IF(清单台账!$AE54=1,清单台账!$W54,""),"")</f>
        <v/>
      </c>
      <c r="X53" s="46" t="str">
        <f>IF($F53&lt;&gt;"",IFERROR(MAX($X$5:$X52),0)+1,"")</f>
        <v/>
      </c>
    </row>
    <row r="54" spans="1:24">
      <c r="A54" s="36" t="str">
        <f>IFERROR(IF(清单台账!$AE55=1,清单台账!$A55,""),"")</f>
        <v/>
      </c>
      <c r="B54" s="37" t="str">
        <f>IFERROR(IF(清单台账!$AE55=1,清单台账!$AA55,""),"")</f>
        <v/>
      </c>
      <c r="C54" s="38" t="str">
        <f>IFERROR(IF(清单台账!$AE55=1,清单台账!$AB55,""),"")</f>
        <v/>
      </c>
      <c r="D54" s="37" t="str">
        <f>IFERROR(IF(清单台账!$AE55=1,清单台账!$AC55,""),"")</f>
        <v/>
      </c>
      <c r="E54" s="37" t="str">
        <f>IFERROR(IF(清单台账!$AE55=1,清单台账!$AD55,""),"")</f>
        <v/>
      </c>
      <c r="F54" s="37" t="str">
        <f>IFERROR(IF(清单台账!$AE55=1,清单台账!$F55,""),"")</f>
        <v/>
      </c>
      <c r="G54" s="37" t="str">
        <f>IFERROR(IF(清单台账!$AE55=1,清单台账!$G55,""),"")</f>
        <v/>
      </c>
      <c r="H54" s="37" t="str">
        <f>IFERROR(IF(清单台账!$AE55=1,清单台账!$H55,""),"")</f>
        <v/>
      </c>
      <c r="I54" s="37" t="str">
        <f>IFERROR(IF(清单台账!$AE55=1,清单台账!$I55,""),"")</f>
        <v/>
      </c>
      <c r="J54" s="37" t="str">
        <f>IFERROR(IF(清单台账!$AE55=1,清单台账!$J55,""),"")</f>
        <v/>
      </c>
      <c r="K54" s="37" t="str">
        <f>IFERROR(IF(清单台账!$AE55=1,清单台账!$K55,""),"")</f>
        <v/>
      </c>
      <c r="L54" s="37" t="str">
        <f>IFERROR(IF(清单台账!$AE55=1,清单台账!$L55,""),"")</f>
        <v/>
      </c>
      <c r="M54" s="37" t="str">
        <f>IFERROR(IF(清单台账!$AE55=1,清单台账!$M55,""),"")</f>
        <v/>
      </c>
      <c r="N54" s="37" t="str">
        <f>IFERROR(IF(清单台账!$AE55=1,清单台账!$N55,""),"")</f>
        <v/>
      </c>
      <c r="O54" s="37" t="str">
        <f>IFERROR(IF(清单台账!$AE55=1,清单台账!$O55,""),"")</f>
        <v/>
      </c>
      <c r="P54" s="39" t="str">
        <f>IFERROR(IF(清单台账!$AE55=1,清单台账!$P55,""),"")</f>
        <v/>
      </c>
      <c r="Q54" s="39" t="str">
        <f>IFERROR(IF(清单台账!$AE55=1,清单台账!$Q55,""),"")</f>
        <v/>
      </c>
      <c r="R54" s="39" t="str">
        <f>IFERROR(IF(清单台账!$AE55=1,清单台账!$R55,""),"")</f>
        <v/>
      </c>
      <c r="S54" s="37" t="str">
        <f>IFERROR(IF(清单台账!$AE55=1,清单台账!$S55,""),"")</f>
        <v/>
      </c>
      <c r="T54" s="37" t="str">
        <f>IFERROR(IF(清单台账!$AE55=1,清单台账!$T55,""),"")</f>
        <v/>
      </c>
      <c r="U54" s="37" t="str">
        <f>IFERROR(IF(清单台账!$AE55=1,清单台账!$U55,""),"")</f>
        <v/>
      </c>
      <c r="V54" s="38" t="str">
        <f>IFERROR(IF(清单台账!$AE55=1,清单台账!$V55,""),"")</f>
        <v/>
      </c>
      <c r="W54" s="40" t="str">
        <f>IFERROR(IF(清单台账!$AE55=1,清单台账!$W55,""),"")</f>
        <v/>
      </c>
      <c r="X54" s="46" t="str">
        <f>IF($F54&lt;&gt;"",IFERROR(MAX($X$5:$X53),0)+1,"")</f>
        <v/>
      </c>
    </row>
    <row r="55" spans="1:24">
      <c r="A55" s="36" t="str">
        <f>IFERROR(IF(清单台账!$AE56=1,清单台账!$A56,""),"")</f>
        <v/>
      </c>
      <c r="B55" s="37" t="str">
        <f>IFERROR(IF(清单台账!$AE56=1,清单台账!$AA56,""),"")</f>
        <v/>
      </c>
      <c r="C55" s="38" t="str">
        <f>IFERROR(IF(清单台账!$AE56=1,清单台账!$AB56,""),"")</f>
        <v/>
      </c>
      <c r="D55" s="37" t="str">
        <f>IFERROR(IF(清单台账!$AE56=1,清单台账!$AC56,""),"")</f>
        <v/>
      </c>
      <c r="E55" s="37" t="str">
        <f>IFERROR(IF(清单台账!$AE56=1,清单台账!$AD56,""),"")</f>
        <v/>
      </c>
      <c r="F55" s="37" t="str">
        <f>IFERROR(IF(清单台账!$AE56=1,清单台账!$F56,""),"")</f>
        <v/>
      </c>
      <c r="G55" s="37" t="str">
        <f>IFERROR(IF(清单台账!$AE56=1,清单台账!$G56,""),"")</f>
        <v/>
      </c>
      <c r="H55" s="37" t="str">
        <f>IFERROR(IF(清单台账!$AE56=1,清单台账!$H56,""),"")</f>
        <v/>
      </c>
      <c r="I55" s="37" t="str">
        <f>IFERROR(IF(清单台账!$AE56=1,清单台账!$I56,""),"")</f>
        <v/>
      </c>
      <c r="J55" s="37" t="str">
        <f>IFERROR(IF(清单台账!$AE56=1,清单台账!$J56,""),"")</f>
        <v/>
      </c>
      <c r="K55" s="37" t="str">
        <f>IFERROR(IF(清单台账!$AE56=1,清单台账!$K56,""),"")</f>
        <v/>
      </c>
      <c r="L55" s="37" t="str">
        <f>IFERROR(IF(清单台账!$AE56=1,清单台账!$L56,""),"")</f>
        <v/>
      </c>
      <c r="M55" s="37" t="str">
        <f>IFERROR(IF(清单台账!$AE56=1,清单台账!$M56,""),"")</f>
        <v/>
      </c>
      <c r="N55" s="37" t="str">
        <f>IFERROR(IF(清单台账!$AE56=1,清单台账!$N56,""),"")</f>
        <v/>
      </c>
      <c r="O55" s="37" t="str">
        <f>IFERROR(IF(清单台账!$AE56=1,清单台账!$O56,""),"")</f>
        <v/>
      </c>
      <c r="P55" s="39" t="str">
        <f>IFERROR(IF(清单台账!$AE56=1,清单台账!$P56,""),"")</f>
        <v/>
      </c>
      <c r="Q55" s="39" t="str">
        <f>IFERROR(IF(清单台账!$AE56=1,清单台账!$Q56,""),"")</f>
        <v/>
      </c>
      <c r="R55" s="39" t="str">
        <f>IFERROR(IF(清单台账!$AE56=1,清单台账!$R56,""),"")</f>
        <v/>
      </c>
      <c r="S55" s="37" t="str">
        <f>IFERROR(IF(清单台账!$AE56=1,清单台账!$S56,""),"")</f>
        <v/>
      </c>
      <c r="T55" s="37" t="str">
        <f>IFERROR(IF(清单台账!$AE56=1,清单台账!$T56,""),"")</f>
        <v/>
      </c>
      <c r="U55" s="37" t="str">
        <f>IFERROR(IF(清单台账!$AE56=1,清单台账!$U56,""),"")</f>
        <v/>
      </c>
      <c r="V55" s="38" t="str">
        <f>IFERROR(IF(清单台账!$AE56=1,清单台账!$V56,""),"")</f>
        <v/>
      </c>
      <c r="W55" s="40" t="str">
        <f>IFERROR(IF(清单台账!$AE56=1,清单台账!$W56,""),"")</f>
        <v/>
      </c>
      <c r="X55" s="46" t="str">
        <f>IF($F55&lt;&gt;"",IFERROR(MAX($X$5:$X54),0)+1,"")</f>
        <v/>
      </c>
    </row>
    <row r="56" spans="1:24">
      <c r="A56" s="36" t="str">
        <f>IFERROR(IF(清单台账!$AE57=1,清单台账!$A57,""),"")</f>
        <v/>
      </c>
      <c r="B56" s="37" t="str">
        <f>IFERROR(IF(清单台账!$AE57=1,清单台账!$AA57,""),"")</f>
        <v/>
      </c>
      <c r="C56" s="38" t="str">
        <f>IFERROR(IF(清单台账!$AE57=1,清单台账!$AB57,""),"")</f>
        <v/>
      </c>
      <c r="D56" s="37" t="str">
        <f>IFERROR(IF(清单台账!$AE57=1,清单台账!$AC57,""),"")</f>
        <v/>
      </c>
      <c r="E56" s="37" t="str">
        <f>IFERROR(IF(清单台账!$AE57=1,清单台账!$AD57,""),"")</f>
        <v/>
      </c>
      <c r="F56" s="37" t="str">
        <f>IFERROR(IF(清单台账!$AE57=1,清单台账!$F57,""),"")</f>
        <v/>
      </c>
      <c r="G56" s="37" t="str">
        <f>IFERROR(IF(清单台账!$AE57=1,清单台账!$G57,""),"")</f>
        <v/>
      </c>
      <c r="H56" s="37" t="str">
        <f>IFERROR(IF(清单台账!$AE57=1,清单台账!$H57,""),"")</f>
        <v/>
      </c>
      <c r="I56" s="37" t="str">
        <f>IFERROR(IF(清单台账!$AE57=1,清单台账!$I57,""),"")</f>
        <v/>
      </c>
      <c r="J56" s="37" t="str">
        <f>IFERROR(IF(清单台账!$AE57=1,清单台账!$J57,""),"")</f>
        <v/>
      </c>
      <c r="K56" s="37" t="str">
        <f>IFERROR(IF(清单台账!$AE57=1,清单台账!$K57,""),"")</f>
        <v/>
      </c>
      <c r="L56" s="37" t="str">
        <f>IFERROR(IF(清单台账!$AE57=1,清单台账!$L57,""),"")</f>
        <v/>
      </c>
      <c r="M56" s="37" t="str">
        <f>IFERROR(IF(清单台账!$AE57=1,清单台账!$M57,""),"")</f>
        <v/>
      </c>
      <c r="N56" s="37" t="str">
        <f>IFERROR(IF(清单台账!$AE57=1,清单台账!$N57,""),"")</f>
        <v/>
      </c>
      <c r="O56" s="37" t="str">
        <f>IFERROR(IF(清单台账!$AE57=1,清单台账!$O57,""),"")</f>
        <v/>
      </c>
      <c r="P56" s="39" t="str">
        <f>IFERROR(IF(清单台账!$AE57=1,清单台账!$P57,""),"")</f>
        <v/>
      </c>
      <c r="Q56" s="39" t="str">
        <f>IFERROR(IF(清单台账!$AE57=1,清单台账!$Q57,""),"")</f>
        <v/>
      </c>
      <c r="R56" s="39" t="str">
        <f>IFERROR(IF(清单台账!$AE57=1,清单台账!$R57,""),"")</f>
        <v/>
      </c>
      <c r="S56" s="37" t="str">
        <f>IFERROR(IF(清单台账!$AE57=1,清单台账!$S57,""),"")</f>
        <v/>
      </c>
      <c r="T56" s="37" t="str">
        <f>IFERROR(IF(清单台账!$AE57=1,清单台账!$T57,""),"")</f>
        <v/>
      </c>
      <c r="U56" s="37" t="str">
        <f>IFERROR(IF(清单台账!$AE57=1,清单台账!$U57,""),"")</f>
        <v/>
      </c>
      <c r="V56" s="38" t="str">
        <f>IFERROR(IF(清单台账!$AE57=1,清单台账!$V57,""),"")</f>
        <v/>
      </c>
      <c r="W56" s="40" t="str">
        <f>IFERROR(IF(清单台账!$AE57=1,清单台账!$W57,""),"")</f>
        <v/>
      </c>
      <c r="X56" s="46" t="str">
        <f>IF($F56&lt;&gt;"",IFERROR(MAX($X$5:$X55),0)+1,"")</f>
        <v/>
      </c>
    </row>
    <row r="57" spans="1:24">
      <c r="A57" s="36" t="str">
        <f>IFERROR(IF(清单台账!$AE58=1,清单台账!$A58,""),"")</f>
        <v/>
      </c>
      <c r="B57" s="37" t="str">
        <f>IFERROR(IF(清单台账!$AE58=1,清单台账!$AA58,""),"")</f>
        <v/>
      </c>
      <c r="C57" s="38" t="str">
        <f>IFERROR(IF(清单台账!$AE58=1,清单台账!$AB58,""),"")</f>
        <v/>
      </c>
      <c r="D57" s="37" t="str">
        <f>IFERROR(IF(清单台账!$AE58=1,清单台账!$AC58,""),"")</f>
        <v/>
      </c>
      <c r="E57" s="37" t="str">
        <f>IFERROR(IF(清单台账!$AE58=1,清单台账!$AD58,""),"")</f>
        <v/>
      </c>
      <c r="F57" s="37" t="str">
        <f>IFERROR(IF(清单台账!$AE58=1,清单台账!$F58,""),"")</f>
        <v/>
      </c>
      <c r="G57" s="37" t="str">
        <f>IFERROR(IF(清单台账!$AE58=1,清单台账!$G58,""),"")</f>
        <v/>
      </c>
      <c r="H57" s="37" t="str">
        <f>IFERROR(IF(清单台账!$AE58=1,清单台账!$H58,""),"")</f>
        <v/>
      </c>
      <c r="I57" s="37" t="str">
        <f>IFERROR(IF(清单台账!$AE58=1,清单台账!$I58,""),"")</f>
        <v/>
      </c>
      <c r="J57" s="37" t="str">
        <f>IFERROR(IF(清单台账!$AE58=1,清单台账!$J58,""),"")</f>
        <v/>
      </c>
      <c r="K57" s="37" t="str">
        <f>IFERROR(IF(清单台账!$AE58=1,清单台账!$K58,""),"")</f>
        <v/>
      </c>
      <c r="L57" s="37" t="str">
        <f>IFERROR(IF(清单台账!$AE58=1,清单台账!$L58,""),"")</f>
        <v/>
      </c>
      <c r="M57" s="37" t="str">
        <f>IFERROR(IF(清单台账!$AE58=1,清单台账!$M58,""),"")</f>
        <v/>
      </c>
      <c r="N57" s="37" t="str">
        <f>IFERROR(IF(清单台账!$AE58=1,清单台账!$N58,""),"")</f>
        <v/>
      </c>
      <c r="O57" s="37" t="str">
        <f>IFERROR(IF(清单台账!$AE58=1,清单台账!$O58,""),"")</f>
        <v/>
      </c>
      <c r="P57" s="39" t="str">
        <f>IFERROR(IF(清单台账!$AE58=1,清单台账!$P58,""),"")</f>
        <v/>
      </c>
      <c r="Q57" s="39" t="str">
        <f>IFERROR(IF(清单台账!$AE58=1,清单台账!$Q58,""),"")</f>
        <v/>
      </c>
      <c r="R57" s="39" t="str">
        <f>IFERROR(IF(清单台账!$AE58=1,清单台账!$R58,""),"")</f>
        <v/>
      </c>
      <c r="S57" s="37" t="str">
        <f>IFERROR(IF(清单台账!$AE58=1,清单台账!$S58,""),"")</f>
        <v/>
      </c>
      <c r="T57" s="37" t="str">
        <f>IFERROR(IF(清单台账!$AE58=1,清单台账!$T58,""),"")</f>
        <v/>
      </c>
      <c r="U57" s="37" t="str">
        <f>IFERROR(IF(清单台账!$AE58=1,清单台账!$U58,""),"")</f>
        <v/>
      </c>
      <c r="V57" s="38" t="str">
        <f>IFERROR(IF(清单台账!$AE58=1,清单台账!$V58,""),"")</f>
        <v/>
      </c>
      <c r="W57" s="40" t="str">
        <f>IFERROR(IF(清单台账!$AE58=1,清单台账!$W58,""),"")</f>
        <v/>
      </c>
      <c r="X57" s="46" t="str">
        <f>IF($F57&lt;&gt;"",IFERROR(MAX($X$5:$X56),0)+1,"")</f>
        <v/>
      </c>
    </row>
    <row r="58" spans="1:24">
      <c r="A58" s="36" t="str">
        <f>IFERROR(IF(清单台账!$AE59=1,清单台账!$A59,""),"")</f>
        <v/>
      </c>
      <c r="B58" s="37" t="str">
        <f>IFERROR(IF(清单台账!$AE59=1,清单台账!$AA59,""),"")</f>
        <v/>
      </c>
      <c r="C58" s="38" t="str">
        <f>IFERROR(IF(清单台账!$AE59=1,清单台账!$AB59,""),"")</f>
        <v/>
      </c>
      <c r="D58" s="37" t="str">
        <f>IFERROR(IF(清单台账!$AE59=1,清单台账!$AC59,""),"")</f>
        <v/>
      </c>
      <c r="E58" s="37" t="str">
        <f>IFERROR(IF(清单台账!$AE59=1,清单台账!$AD59,""),"")</f>
        <v/>
      </c>
      <c r="F58" s="37" t="str">
        <f>IFERROR(IF(清单台账!$AE59=1,清单台账!$F59,""),"")</f>
        <v/>
      </c>
      <c r="G58" s="37" t="str">
        <f>IFERROR(IF(清单台账!$AE59=1,清单台账!$G59,""),"")</f>
        <v/>
      </c>
      <c r="H58" s="37" t="str">
        <f>IFERROR(IF(清单台账!$AE59=1,清单台账!$H59,""),"")</f>
        <v/>
      </c>
      <c r="I58" s="37" t="str">
        <f>IFERROR(IF(清单台账!$AE59=1,清单台账!$I59,""),"")</f>
        <v/>
      </c>
      <c r="J58" s="37" t="str">
        <f>IFERROR(IF(清单台账!$AE59=1,清单台账!$J59,""),"")</f>
        <v/>
      </c>
      <c r="K58" s="37" t="str">
        <f>IFERROR(IF(清单台账!$AE59=1,清单台账!$K59,""),"")</f>
        <v/>
      </c>
      <c r="L58" s="37" t="str">
        <f>IFERROR(IF(清单台账!$AE59=1,清单台账!$L59,""),"")</f>
        <v/>
      </c>
      <c r="M58" s="37" t="str">
        <f>IFERROR(IF(清单台账!$AE59=1,清单台账!$M59,""),"")</f>
        <v/>
      </c>
      <c r="N58" s="37" t="str">
        <f>IFERROR(IF(清单台账!$AE59=1,清单台账!$N59,""),"")</f>
        <v/>
      </c>
      <c r="O58" s="37" t="str">
        <f>IFERROR(IF(清单台账!$AE59=1,清单台账!$O59,""),"")</f>
        <v/>
      </c>
      <c r="P58" s="39" t="str">
        <f>IFERROR(IF(清单台账!$AE59=1,清单台账!$P59,""),"")</f>
        <v/>
      </c>
      <c r="Q58" s="39" t="str">
        <f>IFERROR(IF(清单台账!$AE59=1,清单台账!$Q59,""),"")</f>
        <v/>
      </c>
      <c r="R58" s="39" t="str">
        <f>IFERROR(IF(清单台账!$AE59=1,清单台账!$R59,""),"")</f>
        <v/>
      </c>
      <c r="S58" s="37" t="str">
        <f>IFERROR(IF(清单台账!$AE59=1,清单台账!$S59,""),"")</f>
        <v/>
      </c>
      <c r="T58" s="37" t="str">
        <f>IFERROR(IF(清单台账!$AE59=1,清单台账!$T59,""),"")</f>
        <v/>
      </c>
      <c r="U58" s="37" t="str">
        <f>IFERROR(IF(清单台账!$AE59=1,清单台账!$U59,""),"")</f>
        <v/>
      </c>
      <c r="V58" s="38" t="str">
        <f>IFERROR(IF(清单台账!$AE59=1,清单台账!$V59,""),"")</f>
        <v/>
      </c>
      <c r="W58" s="40" t="str">
        <f>IFERROR(IF(清单台账!$AE59=1,清单台账!$W59,""),"")</f>
        <v/>
      </c>
      <c r="X58" s="46" t="str">
        <f>IF($F58&lt;&gt;"",IFERROR(MAX($X$5:$X57),0)+1,"")</f>
        <v/>
      </c>
    </row>
    <row r="59" spans="1:24">
      <c r="A59" s="36" t="str">
        <f>IFERROR(IF(清单台账!$AE60=1,清单台账!$A60,""),"")</f>
        <v/>
      </c>
      <c r="B59" s="37" t="str">
        <f>IFERROR(IF(清单台账!$AE60=1,清单台账!$AA60,""),"")</f>
        <v/>
      </c>
      <c r="C59" s="38" t="str">
        <f>IFERROR(IF(清单台账!$AE60=1,清单台账!$AB60,""),"")</f>
        <v/>
      </c>
      <c r="D59" s="37" t="str">
        <f>IFERROR(IF(清单台账!$AE60=1,清单台账!$AC60,""),"")</f>
        <v/>
      </c>
      <c r="E59" s="37" t="str">
        <f>IFERROR(IF(清单台账!$AE60=1,清单台账!$AD60,""),"")</f>
        <v/>
      </c>
      <c r="F59" s="37" t="str">
        <f>IFERROR(IF(清单台账!$AE60=1,清单台账!$F60,""),"")</f>
        <v/>
      </c>
      <c r="G59" s="37" t="str">
        <f>IFERROR(IF(清单台账!$AE60=1,清单台账!$G60,""),"")</f>
        <v/>
      </c>
      <c r="H59" s="37" t="str">
        <f>IFERROR(IF(清单台账!$AE60=1,清单台账!$H60,""),"")</f>
        <v/>
      </c>
      <c r="I59" s="37" t="str">
        <f>IFERROR(IF(清单台账!$AE60=1,清单台账!$I60,""),"")</f>
        <v/>
      </c>
      <c r="J59" s="37" t="str">
        <f>IFERROR(IF(清单台账!$AE60=1,清单台账!$J60,""),"")</f>
        <v/>
      </c>
      <c r="K59" s="37" t="str">
        <f>IFERROR(IF(清单台账!$AE60=1,清单台账!$K60,""),"")</f>
        <v/>
      </c>
      <c r="L59" s="37" t="str">
        <f>IFERROR(IF(清单台账!$AE60=1,清单台账!$L60,""),"")</f>
        <v/>
      </c>
      <c r="M59" s="37" t="str">
        <f>IFERROR(IF(清单台账!$AE60=1,清单台账!$M60,""),"")</f>
        <v/>
      </c>
      <c r="N59" s="37" t="str">
        <f>IFERROR(IF(清单台账!$AE60=1,清单台账!$N60,""),"")</f>
        <v/>
      </c>
      <c r="O59" s="37" t="str">
        <f>IFERROR(IF(清单台账!$AE60=1,清单台账!$O60,""),"")</f>
        <v/>
      </c>
      <c r="P59" s="39" t="str">
        <f>IFERROR(IF(清单台账!$AE60=1,清单台账!$P60,""),"")</f>
        <v/>
      </c>
      <c r="Q59" s="39" t="str">
        <f>IFERROR(IF(清单台账!$AE60=1,清单台账!$Q60,""),"")</f>
        <v/>
      </c>
      <c r="R59" s="39" t="str">
        <f>IFERROR(IF(清单台账!$AE60=1,清单台账!$R60,""),"")</f>
        <v/>
      </c>
      <c r="S59" s="37" t="str">
        <f>IFERROR(IF(清单台账!$AE60=1,清单台账!$S60,""),"")</f>
        <v/>
      </c>
      <c r="T59" s="37" t="str">
        <f>IFERROR(IF(清单台账!$AE60=1,清单台账!$T60,""),"")</f>
        <v/>
      </c>
      <c r="U59" s="37" t="str">
        <f>IFERROR(IF(清单台账!$AE60=1,清单台账!$U60,""),"")</f>
        <v/>
      </c>
      <c r="V59" s="38" t="str">
        <f>IFERROR(IF(清单台账!$AE60=1,清单台账!$V60,""),"")</f>
        <v/>
      </c>
      <c r="W59" s="40" t="str">
        <f>IFERROR(IF(清单台账!$AE60=1,清单台账!$W60,""),"")</f>
        <v/>
      </c>
      <c r="X59" s="46" t="str">
        <f>IF($F59&lt;&gt;"",IFERROR(MAX($X$5:$X58),0)+1,"")</f>
        <v/>
      </c>
    </row>
    <row r="60" spans="1:24">
      <c r="A60" s="36" t="str">
        <f>IFERROR(IF(清单台账!$AE61=1,清单台账!$A61,""),"")</f>
        <v/>
      </c>
      <c r="B60" s="37" t="str">
        <f>IFERROR(IF(清单台账!$AE61=1,清单台账!$AA61,""),"")</f>
        <v/>
      </c>
      <c r="C60" s="38" t="str">
        <f>IFERROR(IF(清单台账!$AE61=1,清单台账!$AB61,""),"")</f>
        <v/>
      </c>
      <c r="D60" s="37" t="str">
        <f>IFERROR(IF(清单台账!$AE61=1,清单台账!$AC61,""),"")</f>
        <v/>
      </c>
      <c r="E60" s="37" t="str">
        <f>IFERROR(IF(清单台账!$AE61=1,清单台账!$AD61,""),"")</f>
        <v/>
      </c>
      <c r="F60" s="37" t="str">
        <f>IFERROR(IF(清单台账!$AE61=1,清单台账!$F61,""),"")</f>
        <v/>
      </c>
      <c r="G60" s="37" t="str">
        <f>IFERROR(IF(清单台账!$AE61=1,清单台账!$G61,""),"")</f>
        <v/>
      </c>
      <c r="H60" s="37" t="str">
        <f>IFERROR(IF(清单台账!$AE61=1,清单台账!$H61,""),"")</f>
        <v/>
      </c>
      <c r="I60" s="37" t="str">
        <f>IFERROR(IF(清单台账!$AE61=1,清单台账!$I61,""),"")</f>
        <v/>
      </c>
      <c r="J60" s="37" t="str">
        <f>IFERROR(IF(清单台账!$AE61=1,清单台账!$J61,""),"")</f>
        <v/>
      </c>
      <c r="K60" s="37" t="str">
        <f>IFERROR(IF(清单台账!$AE61=1,清单台账!$K61,""),"")</f>
        <v/>
      </c>
      <c r="L60" s="37" t="str">
        <f>IFERROR(IF(清单台账!$AE61=1,清单台账!$L61,""),"")</f>
        <v/>
      </c>
      <c r="M60" s="37" t="str">
        <f>IFERROR(IF(清单台账!$AE61=1,清单台账!$M61,""),"")</f>
        <v/>
      </c>
      <c r="N60" s="37" t="str">
        <f>IFERROR(IF(清单台账!$AE61=1,清单台账!$N61,""),"")</f>
        <v/>
      </c>
      <c r="O60" s="37" t="str">
        <f>IFERROR(IF(清单台账!$AE61=1,清单台账!$O61,""),"")</f>
        <v/>
      </c>
      <c r="P60" s="39" t="str">
        <f>IFERROR(IF(清单台账!$AE61=1,清单台账!$P61,""),"")</f>
        <v/>
      </c>
      <c r="Q60" s="39" t="str">
        <f>IFERROR(IF(清单台账!$AE61=1,清单台账!$Q61,""),"")</f>
        <v/>
      </c>
      <c r="R60" s="39" t="str">
        <f>IFERROR(IF(清单台账!$AE61=1,清单台账!$R61,""),"")</f>
        <v/>
      </c>
      <c r="S60" s="37" t="str">
        <f>IFERROR(IF(清单台账!$AE61=1,清单台账!$S61,""),"")</f>
        <v/>
      </c>
      <c r="T60" s="37" t="str">
        <f>IFERROR(IF(清单台账!$AE61=1,清单台账!$T61,""),"")</f>
        <v/>
      </c>
      <c r="U60" s="37" t="str">
        <f>IFERROR(IF(清单台账!$AE61=1,清单台账!$U61,""),"")</f>
        <v/>
      </c>
      <c r="V60" s="38" t="str">
        <f>IFERROR(IF(清单台账!$AE61=1,清单台账!$V61,""),"")</f>
        <v/>
      </c>
      <c r="W60" s="40" t="str">
        <f>IFERROR(IF(清单台账!$AE61=1,清单台账!$W61,""),"")</f>
        <v/>
      </c>
      <c r="X60" s="46" t="str">
        <f>IF($F60&lt;&gt;"",IFERROR(MAX($X$5:$X59),0)+1,"")</f>
        <v/>
      </c>
    </row>
    <row r="61" spans="1:24">
      <c r="A61" s="36" t="str">
        <f>IFERROR(IF(清单台账!$AE62=1,清单台账!$A62,""),"")</f>
        <v/>
      </c>
      <c r="B61" s="37" t="str">
        <f>IFERROR(IF(清单台账!$AE62=1,清单台账!$AA62,""),"")</f>
        <v/>
      </c>
      <c r="C61" s="38" t="str">
        <f>IFERROR(IF(清单台账!$AE62=1,清单台账!$AB62,""),"")</f>
        <v/>
      </c>
      <c r="D61" s="37" t="str">
        <f>IFERROR(IF(清单台账!$AE62=1,清单台账!$AC62,""),"")</f>
        <v/>
      </c>
      <c r="E61" s="37" t="str">
        <f>IFERROR(IF(清单台账!$AE62=1,清单台账!$AD62,""),"")</f>
        <v/>
      </c>
      <c r="F61" s="37" t="str">
        <f>IFERROR(IF(清单台账!$AE62=1,清单台账!$F62,""),"")</f>
        <v/>
      </c>
      <c r="G61" s="37" t="str">
        <f>IFERROR(IF(清单台账!$AE62=1,清单台账!$G62,""),"")</f>
        <v/>
      </c>
      <c r="H61" s="37" t="str">
        <f>IFERROR(IF(清单台账!$AE62=1,清单台账!$H62,""),"")</f>
        <v/>
      </c>
      <c r="I61" s="37" t="str">
        <f>IFERROR(IF(清单台账!$AE62=1,清单台账!$I62,""),"")</f>
        <v/>
      </c>
      <c r="J61" s="37" t="str">
        <f>IFERROR(IF(清单台账!$AE62=1,清单台账!$J62,""),"")</f>
        <v/>
      </c>
      <c r="K61" s="37" t="str">
        <f>IFERROR(IF(清单台账!$AE62=1,清单台账!$K62,""),"")</f>
        <v/>
      </c>
      <c r="L61" s="37" t="str">
        <f>IFERROR(IF(清单台账!$AE62=1,清单台账!$L62,""),"")</f>
        <v/>
      </c>
      <c r="M61" s="37" t="str">
        <f>IFERROR(IF(清单台账!$AE62=1,清单台账!$M62,""),"")</f>
        <v/>
      </c>
      <c r="N61" s="37" t="str">
        <f>IFERROR(IF(清单台账!$AE62=1,清单台账!$N62,""),"")</f>
        <v/>
      </c>
      <c r="O61" s="37" t="str">
        <f>IFERROR(IF(清单台账!$AE62=1,清单台账!$O62,""),"")</f>
        <v/>
      </c>
      <c r="P61" s="39" t="str">
        <f>IFERROR(IF(清单台账!$AE62=1,清单台账!$P62,""),"")</f>
        <v/>
      </c>
      <c r="Q61" s="39" t="str">
        <f>IFERROR(IF(清单台账!$AE62=1,清单台账!$Q62,""),"")</f>
        <v/>
      </c>
      <c r="R61" s="39" t="str">
        <f>IFERROR(IF(清单台账!$AE62=1,清单台账!$R62,""),"")</f>
        <v/>
      </c>
      <c r="S61" s="37" t="str">
        <f>IFERROR(IF(清单台账!$AE62=1,清单台账!$S62,""),"")</f>
        <v/>
      </c>
      <c r="T61" s="37" t="str">
        <f>IFERROR(IF(清单台账!$AE62=1,清单台账!$T62,""),"")</f>
        <v/>
      </c>
      <c r="U61" s="37" t="str">
        <f>IFERROR(IF(清单台账!$AE62=1,清单台账!$U62,""),"")</f>
        <v/>
      </c>
      <c r="V61" s="38" t="str">
        <f>IFERROR(IF(清单台账!$AE62=1,清单台账!$V62,""),"")</f>
        <v/>
      </c>
      <c r="W61" s="40" t="str">
        <f>IFERROR(IF(清单台账!$AE62=1,清单台账!$W62,""),"")</f>
        <v/>
      </c>
      <c r="X61" s="46" t="str">
        <f>IF($F61&lt;&gt;"",IFERROR(MAX($X$5:$X60),0)+1,"")</f>
        <v/>
      </c>
    </row>
    <row r="62" spans="1:24">
      <c r="A62" s="36" t="str">
        <f>IFERROR(IF(清单台账!$AE63=1,清单台账!$A63,""),"")</f>
        <v/>
      </c>
      <c r="B62" s="37" t="str">
        <f>IFERROR(IF(清单台账!$AE63=1,清单台账!$AA63,""),"")</f>
        <v/>
      </c>
      <c r="C62" s="38" t="str">
        <f>IFERROR(IF(清单台账!$AE63=1,清单台账!$AB63,""),"")</f>
        <v/>
      </c>
      <c r="D62" s="37" t="str">
        <f>IFERROR(IF(清单台账!$AE63=1,清单台账!$AC63,""),"")</f>
        <v/>
      </c>
      <c r="E62" s="37" t="str">
        <f>IFERROR(IF(清单台账!$AE63=1,清单台账!$AD63,""),"")</f>
        <v/>
      </c>
      <c r="F62" s="37" t="str">
        <f>IFERROR(IF(清单台账!$AE63=1,清单台账!$F63,""),"")</f>
        <v/>
      </c>
      <c r="G62" s="37" t="str">
        <f>IFERROR(IF(清单台账!$AE63=1,清单台账!$G63,""),"")</f>
        <v/>
      </c>
      <c r="H62" s="37" t="str">
        <f>IFERROR(IF(清单台账!$AE63=1,清单台账!$H63,""),"")</f>
        <v/>
      </c>
      <c r="I62" s="37" t="str">
        <f>IFERROR(IF(清单台账!$AE63=1,清单台账!$I63,""),"")</f>
        <v/>
      </c>
      <c r="J62" s="37" t="str">
        <f>IFERROR(IF(清单台账!$AE63=1,清单台账!$J63,""),"")</f>
        <v/>
      </c>
      <c r="K62" s="37" t="str">
        <f>IFERROR(IF(清单台账!$AE63=1,清单台账!$K63,""),"")</f>
        <v/>
      </c>
      <c r="L62" s="37" t="str">
        <f>IFERROR(IF(清单台账!$AE63=1,清单台账!$L63,""),"")</f>
        <v/>
      </c>
      <c r="M62" s="37" t="str">
        <f>IFERROR(IF(清单台账!$AE63=1,清单台账!$M63,""),"")</f>
        <v/>
      </c>
      <c r="N62" s="37" t="str">
        <f>IFERROR(IF(清单台账!$AE63=1,清单台账!$N63,""),"")</f>
        <v/>
      </c>
      <c r="O62" s="37" t="str">
        <f>IFERROR(IF(清单台账!$AE63=1,清单台账!$O63,""),"")</f>
        <v/>
      </c>
      <c r="P62" s="39" t="str">
        <f>IFERROR(IF(清单台账!$AE63=1,清单台账!$P63,""),"")</f>
        <v/>
      </c>
      <c r="Q62" s="39" t="str">
        <f>IFERROR(IF(清单台账!$AE63=1,清单台账!$Q63,""),"")</f>
        <v/>
      </c>
      <c r="R62" s="39" t="str">
        <f>IFERROR(IF(清单台账!$AE63=1,清单台账!$R63,""),"")</f>
        <v/>
      </c>
      <c r="S62" s="37" t="str">
        <f>IFERROR(IF(清单台账!$AE63=1,清单台账!$S63,""),"")</f>
        <v/>
      </c>
      <c r="T62" s="37" t="str">
        <f>IFERROR(IF(清单台账!$AE63=1,清单台账!$T63,""),"")</f>
        <v/>
      </c>
      <c r="U62" s="37" t="str">
        <f>IFERROR(IF(清单台账!$AE63=1,清单台账!$U63,""),"")</f>
        <v/>
      </c>
      <c r="V62" s="38" t="str">
        <f>IFERROR(IF(清单台账!$AE63=1,清单台账!$V63,""),"")</f>
        <v/>
      </c>
      <c r="W62" s="40" t="str">
        <f>IFERROR(IF(清单台账!$AE63=1,清单台账!$W63,""),"")</f>
        <v/>
      </c>
      <c r="X62" s="46" t="str">
        <f>IF($F62&lt;&gt;"",IFERROR(MAX($X$5:$X61),0)+1,"")</f>
        <v/>
      </c>
    </row>
    <row r="63" spans="1:24">
      <c r="A63" s="36" t="str">
        <f>IFERROR(IF(清单台账!$AE64=1,清单台账!$A64,""),"")</f>
        <v/>
      </c>
      <c r="B63" s="37" t="str">
        <f>IFERROR(IF(清单台账!$AE64=1,清单台账!$AA64,""),"")</f>
        <v/>
      </c>
      <c r="C63" s="38" t="str">
        <f>IFERROR(IF(清单台账!$AE64=1,清单台账!$AB64,""),"")</f>
        <v/>
      </c>
      <c r="D63" s="37" t="str">
        <f>IFERROR(IF(清单台账!$AE64=1,清单台账!$AC64,""),"")</f>
        <v/>
      </c>
      <c r="E63" s="37" t="str">
        <f>IFERROR(IF(清单台账!$AE64=1,清单台账!$AD64,""),"")</f>
        <v/>
      </c>
      <c r="F63" s="37" t="str">
        <f>IFERROR(IF(清单台账!$AE64=1,清单台账!$F64,""),"")</f>
        <v/>
      </c>
      <c r="G63" s="37" t="str">
        <f>IFERROR(IF(清单台账!$AE64=1,清单台账!$G64,""),"")</f>
        <v/>
      </c>
      <c r="H63" s="37" t="str">
        <f>IFERROR(IF(清单台账!$AE64=1,清单台账!$H64,""),"")</f>
        <v/>
      </c>
      <c r="I63" s="37" t="str">
        <f>IFERROR(IF(清单台账!$AE64=1,清单台账!$I64,""),"")</f>
        <v/>
      </c>
      <c r="J63" s="37" t="str">
        <f>IFERROR(IF(清单台账!$AE64=1,清单台账!$J64,""),"")</f>
        <v/>
      </c>
      <c r="K63" s="37" t="str">
        <f>IFERROR(IF(清单台账!$AE64=1,清单台账!$K64,""),"")</f>
        <v/>
      </c>
      <c r="L63" s="37" t="str">
        <f>IFERROR(IF(清单台账!$AE64=1,清单台账!$L64,""),"")</f>
        <v/>
      </c>
      <c r="M63" s="37" t="str">
        <f>IFERROR(IF(清单台账!$AE64=1,清单台账!$M64,""),"")</f>
        <v/>
      </c>
      <c r="N63" s="37" t="str">
        <f>IFERROR(IF(清单台账!$AE64=1,清单台账!$N64,""),"")</f>
        <v/>
      </c>
      <c r="O63" s="37" t="str">
        <f>IFERROR(IF(清单台账!$AE64=1,清单台账!$O64,""),"")</f>
        <v/>
      </c>
      <c r="P63" s="39" t="str">
        <f>IFERROR(IF(清单台账!$AE64=1,清单台账!$P64,""),"")</f>
        <v/>
      </c>
      <c r="Q63" s="39" t="str">
        <f>IFERROR(IF(清单台账!$AE64=1,清单台账!$Q64,""),"")</f>
        <v/>
      </c>
      <c r="R63" s="39" t="str">
        <f>IFERROR(IF(清单台账!$AE64=1,清单台账!$R64,""),"")</f>
        <v/>
      </c>
      <c r="S63" s="37" t="str">
        <f>IFERROR(IF(清单台账!$AE64=1,清单台账!$S64,""),"")</f>
        <v/>
      </c>
      <c r="T63" s="37" t="str">
        <f>IFERROR(IF(清单台账!$AE64=1,清单台账!$T64,""),"")</f>
        <v/>
      </c>
      <c r="U63" s="37" t="str">
        <f>IFERROR(IF(清单台账!$AE64=1,清单台账!$U64,""),"")</f>
        <v/>
      </c>
      <c r="V63" s="38" t="str">
        <f>IFERROR(IF(清单台账!$AE64=1,清单台账!$V64,""),"")</f>
        <v/>
      </c>
      <c r="W63" s="40" t="str">
        <f>IFERROR(IF(清单台账!$AE64=1,清单台账!$W64,""),"")</f>
        <v/>
      </c>
      <c r="X63" s="46" t="str">
        <f>IF($F63&lt;&gt;"",IFERROR(MAX($X$5:$X62),0)+1,"")</f>
        <v/>
      </c>
    </row>
    <row r="64" spans="1:24">
      <c r="A64" s="36" t="str">
        <f>IFERROR(IF(清单台账!$AE65=1,清单台账!$A65,""),"")</f>
        <v/>
      </c>
      <c r="B64" s="37" t="str">
        <f>IFERROR(IF(清单台账!$AE65=1,清单台账!$AA65,""),"")</f>
        <v/>
      </c>
      <c r="C64" s="38" t="str">
        <f>IFERROR(IF(清单台账!$AE65=1,清单台账!$AB65,""),"")</f>
        <v/>
      </c>
      <c r="D64" s="37" t="str">
        <f>IFERROR(IF(清单台账!$AE65=1,清单台账!$AC65,""),"")</f>
        <v/>
      </c>
      <c r="E64" s="37" t="str">
        <f>IFERROR(IF(清单台账!$AE65=1,清单台账!$AD65,""),"")</f>
        <v/>
      </c>
      <c r="F64" s="37" t="str">
        <f>IFERROR(IF(清单台账!$AE65=1,清单台账!$F65,""),"")</f>
        <v/>
      </c>
      <c r="G64" s="37" t="str">
        <f>IFERROR(IF(清单台账!$AE65=1,清单台账!$G65,""),"")</f>
        <v/>
      </c>
      <c r="H64" s="37" t="str">
        <f>IFERROR(IF(清单台账!$AE65=1,清单台账!$H65,""),"")</f>
        <v/>
      </c>
      <c r="I64" s="37" t="str">
        <f>IFERROR(IF(清单台账!$AE65=1,清单台账!$I65,""),"")</f>
        <v/>
      </c>
      <c r="J64" s="37" t="str">
        <f>IFERROR(IF(清单台账!$AE65=1,清单台账!$J65,""),"")</f>
        <v/>
      </c>
      <c r="K64" s="37" t="str">
        <f>IFERROR(IF(清单台账!$AE65=1,清单台账!$K65,""),"")</f>
        <v/>
      </c>
      <c r="L64" s="37" t="str">
        <f>IFERROR(IF(清单台账!$AE65=1,清单台账!$L65,""),"")</f>
        <v/>
      </c>
      <c r="M64" s="37" t="str">
        <f>IFERROR(IF(清单台账!$AE65=1,清单台账!$M65,""),"")</f>
        <v/>
      </c>
      <c r="N64" s="37" t="str">
        <f>IFERROR(IF(清单台账!$AE65=1,清单台账!$N65,""),"")</f>
        <v/>
      </c>
      <c r="O64" s="37" t="str">
        <f>IFERROR(IF(清单台账!$AE65=1,清单台账!$O65,""),"")</f>
        <v/>
      </c>
      <c r="P64" s="39" t="str">
        <f>IFERROR(IF(清单台账!$AE65=1,清单台账!$P65,""),"")</f>
        <v/>
      </c>
      <c r="Q64" s="39" t="str">
        <f>IFERROR(IF(清单台账!$AE65=1,清单台账!$Q65,""),"")</f>
        <v/>
      </c>
      <c r="R64" s="39" t="str">
        <f>IFERROR(IF(清单台账!$AE65=1,清单台账!$R65,""),"")</f>
        <v/>
      </c>
      <c r="S64" s="37" t="str">
        <f>IFERROR(IF(清单台账!$AE65=1,清单台账!$S65,""),"")</f>
        <v/>
      </c>
      <c r="T64" s="37" t="str">
        <f>IFERROR(IF(清单台账!$AE65=1,清单台账!$T65,""),"")</f>
        <v/>
      </c>
      <c r="U64" s="37" t="str">
        <f>IFERROR(IF(清单台账!$AE65=1,清单台账!$U65,""),"")</f>
        <v/>
      </c>
      <c r="V64" s="38" t="str">
        <f>IFERROR(IF(清单台账!$AE65=1,清单台账!$V65,""),"")</f>
        <v/>
      </c>
      <c r="W64" s="40" t="str">
        <f>IFERROR(IF(清单台账!$AE65=1,清单台账!$W65,""),"")</f>
        <v/>
      </c>
      <c r="X64" s="46" t="str">
        <f>IF($F64&lt;&gt;"",IFERROR(MAX($X$5:$X63),0)+1,"")</f>
        <v/>
      </c>
    </row>
    <row r="65" spans="1:24">
      <c r="A65" s="36" t="str">
        <f>IFERROR(IF(清单台账!$AE66=1,清单台账!$A66,""),"")</f>
        <v/>
      </c>
      <c r="B65" s="37" t="str">
        <f>IFERROR(IF(清单台账!$AE66=1,清单台账!$AA66,""),"")</f>
        <v/>
      </c>
      <c r="C65" s="38" t="str">
        <f>IFERROR(IF(清单台账!$AE66=1,清单台账!$AB66,""),"")</f>
        <v/>
      </c>
      <c r="D65" s="37" t="str">
        <f>IFERROR(IF(清单台账!$AE66=1,清单台账!$AC66,""),"")</f>
        <v/>
      </c>
      <c r="E65" s="37" t="str">
        <f>IFERROR(IF(清单台账!$AE66=1,清单台账!$AD66,""),"")</f>
        <v/>
      </c>
      <c r="F65" s="37" t="str">
        <f>IFERROR(IF(清单台账!$AE66=1,清单台账!$F66,""),"")</f>
        <v/>
      </c>
      <c r="G65" s="37" t="str">
        <f>IFERROR(IF(清单台账!$AE66=1,清单台账!$G66,""),"")</f>
        <v/>
      </c>
      <c r="H65" s="37" t="str">
        <f>IFERROR(IF(清单台账!$AE66=1,清单台账!$H66,""),"")</f>
        <v/>
      </c>
      <c r="I65" s="37" t="str">
        <f>IFERROR(IF(清单台账!$AE66=1,清单台账!$I66,""),"")</f>
        <v/>
      </c>
      <c r="J65" s="37" t="str">
        <f>IFERROR(IF(清单台账!$AE66=1,清单台账!$J66,""),"")</f>
        <v/>
      </c>
      <c r="K65" s="37" t="str">
        <f>IFERROR(IF(清单台账!$AE66=1,清单台账!$K66,""),"")</f>
        <v/>
      </c>
      <c r="L65" s="37" t="str">
        <f>IFERROR(IF(清单台账!$AE66=1,清单台账!$L66,""),"")</f>
        <v/>
      </c>
      <c r="M65" s="37" t="str">
        <f>IFERROR(IF(清单台账!$AE66=1,清单台账!$M66,""),"")</f>
        <v/>
      </c>
      <c r="N65" s="37" t="str">
        <f>IFERROR(IF(清单台账!$AE66=1,清单台账!$N66,""),"")</f>
        <v/>
      </c>
      <c r="O65" s="37" t="str">
        <f>IFERROR(IF(清单台账!$AE66=1,清单台账!$O66,""),"")</f>
        <v/>
      </c>
      <c r="P65" s="39" t="str">
        <f>IFERROR(IF(清单台账!$AE66=1,清单台账!$P66,""),"")</f>
        <v/>
      </c>
      <c r="Q65" s="39" t="str">
        <f>IFERROR(IF(清单台账!$AE66=1,清单台账!$Q66,""),"")</f>
        <v/>
      </c>
      <c r="R65" s="39" t="str">
        <f>IFERROR(IF(清单台账!$AE66=1,清单台账!$R66,""),"")</f>
        <v/>
      </c>
      <c r="S65" s="37" t="str">
        <f>IFERROR(IF(清单台账!$AE66=1,清单台账!$S66,""),"")</f>
        <v/>
      </c>
      <c r="T65" s="37" t="str">
        <f>IFERROR(IF(清单台账!$AE66=1,清单台账!$T66,""),"")</f>
        <v/>
      </c>
      <c r="U65" s="37" t="str">
        <f>IFERROR(IF(清单台账!$AE66=1,清单台账!$U66,""),"")</f>
        <v/>
      </c>
      <c r="V65" s="38" t="str">
        <f>IFERROR(IF(清单台账!$AE66=1,清单台账!$V66,""),"")</f>
        <v/>
      </c>
      <c r="W65" s="40" t="str">
        <f>IFERROR(IF(清单台账!$AE66=1,清单台账!$W66,""),"")</f>
        <v/>
      </c>
      <c r="X65" s="46" t="str">
        <f>IF($F65&lt;&gt;"",IFERROR(MAX($X$5:$X64),0)+1,"")</f>
        <v/>
      </c>
    </row>
    <row r="66" spans="1:24">
      <c r="A66" s="36" t="str">
        <f>IFERROR(IF(清单台账!$AE67=1,清单台账!$A67,""),"")</f>
        <v/>
      </c>
      <c r="B66" s="37" t="str">
        <f>IFERROR(IF(清单台账!$AE67=1,清单台账!$AA67,""),"")</f>
        <v/>
      </c>
      <c r="C66" s="38" t="str">
        <f>IFERROR(IF(清单台账!$AE67=1,清单台账!$AB67,""),"")</f>
        <v/>
      </c>
      <c r="D66" s="37" t="str">
        <f>IFERROR(IF(清单台账!$AE67=1,清单台账!$AC67,""),"")</f>
        <v/>
      </c>
      <c r="E66" s="37" t="str">
        <f>IFERROR(IF(清单台账!$AE67=1,清单台账!$AD67,""),"")</f>
        <v/>
      </c>
      <c r="F66" s="37" t="str">
        <f>IFERROR(IF(清单台账!$AE67=1,清单台账!$F67,""),"")</f>
        <v/>
      </c>
      <c r="G66" s="37" t="str">
        <f>IFERROR(IF(清单台账!$AE67=1,清单台账!$G67,""),"")</f>
        <v/>
      </c>
      <c r="H66" s="37" t="str">
        <f>IFERROR(IF(清单台账!$AE67=1,清单台账!$H67,""),"")</f>
        <v/>
      </c>
      <c r="I66" s="37" t="str">
        <f>IFERROR(IF(清单台账!$AE67=1,清单台账!$I67,""),"")</f>
        <v/>
      </c>
      <c r="J66" s="37" t="str">
        <f>IFERROR(IF(清单台账!$AE67=1,清单台账!$J67,""),"")</f>
        <v/>
      </c>
      <c r="K66" s="37" t="str">
        <f>IFERROR(IF(清单台账!$AE67=1,清单台账!$K67,""),"")</f>
        <v/>
      </c>
      <c r="L66" s="37" t="str">
        <f>IFERROR(IF(清单台账!$AE67=1,清单台账!$L67,""),"")</f>
        <v/>
      </c>
      <c r="M66" s="37" t="str">
        <f>IFERROR(IF(清单台账!$AE67=1,清单台账!$M67,""),"")</f>
        <v/>
      </c>
      <c r="N66" s="37" t="str">
        <f>IFERROR(IF(清单台账!$AE67=1,清单台账!$N67,""),"")</f>
        <v/>
      </c>
      <c r="O66" s="37" t="str">
        <f>IFERROR(IF(清单台账!$AE67=1,清单台账!$O67,""),"")</f>
        <v/>
      </c>
      <c r="P66" s="39" t="str">
        <f>IFERROR(IF(清单台账!$AE67=1,清单台账!$P67,""),"")</f>
        <v/>
      </c>
      <c r="Q66" s="39" t="str">
        <f>IFERROR(IF(清单台账!$AE67=1,清单台账!$Q67,""),"")</f>
        <v/>
      </c>
      <c r="R66" s="39" t="str">
        <f>IFERROR(IF(清单台账!$AE67=1,清单台账!$R67,""),"")</f>
        <v/>
      </c>
      <c r="S66" s="37" t="str">
        <f>IFERROR(IF(清单台账!$AE67=1,清单台账!$S67,""),"")</f>
        <v/>
      </c>
      <c r="T66" s="37" t="str">
        <f>IFERROR(IF(清单台账!$AE67=1,清单台账!$T67,""),"")</f>
        <v/>
      </c>
      <c r="U66" s="37" t="str">
        <f>IFERROR(IF(清单台账!$AE67=1,清单台账!$U67,""),"")</f>
        <v/>
      </c>
      <c r="V66" s="38" t="str">
        <f>IFERROR(IF(清单台账!$AE67=1,清单台账!$V67,""),"")</f>
        <v/>
      </c>
      <c r="W66" s="40" t="str">
        <f>IFERROR(IF(清单台账!$AE67=1,清单台账!$W67,""),"")</f>
        <v/>
      </c>
      <c r="X66" s="46" t="str">
        <f>IF($F66&lt;&gt;"",IFERROR(MAX($X$5:$X65),0)+1,"")</f>
        <v/>
      </c>
    </row>
    <row r="67" spans="1:24">
      <c r="A67" s="36" t="str">
        <f>IFERROR(IF(清单台账!$AE68=1,清单台账!$A68,""),"")</f>
        <v/>
      </c>
      <c r="B67" s="37" t="str">
        <f>IFERROR(IF(清单台账!$AE68=1,清单台账!$AA68,""),"")</f>
        <v/>
      </c>
      <c r="C67" s="38" t="str">
        <f>IFERROR(IF(清单台账!$AE68=1,清单台账!$AB68,""),"")</f>
        <v/>
      </c>
      <c r="D67" s="37" t="str">
        <f>IFERROR(IF(清单台账!$AE68=1,清单台账!$AC68,""),"")</f>
        <v/>
      </c>
      <c r="E67" s="37" t="str">
        <f>IFERROR(IF(清单台账!$AE68=1,清单台账!$AD68,""),"")</f>
        <v/>
      </c>
      <c r="F67" s="37" t="str">
        <f>IFERROR(IF(清单台账!$AE68=1,清单台账!$F68,""),"")</f>
        <v/>
      </c>
      <c r="G67" s="37" t="str">
        <f>IFERROR(IF(清单台账!$AE68=1,清单台账!$G68,""),"")</f>
        <v/>
      </c>
      <c r="H67" s="37" t="str">
        <f>IFERROR(IF(清单台账!$AE68=1,清单台账!$H68,""),"")</f>
        <v/>
      </c>
      <c r="I67" s="37" t="str">
        <f>IFERROR(IF(清单台账!$AE68=1,清单台账!$I68,""),"")</f>
        <v/>
      </c>
      <c r="J67" s="37" t="str">
        <f>IFERROR(IF(清单台账!$AE68=1,清单台账!$J68,""),"")</f>
        <v/>
      </c>
      <c r="K67" s="37" t="str">
        <f>IFERROR(IF(清单台账!$AE68=1,清单台账!$K68,""),"")</f>
        <v/>
      </c>
      <c r="L67" s="37" t="str">
        <f>IFERROR(IF(清单台账!$AE68=1,清单台账!$L68,""),"")</f>
        <v/>
      </c>
      <c r="M67" s="37" t="str">
        <f>IFERROR(IF(清单台账!$AE68=1,清单台账!$M68,""),"")</f>
        <v/>
      </c>
      <c r="N67" s="37" t="str">
        <f>IFERROR(IF(清单台账!$AE68=1,清单台账!$N68,""),"")</f>
        <v/>
      </c>
      <c r="O67" s="37" t="str">
        <f>IFERROR(IF(清单台账!$AE68=1,清单台账!$O68,""),"")</f>
        <v/>
      </c>
      <c r="P67" s="39" t="str">
        <f>IFERROR(IF(清单台账!$AE68=1,清单台账!$P68,""),"")</f>
        <v/>
      </c>
      <c r="Q67" s="39" t="str">
        <f>IFERROR(IF(清单台账!$AE68=1,清单台账!$Q68,""),"")</f>
        <v/>
      </c>
      <c r="R67" s="39" t="str">
        <f>IFERROR(IF(清单台账!$AE68=1,清单台账!$R68,""),"")</f>
        <v/>
      </c>
      <c r="S67" s="37" t="str">
        <f>IFERROR(IF(清单台账!$AE68=1,清单台账!$S68,""),"")</f>
        <v/>
      </c>
      <c r="T67" s="37" t="str">
        <f>IFERROR(IF(清单台账!$AE68=1,清单台账!$T68,""),"")</f>
        <v/>
      </c>
      <c r="U67" s="37" t="str">
        <f>IFERROR(IF(清单台账!$AE68=1,清单台账!$U68,""),"")</f>
        <v/>
      </c>
      <c r="V67" s="38" t="str">
        <f>IFERROR(IF(清单台账!$AE68=1,清单台账!$V68,""),"")</f>
        <v/>
      </c>
      <c r="W67" s="40" t="str">
        <f>IFERROR(IF(清单台账!$AE68=1,清单台账!$W68,""),"")</f>
        <v/>
      </c>
      <c r="X67" s="46" t="str">
        <f>IF($F67&lt;&gt;"",IFERROR(MAX($X$5:$X66),0)+1,"")</f>
        <v/>
      </c>
    </row>
    <row r="68" spans="1:24">
      <c r="A68" s="36" t="str">
        <f>IFERROR(IF(清单台账!$AE69=1,清单台账!$A69,""),"")</f>
        <v/>
      </c>
      <c r="B68" s="37" t="str">
        <f>IFERROR(IF(清单台账!$AE69=1,清单台账!$AA69,""),"")</f>
        <v/>
      </c>
      <c r="C68" s="38" t="str">
        <f>IFERROR(IF(清单台账!$AE69=1,清单台账!$AB69,""),"")</f>
        <v/>
      </c>
      <c r="D68" s="37" t="str">
        <f>IFERROR(IF(清单台账!$AE69=1,清单台账!$AC69,""),"")</f>
        <v/>
      </c>
      <c r="E68" s="37" t="str">
        <f>IFERROR(IF(清单台账!$AE69=1,清单台账!$AD69,""),"")</f>
        <v/>
      </c>
      <c r="F68" s="37" t="str">
        <f>IFERROR(IF(清单台账!$AE69=1,清单台账!$F69,""),"")</f>
        <v/>
      </c>
      <c r="G68" s="37" t="str">
        <f>IFERROR(IF(清单台账!$AE69=1,清单台账!$G69,""),"")</f>
        <v/>
      </c>
      <c r="H68" s="37" t="str">
        <f>IFERROR(IF(清单台账!$AE69=1,清单台账!$H69,""),"")</f>
        <v/>
      </c>
      <c r="I68" s="37" t="str">
        <f>IFERROR(IF(清单台账!$AE69=1,清单台账!$I69,""),"")</f>
        <v/>
      </c>
      <c r="J68" s="37" t="str">
        <f>IFERROR(IF(清单台账!$AE69=1,清单台账!$J69,""),"")</f>
        <v/>
      </c>
      <c r="K68" s="37" t="str">
        <f>IFERROR(IF(清单台账!$AE69=1,清单台账!$K69,""),"")</f>
        <v/>
      </c>
      <c r="L68" s="37" t="str">
        <f>IFERROR(IF(清单台账!$AE69=1,清单台账!$L69,""),"")</f>
        <v/>
      </c>
      <c r="M68" s="37" t="str">
        <f>IFERROR(IF(清单台账!$AE69=1,清单台账!$M69,""),"")</f>
        <v/>
      </c>
      <c r="N68" s="37" t="str">
        <f>IFERROR(IF(清单台账!$AE69=1,清单台账!$N69,""),"")</f>
        <v/>
      </c>
      <c r="O68" s="37" t="str">
        <f>IFERROR(IF(清单台账!$AE69=1,清单台账!$O69,""),"")</f>
        <v/>
      </c>
      <c r="P68" s="39" t="str">
        <f>IFERROR(IF(清单台账!$AE69=1,清单台账!$P69,""),"")</f>
        <v/>
      </c>
      <c r="Q68" s="39" t="str">
        <f>IFERROR(IF(清单台账!$AE69=1,清单台账!$Q69,""),"")</f>
        <v/>
      </c>
      <c r="R68" s="39" t="str">
        <f>IFERROR(IF(清单台账!$AE69=1,清单台账!$R69,""),"")</f>
        <v/>
      </c>
      <c r="S68" s="37" t="str">
        <f>IFERROR(IF(清单台账!$AE69=1,清单台账!$S69,""),"")</f>
        <v/>
      </c>
      <c r="T68" s="37" t="str">
        <f>IFERROR(IF(清单台账!$AE69=1,清单台账!$T69,""),"")</f>
        <v/>
      </c>
      <c r="U68" s="37" t="str">
        <f>IFERROR(IF(清单台账!$AE69=1,清单台账!$U69,""),"")</f>
        <v/>
      </c>
      <c r="V68" s="38" t="str">
        <f>IFERROR(IF(清单台账!$AE69=1,清单台账!$V69,""),"")</f>
        <v/>
      </c>
      <c r="W68" s="40" t="str">
        <f>IFERROR(IF(清单台账!$AE69=1,清单台账!$W69,""),"")</f>
        <v/>
      </c>
      <c r="X68" s="46" t="str">
        <f>IF($F68&lt;&gt;"",IFERROR(MAX($X$5:$X67),0)+1,"")</f>
        <v/>
      </c>
    </row>
    <row r="69" spans="1:24">
      <c r="A69" s="36" t="str">
        <f>IFERROR(IF(清单台账!$AE70=1,清单台账!$A70,""),"")</f>
        <v/>
      </c>
      <c r="B69" s="37" t="str">
        <f>IFERROR(IF(清单台账!$AE70=1,清单台账!$AA70,""),"")</f>
        <v/>
      </c>
      <c r="C69" s="38" t="str">
        <f>IFERROR(IF(清单台账!$AE70=1,清单台账!$AB70,""),"")</f>
        <v/>
      </c>
      <c r="D69" s="37" t="str">
        <f>IFERROR(IF(清单台账!$AE70=1,清单台账!$AC70,""),"")</f>
        <v/>
      </c>
      <c r="E69" s="37" t="str">
        <f>IFERROR(IF(清单台账!$AE70=1,清单台账!$AD70,""),"")</f>
        <v/>
      </c>
      <c r="F69" s="37" t="str">
        <f>IFERROR(IF(清单台账!$AE70=1,清单台账!$F70,""),"")</f>
        <v/>
      </c>
      <c r="G69" s="37" t="str">
        <f>IFERROR(IF(清单台账!$AE70=1,清单台账!$G70,""),"")</f>
        <v/>
      </c>
      <c r="H69" s="37" t="str">
        <f>IFERROR(IF(清单台账!$AE70=1,清单台账!$H70,""),"")</f>
        <v/>
      </c>
      <c r="I69" s="37" t="str">
        <f>IFERROR(IF(清单台账!$AE70=1,清单台账!$I70,""),"")</f>
        <v/>
      </c>
      <c r="J69" s="37" t="str">
        <f>IFERROR(IF(清单台账!$AE70=1,清单台账!$J70,""),"")</f>
        <v/>
      </c>
      <c r="K69" s="37" t="str">
        <f>IFERROR(IF(清单台账!$AE70=1,清单台账!$K70,""),"")</f>
        <v/>
      </c>
      <c r="L69" s="37" t="str">
        <f>IFERROR(IF(清单台账!$AE70=1,清单台账!$L70,""),"")</f>
        <v/>
      </c>
      <c r="M69" s="37" t="str">
        <f>IFERROR(IF(清单台账!$AE70=1,清单台账!$M70,""),"")</f>
        <v/>
      </c>
      <c r="N69" s="37" t="str">
        <f>IFERROR(IF(清单台账!$AE70=1,清单台账!$N70,""),"")</f>
        <v/>
      </c>
      <c r="O69" s="37" t="str">
        <f>IFERROR(IF(清单台账!$AE70=1,清单台账!$O70,""),"")</f>
        <v/>
      </c>
      <c r="P69" s="39" t="str">
        <f>IFERROR(IF(清单台账!$AE70=1,清单台账!$P70,""),"")</f>
        <v/>
      </c>
      <c r="Q69" s="39" t="str">
        <f>IFERROR(IF(清单台账!$AE70=1,清单台账!$Q70,""),"")</f>
        <v/>
      </c>
      <c r="R69" s="39" t="str">
        <f>IFERROR(IF(清单台账!$AE70=1,清单台账!$R70,""),"")</f>
        <v/>
      </c>
      <c r="S69" s="37" t="str">
        <f>IFERROR(IF(清单台账!$AE70=1,清单台账!$S70,""),"")</f>
        <v/>
      </c>
      <c r="T69" s="37" t="str">
        <f>IFERROR(IF(清单台账!$AE70=1,清单台账!$T70,""),"")</f>
        <v/>
      </c>
      <c r="U69" s="37" t="str">
        <f>IFERROR(IF(清单台账!$AE70=1,清单台账!$U70,""),"")</f>
        <v/>
      </c>
      <c r="V69" s="38" t="str">
        <f>IFERROR(IF(清单台账!$AE70=1,清单台账!$V70,""),"")</f>
        <v/>
      </c>
      <c r="W69" s="40" t="str">
        <f>IFERROR(IF(清单台账!$AE70=1,清单台账!$W70,""),"")</f>
        <v/>
      </c>
      <c r="X69" s="46" t="str">
        <f>IF($F69&lt;&gt;"",IFERROR(MAX($X$5:$X68),0)+1,"")</f>
        <v/>
      </c>
    </row>
    <row r="70" spans="1:24">
      <c r="A70" s="36" t="str">
        <f>IFERROR(IF(清单台账!$AE71=1,清单台账!$A71,""),"")</f>
        <v/>
      </c>
      <c r="B70" s="37" t="str">
        <f>IFERROR(IF(清单台账!$AE71=1,清单台账!$AA71,""),"")</f>
        <v/>
      </c>
      <c r="C70" s="38" t="str">
        <f>IFERROR(IF(清单台账!$AE71=1,清单台账!$AB71,""),"")</f>
        <v/>
      </c>
      <c r="D70" s="37" t="str">
        <f>IFERROR(IF(清单台账!$AE71=1,清单台账!$AC71,""),"")</f>
        <v/>
      </c>
      <c r="E70" s="37" t="str">
        <f>IFERROR(IF(清单台账!$AE71=1,清单台账!$AD71,""),"")</f>
        <v/>
      </c>
      <c r="F70" s="37" t="str">
        <f>IFERROR(IF(清单台账!$AE71=1,清单台账!$F71,""),"")</f>
        <v/>
      </c>
      <c r="G70" s="37" t="str">
        <f>IFERROR(IF(清单台账!$AE71=1,清单台账!$G71,""),"")</f>
        <v/>
      </c>
      <c r="H70" s="37" t="str">
        <f>IFERROR(IF(清单台账!$AE71=1,清单台账!$H71,""),"")</f>
        <v/>
      </c>
      <c r="I70" s="37" t="str">
        <f>IFERROR(IF(清单台账!$AE71=1,清单台账!$I71,""),"")</f>
        <v/>
      </c>
      <c r="J70" s="37" t="str">
        <f>IFERROR(IF(清单台账!$AE71=1,清单台账!$J71,""),"")</f>
        <v/>
      </c>
      <c r="K70" s="37" t="str">
        <f>IFERROR(IF(清单台账!$AE71=1,清单台账!$K71,""),"")</f>
        <v/>
      </c>
      <c r="L70" s="37" t="str">
        <f>IFERROR(IF(清单台账!$AE71=1,清单台账!$L71,""),"")</f>
        <v/>
      </c>
      <c r="M70" s="37" t="str">
        <f>IFERROR(IF(清单台账!$AE71=1,清单台账!$M71,""),"")</f>
        <v/>
      </c>
      <c r="N70" s="37" t="str">
        <f>IFERROR(IF(清单台账!$AE71=1,清单台账!$N71,""),"")</f>
        <v/>
      </c>
      <c r="O70" s="37" t="str">
        <f>IFERROR(IF(清单台账!$AE71=1,清单台账!$O71,""),"")</f>
        <v/>
      </c>
      <c r="P70" s="39" t="str">
        <f>IFERROR(IF(清单台账!$AE71=1,清单台账!$P71,""),"")</f>
        <v/>
      </c>
      <c r="Q70" s="39" t="str">
        <f>IFERROR(IF(清单台账!$AE71=1,清单台账!$Q71,""),"")</f>
        <v/>
      </c>
      <c r="R70" s="39" t="str">
        <f>IFERROR(IF(清单台账!$AE71=1,清单台账!$R71,""),"")</f>
        <v/>
      </c>
      <c r="S70" s="37" t="str">
        <f>IFERROR(IF(清单台账!$AE71=1,清单台账!$S71,""),"")</f>
        <v/>
      </c>
      <c r="T70" s="37" t="str">
        <f>IFERROR(IF(清单台账!$AE71=1,清单台账!$T71,""),"")</f>
        <v/>
      </c>
      <c r="U70" s="37" t="str">
        <f>IFERROR(IF(清单台账!$AE71=1,清单台账!$U71,""),"")</f>
        <v/>
      </c>
      <c r="V70" s="38" t="str">
        <f>IFERROR(IF(清单台账!$AE71=1,清单台账!$V71,""),"")</f>
        <v/>
      </c>
      <c r="W70" s="40" t="str">
        <f>IFERROR(IF(清单台账!$AE71=1,清单台账!$W71,""),"")</f>
        <v/>
      </c>
      <c r="X70" s="46" t="str">
        <f>IF($F70&lt;&gt;"",IFERROR(MAX($X$5:$X69),0)+1,"")</f>
        <v/>
      </c>
    </row>
    <row r="71" spans="1:24">
      <c r="A71" s="36" t="str">
        <f>IFERROR(IF(清单台账!$AE72=1,清单台账!$A72,""),"")</f>
        <v/>
      </c>
      <c r="B71" s="37" t="str">
        <f>IFERROR(IF(清单台账!$AE72=1,清单台账!$AA72,""),"")</f>
        <v/>
      </c>
      <c r="C71" s="38" t="str">
        <f>IFERROR(IF(清单台账!$AE72=1,清单台账!$AB72,""),"")</f>
        <v/>
      </c>
      <c r="D71" s="37" t="str">
        <f>IFERROR(IF(清单台账!$AE72=1,清单台账!$AC72,""),"")</f>
        <v/>
      </c>
      <c r="E71" s="37" t="str">
        <f>IFERROR(IF(清单台账!$AE72=1,清单台账!$AD72,""),"")</f>
        <v/>
      </c>
      <c r="F71" s="37" t="str">
        <f>IFERROR(IF(清单台账!$AE72=1,清单台账!$F72,""),"")</f>
        <v/>
      </c>
      <c r="G71" s="37" t="str">
        <f>IFERROR(IF(清单台账!$AE72=1,清单台账!$G72,""),"")</f>
        <v/>
      </c>
      <c r="H71" s="37" t="str">
        <f>IFERROR(IF(清单台账!$AE72=1,清单台账!$H72,""),"")</f>
        <v/>
      </c>
      <c r="I71" s="37" t="str">
        <f>IFERROR(IF(清单台账!$AE72=1,清单台账!$I72,""),"")</f>
        <v/>
      </c>
      <c r="J71" s="37" t="str">
        <f>IFERROR(IF(清单台账!$AE72=1,清单台账!$J72,""),"")</f>
        <v/>
      </c>
      <c r="K71" s="37" t="str">
        <f>IFERROR(IF(清单台账!$AE72=1,清单台账!$K72,""),"")</f>
        <v/>
      </c>
      <c r="L71" s="37" t="str">
        <f>IFERROR(IF(清单台账!$AE72=1,清单台账!$L72,""),"")</f>
        <v/>
      </c>
      <c r="M71" s="37" t="str">
        <f>IFERROR(IF(清单台账!$AE72=1,清单台账!$M72,""),"")</f>
        <v/>
      </c>
      <c r="N71" s="37" t="str">
        <f>IFERROR(IF(清单台账!$AE72=1,清单台账!$N72,""),"")</f>
        <v/>
      </c>
      <c r="O71" s="37" t="str">
        <f>IFERROR(IF(清单台账!$AE72=1,清单台账!$O72,""),"")</f>
        <v/>
      </c>
      <c r="P71" s="39" t="str">
        <f>IFERROR(IF(清单台账!$AE72=1,清单台账!$P72,""),"")</f>
        <v/>
      </c>
      <c r="Q71" s="39" t="str">
        <f>IFERROR(IF(清单台账!$AE72=1,清单台账!$Q72,""),"")</f>
        <v/>
      </c>
      <c r="R71" s="39" t="str">
        <f>IFERROR(IF(清单台账!$AE72=1,清单台账!$R72,""),"")</f>
        <v/>
      </c>
      <c r="S71" s="37" t="str">
        <f>IFERROR(IF(清单台账!$AE72=1,清单台账!$S72,""),"")</f>
        <v/>
      </c>
      <c r="T71" s="37" t="str">
        <f>IFERROR(IF(清单台账!$AE72=1,清单台账!$T72,""),"")</f>
        <v/>
      </c>
      <c r="U71" s="37" t="str">
        <f>IFERROR(IF(清单台账!$AE72=1,清单台账!$U72,""),"")</f>
        <v/>
      </c>
      <c r="V71" s="38" t="str">
        <f>IFERROR(IF(清单台账!$AE72=1,清单台账!$V72,""),"")</f>
        <v/>
      </c>
      <c r="W71" s="40" t="str">
        <f>IFERROR(IF(清单台账!$AE72=1,清单台账!$W72,""),"")</f>
        <v/>
      </c>
      <c r="X71" s="46" t="str">
        <f>IF($F71&lt;&gt;"",IFERROR(MAX($X$5:$X70),0)+1,"")</f>
        <v/>
      </c>
    </row>
    <row r="72" spans="1:24">
      <c r="A72" s="36" t="str">
        <f>IFERROR(IF(清单台账!$AE73=1,清单台账!$A73,""),"")</f>
        <v/>
      </c>
      <c r="B72" s="37" t="str">
        <f>IFERROR(IF(清单台账!$AE73=1,清单台账!$AA73,""),"")</f>
        <v/>
      </c>
      <c r="C72" s="38" t="str">
        <f>IFERROR(IF(清单台账!$AE73=1,清单台账!$AB73,""),"")</f>
        <v/>
      </c>
      <c r="D72" s="37" t="str">
        <f>IFERROR(IF(清单台账!$AE73=1,清单台账!$AC73,""),"")</f>
        <v/>
      </c>
      <c r="E72" s="37" t="str">
        <f>IFERROR(IF(清单台账!$AE73=1,清单台账!$AD73,""),"")</f>
        <v/>
      </c>
      <c r="F72" s="37" t="str">
        <f>IFERROR(IF(清单台账!$AE73=1,清单台账!$F73,""),"")</f>
        <v/>
      </c>
      <c r="G72" s="37" t="str">
        <f>IFERROR(IF(清单台账!$AE73=1,清单台账!$G73,""),"")</f>
        <v/>
      </c>
      <c r="H72" s="37" t="str">
        <f>IFERROR(IF(清单台账!$AE73=1,清单台账!$H73,""),"")</f>
        <v/>
      </c>
      <c r="I72" s="37" t="str">
        <f>IFERROR(IF(清单台账!$AE73=1,清单台账!$I73,""),"")</f>
        <v/>
      </c>
      <c r="J72" s="37" t="str">
        <f>IFERROR(IF(清单台账!$AE73=1,清单台账!$J73,""),"")</f>
        <v/>
      </c>
      <c r="K72" s="37" t="str">
        <f>IFERROR(IF(清单台账!$AE73=1,清单台账!$K73,""),"")</f>
        <v/>
      </c>
      <c r="L72" s="37" t="str">
        <f>IFERROR(IF(清单台账!$AE73=1,清单台账!$L73,""),"")</f>
        <v/>
      </c>
      <c r="M72" s="37" t="str">
        <f>IFERROR(IF(清单台账!$AE73=1,清单台账!$M73,""),"")</f>
        <v/>
      </c>
      <c r="N72" s="37" t="str">
        <f>IFERROR(IF(清单台账!$AE73=1,清单台账!$N73,""),"")</f>
        <v/>
      </c>
      <c r="O72" s="37" t="str">
        <f>IFERROR(IF(清单台账!$AE73=1,清单台账!$O73,""),"")</f>
        <v/>
      </c>
      <c r="P72" s="39" t="str">
        <f>IFERROR(IF(清单台账!$AE73=1,清单台账!$P73,""),"")</f>
        <v/>
      </c>
      <c r="Q72" s="39" t="str">
        <f>IFERROR(IF(清单台账!$AE73=1,清单台账!$Q73,""),"")</f>
        <v/>
      </c>
      <c r="R72" s="39" t="str">
        <f>IFERROR(IF(清单台账!$AE73=1,清单台账!$R73,""),"")</f>
        <v/>
      </c>
      <c r="S72" s="37" t="str">
        <f>IFERROR(IF(清单台账!$AE73=1,清单台账!$S73,""),"")</f>
        <v/>
      </c>
      <c r="T72" s="37" t="str">
        <f>IFERROR(IF(清单台账!$AE73=1,清单台账!$T73,""),"")</f>
        <v/>
      </c>
      <c r="U72" s="37" t="str">
        <f>IFERROR(IF(清单台账!$AE73=1,清单台账!$U73,""),"")</f>
        <v/>
      </c>
      <c r="V72" s="38" t="str">
        <f>IFERROR(IF(清单台账!$AE73=1,清单台账!$V73,""),"")</f>
        <v/>
      </c>
      <c r="W72" s="40" t="str">
        <f>IFERROR(IF(清单台账!$AE73=1,清单台账!$W73,""),"")</f>
        <v/>
      </c>
      <c r="X72" s="46" t="str">
        <f>IF($F72&lt;&gt;"",IFERROR(MAX($X$5:$X71),0)+1,"")</f>
        <v/>
      </c>
    </row>
    <row r="73" spans="1:24">
      <c r="A73" s="36" t="str">
        <f>IFERROR(IF(清单台账!$AE74=1,清单台账!$A74,""),"")</f>
        <v/>
      </c>
      <c r="B73" s="37" t="str">
        <f>IFERROR(IF(清单台账!$AE74=1,清单台账!$AA74,""),"")</f>
        <v/>
      </c>
      <c r="C73" s="38" t="str">
        <f>IFERROR(IF(清单台账!$AE74=1,清单台账!$AB74,""),"")</f>
        <v/>
      </c>
      <c r="D73" s="37" t="str">
        <f>IFERROR(IF(清单台账!$AE74=1,清单台账!$AC74,""),"")</f>
        <v/>
      </c>
      <c r="E73" s="37" t="str">
        <f>IFERROR(IF(清单台账!$AE74=1,清单台账!$AD74,""),"")</f>
        <v/>
      </c>
      <c r="F73" s="37" t="str">
        <f>IFERROR(IF(清单台账!$AE74=1,清单台账!$F74,""),"")</f>
        <v/>
      </c>
      <c r="G73" s="37" t="str">
        <f>IFERROR(IF(清单台账!$AE74=1,清单台账!$G74,""),"")</f>
        <v/>
      </c>
      <c r="H73" s="37" t="str">
        <f>IFERROR(IF(清单台账!$AE74=1,清单台账!$H74,""),"")</f>
        <v/>
      </c>
      <c r="I73" s="37" t="str">
        <f>IFERROR(IF(清单台账!$AE74=1,清单台账!$I74,""),"")</f>
        <v/>
      </c>
      <c r="J73" s="37" t="str">
        <f>IFERROR(IF(清单台账!$AE74=1,清单台账!$J74,""),"")</f>
        <v/>
      </c>
      <c r="K73" s="37" t="str">
        <f>IFERROR(IF(清单台账!$AE74=1,清单台账!$K74,""),"")</f>
        <v/>
      </c>
      <c r="L73" s="37" t="str">
        <f>IFERROR(IF(清单台账!$AE74=1,清单台账!$L74,""),"")</f>
        <v/>
      </c>
      <c r="M73" s="37" t="str">
        <f>IFERROR(IF(清单台账!$AE74=1,清单台账!$M74,""),"")</f>
        <v/>
      </c>
      <c r="N73" s="37" t="str">
        <f>IFERROR(IF(清单台账!$AE74=1,清单台账!$N74,""),"")</f>
        <v/>
      </c>
      <c r="O73" s="37" t="str">
        <f>IFERROR(IF(清单台账!$AE74=1,清单台账!$O74,""),"")</f>
        <v/>
      </c>
      <c r="P73" s="39" t="str">
        <f>IFERROR(IF(清单台账!$AE74=1,清单台账!$P74,""),"")</f>
        <v/>
      </c>
      <c r="Q73" s="39" t="str">
        <f>IFERROR(IF(清单台账!$AE74=1,清单台账!$Q74,""),"")</f>
        <v/>
      </c>
      <c r="R73" s="39" t="str">
        <f>IFERROR(IF(清单台账!$AE74=1,清单台账!$R74,""),"")</f>
        <v/>
      </c>
      <c r="S73" s="37" t="str">
        <f>IFERROR(IF(清单台账!$AE74=1,清单台账!$S74,""),"")</f>
        <v/>
      </c>
      <c r="T73" s="37" t="str">
        <f>IFERROR(IF(清单台账!$AE74=1,清单台账!$T74,""),"")</f>
        <v/>
      </c>
      <c r="U73" s="37" t="str">
        <f>IFERROR(IF(清单台账!$AE74=1,清单台账!$U74,""),"")</f>
        <v/>
      </c>
      <c r="V73" s="38" t="str">
        <f>IFERROR(IF(清单台账!$AE74=1,清单台账!$V74,""),"")</f>
        <v/>
      </c>
      <c r="W73" s="40" t="str">
        <f>IFERROR(IF(清单台账!$AE74=1,清单台账!$W74,""),"")</f>
        <v/>
      </c>
      <c r="X73" s="46" t="str">
        <f>IF($F73&lt;&gt;"",IFERROR(MAX($X$5:$X72),0)+1,"")</f>
        <v/>
      </c>
    </row>
    <row r="74" spans="1:24">
      <c r="A74" s="36" t="str">
        <f>IFERROR(IF(清单台账!$AE75=1,清单台账!$A75,""),"")</f>
        <v/>
      </c>
      <c r="B74" s="37" t="str">
        <f>IFERROR(IF(清单台账!$AE75=1,清单台账!$AA75,""),"")</f>
        <v/>
      </c>
      <c r="C74" s="38" t="str">
        <f>IFERROR(IF(清单台账!$AE75=1,清单台账!$AB75,""),"")</f>
        <v/>
      </c>
      <c r="D74" s="37" t="str">
        <f>IFERROR(IF(清单台账!$AE75=1,清单台账!$AC75,""),"")</f>
        <v/>
      </c>
      <c r="E74" s="37" t="str">
        <f>IFERROR(IF(清单台账!$AE75=1,清单台账!$AD75,""),"")</f>
        <v/>
      </c>
      <c r="F74" s="37" t="str">
        <f>IFERROR(IF(清单台账!$AE75=1,清单台账!$F75,""),"")</f>
        <v/>
      </c>
      <c r="G74" s="37" t="str">
        <f>IFERROR(IF(清单台账!$AE75=1,清单台账!$G75,""),"")</f>
        <v/>
      </c>
      <c r="H74" s="37" t="str">
        <f>IFERROR(IF(清单台账!$AE75=1,清单台账!$H75,""),"")</f>
        <v/>
      </c>
      <c r="I74" s="37" t="str">
        <f>IFERROR(IF(清单台账!$AE75=1,清单台账!$I75,""),"")</f>
        <v/>
      </c>
      <c r="J74" s="37" t="str">
        <f>IFERROR(IF(清单台账!$AE75=1,清单台账!$J75,""),"")</f>
        <v/>
      </c>
      <c r="K74" s="37" t="str">
        <f>IFERROR(IF(清单台账!$AE75=1,清单台账!$K75,""),"")</f>
        <v/>
      </c>
      <c r="L74" s="37" t="str">
        <f>IFERROR(IF(清单台账!$AE75=1,清单台账!$L75,""),"")</f>
        <v/>
      </c>
      <c r="M74" s="37" t="str">
        <f>IFERROR(IF(清单台账!$AE75=1,清单台账!$M75,""),"")</f>
        <v/>
      </c>
      <c r="N74" s="37" t="str">
        <f>IFERROR(IF(清单台账!$AE75=1,清单台账!$N75,""),"")</f>
        <v/>
      </c>
      <c r="O74" s="37" t="str">
        <f>IFERROR(IF(清单台账!$AE75=1,清单台账!$O75,""),"")</f>
        <v/>
      </c>
      <c r="P74" s="39" t="str">
        <f>IFERROR(IF(清单台账!$AE75=1,清单台账!$P75,""),"")</f>
        <v/>
      </c>
      <c r="Q74" s="39" t="str">
        <f>IFERROR(IF(清单台账!$AE75=1,清单台账!$Q75,""),"")</f>
        <v/>
      </c>
      <c r="R74" s="39" t="str">
        <f>IFERROR(IF(清单台账!$AE75=1,清单台账!$R75,""),"")</f>
        <v/>
      </c>
      <c r="S74" s="37" t="str">
        <f>IFERROR(IF(清单台账!$AE75=1,清单台账!$S75,""),"")</f>
        <v/>
      </c>
      <c r="T74" s="37" t="str">
        <f>IFERROR(IF(清单台账!$AE75=1,清单台账!$T75,""),"")</f>
        <v/>
      </c>
      <c r="U74" s="37" t="str">
        <f>IFERROR(IF(清单台账!$AE75=1,清单台账!$U75,""),"")</f>
        <v/>
      </c>
      <c r="V74" s="38" t="str">
        <f>IFERROR(IF(清单台账!$AE75=1,清单台账!$V75,""),"")</f>
        <v/>
      </c>
      <c r="W74" s="40" t="str">
        <f>IFERROR(IF(清单台账!$AE75=1,清单台账!$W75,""),"")</f>
        <v/>
      </c>
      <c r="X74" s="46" t="str">
        <f>IF($F74&lt;&gt;"",IFERROR(MAX($X$5:$X73),0)+1,"")</f>
        <v/>
      </c>
    </row>
    <row r="75" spans="1:24">
      <c r="A75" s="36" t="str">
        <f>IFERROR(IF(清单台账!$AE76=1,清单台账!$A76,""),"")</f>
        <v/>
      </c>
      <c r="B75" s="37" t="str">
        <f>IFERROR(IF(清单台账!$AE76=1,清单台账!$AA76,""),"")</f>
        <v/>
      </c>
      <c r="C75" s="38" t="str">
        <f>IFERROR(IF(清单台账!$AE76=1,清单台账!$AB76,""),"")</f>
        <v/>
      </c>
      <c r="D75" s="37" t="str">
        <f>IFERROR(IF(清单台账!$AE76=1,清单台账!$AC76,""),"")</f>
        <v/>
      </c>
      <c r="E75" s="37" t="str">
        <f>IFERROR(IF(清单台账!$AE76=1,清单台账!$AD76,""),"")</f>
        <v/>
      </c>
      <c r="F75" s="37" t="str">
        <f>IFERROR(IF(清单台账!$AE76=1,清单台账!$F76,""),"")</f>
        <v/>
      </c>
      <c r="G75" s="37" t="str">
        <f>IFERROR(IF(清单台账!$AE76=1,清单台账!$G76,""),"")</f>
        <v/>
      </c>
      <c r="H75" s="37" t="str">
        <f>IFERROR(IF(清单台账!$AE76=1,清单台账!$H76,""),"")</f>
        <v/>
      </c>
      <c r="I75" s="37" t="str">
        <f>IFERROR(IF(清单台账!$AE76=1,清单台账!$I76,""),"")</f>
        <v/>
      </c>
      <c r="J75" s="37" t="str">
        <f>IFERROR(IF(清单台账!$AE76=1,清单台账!$J76,""),"")</f>
        <v/>
      </c>
      <c r="K75" s="37" t="str">
        <f>IFERROR(IF(清单台账!$AE76=1,清单台账!$K76,""),"")</f>
        <v/>
      </c>
      <c r="L75" s="37" t="str">
        <f>IFERROR(IF(清单台账!$AE76=1,清单台账!$L76,""),"")</f>
        <v/>
      </c>
      <c r="M75" s="37" t="str">
        <f>IFERROR(IF(清单台账!$AE76=1,清单台账!$M76,""),"")</f>
        <v/>
      </c>
      <c r="N75" s="37" t="str">
        <f>IFERROR(IF(清单台账!$AE76=1,清单台账!$N76,""),"")</f>
        <v/>
      </c>
      <c r="O75" s="37" t="str">
        <f>IFERROR(IF(清单台账!$AE76=1,清单台账!$O76,""),"")</f>
        <v/>
      </c>
      <c r="P75" s="39" t="str">
        <f>IFERROR(IF(清单台账!$AE76=1,清单台账!$P76,""),"")</f>
        <v/>
      </c>
      <c r="Q75" s="39" t="str">
        <f>IFERROR(IF(清单台账!$AE76=1,清单台账!$Q76,""),"")</f>
        <v/>
      </c>
      <c r="R75" s="39" t="str">
        <f>IFERROR(IF(清单台账!$AE76=1,清单台账!$R76,""),"")</f>
        <v/>
      </c>
      <c r="S75" s="37" t="str">
        <f>IFERROR(IF(清单台账!$AE76=1,清单台账!$S76,""),"")</f>
        <v/>
      </c>
      <c r="T75" s="37" t="str">
        <f>IFERROR(IF(清单台账!$AE76=1,清单台账!$T76,""),"")</f>
        <v/>
      </c>
      <c r="U75" s="37" t="str">
        <f>IFERROR(IF(清单台账!$AE76=1,清单台账!$U76,""),"")</f>
        <v/>
      </c>
      <c r="V75" s="38" t="str">
        <f>IFERROR(IF(清单台账!$AE76=1,清单台账!$V76,""),"")</f>
        <v/>
      </c>
      <c r="W75" s="40" t="str">
        <f>IFERROR(IF(清单台账!$AE76=1,清单台账!$W76,""),"")</f>
        <v/>
      </c>
      <c r="X75" s="46" t="str">
        <f>IF($F75&lt;&gt;"",IFERROR(MAX($X$5:$X74),0)+1,"")</f>
        <v/>
      </c>
    </row>
    <row r="76" spans="1:24">
      <c r="A76" s="36" t="str">
        <f>IFERROR(IF(清单台账!$AE77=1,清单台账!$A77,""),"")</f>
        <v/>
      </c>
      <c r="B76" s="37" t="str">
        <f>IFERROR(IF(清单台账!$AE77=1,清单台账!$AA77,""),"")</f>
        <v/>
      </c>
      <c r="C76" s="38" t="str">
        <f>IFERROR(IF(清单台账!$AE77=1,清单台账!$AB77,""),"")</f>
        <v/>
      </c>
      <c r="D76" s="37" t="str">
        <f>IFERROR(IF(清单台账!$AE77=1,清单台账!$AC77,""),"")</f>
        <v/>
      </c>
      <c r="E76" s="37" t="str">
        <f>IFERROR(IF(清单台账!$AE77=1,清单台账!$AD77,""),"")</f>
        <v/>
      </c>
      <c r="F76" s="37" t="str">
        <f>IFERROR(IF(清单台账!$AE77=1,清单台账!$F77,""),"")</f>
        <v/>
      </c>
      <c r="G76" s="37" t="str">
        <f>IFERROR(IF(清单台账!$AE77=1,清单台账!$G77,""),"")</f>
        <v/>
      </c>
      <c r="H76" s="37" t="str">
        <f>IFERROR(IF(清单台账!$AE77=1,清单台账!$H77,""),"")</f>
        <v/>
      </c>
      <c r="I76" s="37" t="str">
        <f>IFERROR(IF(清单台账!$AE77=1,清单台账!$I77,""),"")</f>
        <v/>
      </c>
      <c r="J76" s="37" t="str">
        <f>IFERROR(IF(清单台账!$AE77=1,清单台账!$J77,""),"")</f>
        <v/>
      </c>
      <c r="K76" s="37" t="str">
        <f>IFERROR(IF(清单台账!$AE77=1,清单台账!$K77,""),"")</f>
        <v/>
      </c>
      <c r="L76" s="37" t="str">
        <f>IFERROR(IF(清单台账!$AE77=1,清单台账!$L77,""),"")</f>
        <v/>
      </c>
      <c r="M76" s="37" t="str">
        <f>IFERROR(IF(清单台账!$AE77=1,清单台账!$M77,""),"")</f>
        <v/>
      </c>
      <c r="N76" s="37" t="str">
        <f>IFERROR(IF(清单台账!$AE77=1,清单台账!$N77,""),"")</f>
        <v/>
      </c>
      <c r="O76" s="37" t="str">
        <f>IFERROR(IF(清单台账!$AE77=1,清单台账!$O77,""),"")</f>
        <v/>
      </c>
      <c r="P76" s="39" t="str">
        <f>IFERROR(IF(清单台账!$AE77=1,清单台账!$P77,""),"")</f>
        <v/>
      </c>
      <c r="Q76" s="39" t="str">
        <f>IFERROR(IF(清单台账!$AE77=1,清单台账!$Q77,""),"")</f>
        <v/>
      </c>
      <c r="R76" s="39" t="str">
        <f>IFERROR(IF(清单台账!$AE77=1,清单台账!$R77,""),"")</f>
        <v/>
      </c>
      <c r="S76" s="37" t="str">
        <f>IFERROR(IF(清单台账!$AE77=1,清单台账!$S77,""),"")</f>
        <v/>
      </c>
      <c r="T76" s="37" t="str">
        <f>IFERROR(IF(清单台账!$AE77=1,清单台账!$T77,""),"")</f>
        <v/>
      </c>
      <c r="U76" s="37" t="str">
        <f>IFERROR(IF(清单台账!$AE77=1,清单台账!$U77,""),"")</f>
        <v/>
      </c>
      <c r="V76" s="38" t="str">
        <f>IFERROR(IF(清单台账!$AE77=1,清单台账!$V77,""),"")</f>
        <v/>
      </c>
      <c r="W76" s="40" t="str">
        <f>IFERROR(IF(清单台账!$AE77=1,清单台账!$W77,""),"")</f>
        <v/>
      </c>
      <c r="X76" s="46" t="str">
        <f>IF($F76&lt;&gt;"",IFERROR(MAX($X$5:$X75),0)+1,"")</f>
        <v/>
      </c>
    </row>
    <row r="77" spans="1:24">
      <c r="A77" s="36" t="str">
        <f>IFERROR(IF(清单台账!$AE78=1,清单台账!$A78,""),"")</f>
        <v/>
      </c>
      <c r="B77" s="37" t="str">
        <f>IFERROR(IF(清单台账!$AE78=1,清单台账!$AA78,""),"")</f>
        <v/>
      </c>
      <c r="C77" s="38" t="str">
        <f>IFERROR(IF(清单台账!$AE78=1,清单台账!$AB78,""),"")</f>
        <v/>
      </c>
      <c r="D77" s="37" t="str">
        <f>IFERROR(IF(清单台账!$AE78=1,清单台账!$AC78,""),"")</f>
        <v/>
      </c>
      <c r="E77" s="37" t="str">
        <f>IFERROR(IF(清单台账!$AE78=1,清单台账!$AD78,""),"")</f>
        <v/>
      </c>
      <c r="F77" s="37" t="str">
        <f>IFERROR(IF(清单台账!$AE78=1,清单台账!$F78,""),"")</f>
        <v/>
      </c>
      <c r="G77" s="37" t="str">
        <f>IFERROR(IF(清单台账!$AE78=1,清单台账!$G78,""),"")</f>
        <v/>
      </c>
      <c r="H77" s="37" t="str">
        <f>IFERROR(IF(清单台账!$AE78=1,清单台账!$H78,""),"")</f>
        <v/>
      </c>
      <c r="I77" s="37" t="str">
        <f>IFERROR(IF(清单台账!$AE78=1,清单台账!$I78,""),"")</f>
        <v/>
      </c>
      <c r="J77" s="37" t="str">
        <f>IFERROR(IF(清单台账!$AE78=1,清单台账!$J78,""),"")</f>
        <v/>
      </c>
      <c r="K77" s="37" t="str">
        <f>IFERROR(IF(清单台账!$AE78=1,清单台账!$K78,""),"")</f>
        <v/>
      </c>
      <c r="L77" s="37" t="str">
        <f>IFERROR(IF(清单台账!$AE78=1,清单台账!$L78,""),"")</f>
        <v/>
      </c>
      <c r="M77" s="37" t="str">
        <f>IFERROR(IF(清单台账!$AE78=1,清单台账!$M78,""),"")</f>
        <v/>
      </c>
      <c r="N77" s="37" t="str">
        <f>IFERROR(IF(清单台账!$AE78=1,清单台账!$N78,""),"")</f>
        <v/>
      </c>
      <c r="O77" s="37" t="str">
        <f>IFERROR(IF(清单台账!$AE78=1,清单台账!$O78,""),"")</f>
        <v/>
      </c>
      <c r="P77" s="39" t="str">
        <f>IFERROR(IF(清单台账!$AE78=1,清单台账!$P78,""),"")</f>
        <v/>
      </c>
      <c r="Q77" s="39" t="str">
        <f>IFERROR(IF(清单台账!$AE78=1,清单台账!$Q78,""),"")</f>
        <v/>
      </c>
      <c r="R77" s="39" t="str">
        <f>IFERROR(IF(清单台账!$AE78=1,清单台账!$R78,""),"")</f>
        <v/>
      </c>
      <c r="S77" s="37" t="str">
        <f>IFERROR(IF(清单台账!$AE78=1,清单台账!$S78,""),"")</f>
        <v/>
      </c>
      <c r="T77" s="37" t="str">
        <f>IFERROR(IF(清单台账!$AE78=1,清单台账!$T78,""),"")</f>
        <v/>
      </c>
      <c r="U77" s="37" t="str">
        <f>IFERROR(IF(清单台账!$AE78=1,清单台账!$U78,""),"")</f>
        <v/>
      </c>
      <c r="V77" s="38" t="str">
        <f>IFERROR(IF(清单台账!$AE78=1,清单台账!$V78,""),"")</f>
        <v/>
      </c>
      <c r="W77" s="40" t="str">
        <f>IFERROR(IF(清单台账!$AE78=1,清单台账!$W78,""),"")</f>
        <v/>
      </c>
      <c r="X77" s="46" t="str">
        <f>IF($F77&lt;&gt;"",IFERROR(MAX($X$5:$X76),0)+1,"")</f>
        <v/>
      </c>
    </row>
    <row r="78" spans="1:24">
      <c r="A78" s="36" t="str">
        <f>IFERROR(IF(清单台账!$AE79=1,清单台账!$A79,""),"")</f>
        <v/>
      </c>
      <c r="B78" s="37" t="str">
        <f>IFERROR(IF(清单台账!$AE79=1,清单台账!$AA79,""),"")</f>
        <v/>
      </c>
      <c r="C78" s="38" t="str">
        <f>IFERROR(IF(清单台账!$AE79=1,清单台账!$AB79,""),"")</f>
        <v/>
      </c>
      <c r="D78" s="37" t="str">
        <f>IFERROR(IF(清单台账!$AE79=1,清单台账!$AC79,""),"")</f>
        <v/>
      </c>
      <c r="E78" s="37" t="str">
        <f>IFERROR(IF(清单台账!$AE79=1,清单台账!$AD79,""),"")</f>
        <v/>
      </c>
      <c r="F78" s="37" t="str">
        <f>IFERROR(IF(清单台账!$AE79=1,清单台账!$F79,""),"")</f>
        <v/>
      </c>
      <c r="G78" s="37" t="str">
        <f>IFERROR(IF(清单台账!$AE79=1,清单台账!$G79,""),"")</f>
        <v/>
      </c>
      <c r="H78" s="37" t="str">
        <f>IFERROR(IF(清单台账!$AE79=1,清单台账!$H79,""),"")</f>
        <v/>
      </c>
      <c r="I78" s="37" t="str">
        <f>IFERROR(IF(清单台账!$AE79=1,清单台账!$I79,""),"")</f>
        <v/>
      </c>
      <c r="J78" s="37" t="str">
        <f>IFERROR(IF(清单台账!$AE79=1,清单台账!$J79,""),"")</f>
        <v/>
      </c>
      <c r="K78" s="37" t="str">
        <f>IFERROR(IF(清单台账!$AE79=1,清单台账!$K79,""),"")</f>
        <v/>
      </c>
      <c r="L78" s="37" t="str">
        <f>IFERROR(IF(清单台账!$AE79=1,清单台账!$L79,""),"")</f>
        <v/>
      </c>
      <c r="M78" s="37" t="str">
        <f>IFERROR(IF(清单台账!$AE79=1,清单台账!$M79,""),"")</f>
        <v/>
      </c>
      <c r="N78" s="37" t="str">
        <f>IFERROR(IF(清单台账!$AE79=1,清单台账!$N79,""),"")</f>
        <v/>
      </c>
      <c r="O78" s="37" t="str">
        <f>IFERROR(IF(清单台账!$AE79=1,清单台账!$O79,""),"")</f>
        <v/>
      </c>
      <c r="P78" s="39" t="str">
        <f>IFERROR(IF(清单台账!$AE79=1,清单台账!$P79,""),"")</f>
        <v/>
      </c>
      <c r="Q78" s="39" t="str">
        <f>IFERROR(IF(清单台账!$AE79=1,清单台账!$Q79,""),"")</f>
        <v/>
      </c>
      <c r="R78" s="39" t="str">
        <f>IFERROR(IF(清单台账!$AE79=1,清单台账!$R79,""),"")</f>
        <v/>
      </c>
      <c r="S78" s="37" t="str">
        <f>IFERROR(IF(清单台账!$AE79=1,清单台账!$S79,""),"")</f>
        <v/>
      </c>
      <c r="T78" s="37" t="str">
        <f>IFERROR(IF(清单台账!$AE79=1,清单台账!$T79,""),"")</f>
        <v/>
      </c>
      <c r="U78" s="37" t="str">
        <f>IFERROR(IF(清单台账!$AE79=1,清单台账!$U79,""),"")</f>
        <v/>
      </c>
      <c r="V78" s="38" t="str">
        <f>IFERROR(IF(清单台账!$AE79=1,清单台账!$V79,""),"")</f>
        <v/>
      </c>
      <c r="W78" s="40" t="str">
        <f>IFERROR(IF(清单台账!$AE79=1,清单台账!$W79,""),"")</f>
        <v/>
      </c>
      <c r="X78" s="46" t="str">
        <f>IF($F78&lt;&gt;"",IFERROR(MAX($X$5:$X77),0)+1,"")</f>
        <v/>
      </c>
    </row>
    <row r="79" spans="1:24">
      <c r="A79" s="36" t="str">
        <f>IFERROR(IF(清单台账!$AE80=1,清单台账!$A80,""),"")</f>
        <v/>
      </c>
      <c r="B79" s="37" t="str">
        <f>IFERROR(IF(清单台账!$AE80=1,清单台账!$AA80,""),"")</f>
        <v/>
      </c>
      <c r="C79" s="38" t="str">
        <f>IFERROR(IF(清单台账!$AE80=1,清单台账!$AB80,""),"")</f>
        <v/>
      </c>
      <c r="D79" s="37" t="str">
        <f>IFERROR(IF(清单台账!$AE80=1,清单台账!$AC80,""),"")</f>
        <v/>
      </c>
      <c r="E79" s="37" t="str">
        <f>IFERROR(IF(清单台账!$AE80=1,清单台账!$AD80,""),"")</f>
        <v/>
      </c>
      <c r="F79" s="37" t="str">
        <f>IFERROR(IF(清单台账!$AE80=1,清单台账!$F80,""),"")</f>
        <v/>
      </c>
      <c r="G79" s="37" t="str">
        <f>IFERROR(IF(清单台账!$AE80=1,清单台账!$G80,""),"")</f>
        <v/>
      </c>
      <c r="H79" s="37" t="str">
        <f>IFERROR(IF(清单台账!$AE80=1,清单台账!$H80,""),"")</f>
        <v/>
      </c>
      <c r="I79" s="37" t="str">
        <f>IFERROR(IF(清单台账!$AE80=1,清单台账!$I80,""),"")</f>
        <v/>
      </c>
      <c r="J79" s="37" t="str">
        <f>IFERROR(IF(清单台账!$AE80=1,清单台账!$J80,""),"")</f>
        <v/>
      </c>
      <c r="K79" s="37" t="str">
        <f>IFERROR(IF(清单台账!$AE80=1,清单台账!$K80,""),"")</f>
        <v/>
      </c>
      <c r="L79" s="37" t="str">
        <f>IFERROR(IF(清单台账!$AE80=1,清单台账!$L80,""),"")</f>
        <v/>
      </c>
      <c r="M79" s="37" t="str">
        <f>IFERROR(IF(清单台账!$AE80=1,清单台账!$M80,""),"")</f>
        <v/>
      </c>
      <c r="N79" s="37" t="str">
        <f>IFERROR(IF(清单台账!$AE80=1,清单台账!$N80,""),"")</f>
        <v/>
      </c>
      <c r="O79" s="37" t="str">
        <f>IFERROR(IF(清单台账!$AE80=1,清单台账!$O80,""),"")</f>
        <v/>
      </c>
      <c r="P79" s="39" t="str">
        <f>IFERROR(IF(清单台账!$AE80=1,清单台账!$P80,""),"")</f>
        <v/>
      </c>
      <c r="Q79" s="39" t="str">
        <f>IFERROR(IF(清单台账!$AE80=1,清单台账!$Q80,""),"")</f>
        <v/>
      </c>
      <c r="R79" s="39" t="str">
        <f>IFERROR(IF(清单台账!$AE80=1,清单台账!$R80,""),"")</f>
        <v/>
      </c>
      <c r="S79" s="37" t="str">
        <f>IFERROR(IF(清单台账!$AE80=1,清单台账!$S80,""),"")</f>
        <v/>
      </c>
      <c r="T79" s="37" t="str">
        <f>IFERROR(IF(清单台账!$AE80=1,清单台账!$T80,""),"")</f>
        <v/>
      </c>
      <c r="U79" s="37" t="str">
        <f>IFERROR(IF(清单台账!$AE80=1,清单台账!$U80,""),"")</f>
        <v/>
      </c>
      <c r="V79" s="38" t="str">
        <f>IFERROR(IF(清单台账!$AE80=1,清单台账!$V80,""),"")</f>
        <v/>
      </c>
      <c r="W79" s="40" t="str">
        <f>IFERROR(IF(清单台账!$AE80=1,清单台账!$W80,""),"")</f>
        <v/>
      </c>
      <c r="X79" s="46" t="str">
        <f>IF($F79&lt;&gt;"",IFERROR(MAX($X$5:$X78),0)+1,"")</f>
        <v/>
      </c>
    </row>
    <row r="80" spans="1:24">
      <c r="A80" s="36" t="str">
        <f>IFERROR(IF(清单台账!$AE81=1,清单台账!$A81,""),"")</f>
        <v/>
      </c>
      <c r="B80" s="37" t="str">
        <f>IFERROR(IF(清单台账!$AE81=1,清单台账!$AA81,""),"")</f>
        <v/>
      </c>
      <c r="C80" s="38" t="str">
        <f>IFERROR(IF(清单台账!$AE81=1,清单台账!$AB81,""),"")</f>
        <v/>
      </c>
      <c r="D80" s="37" t="str">
        <f>IFERROR(IF(清单台账!$AE81=1,清单台账!$AC81,""),"")</f>
        <v/>
      </c>
      <c r="E80" s="37" t="str">
        <f>IFERROR(IF(清单台账!$AE81=1,清单台账!$AD81,""),"")</f>
        <v/>
      </c>
      <c r="F80" s="37" t="str">
        <f>IFERROR(IF(清单台账!$AE81=1,清单台账!$F81,""),"")</f>
        <v/>
      </c>
      <c r="G80" s="37" t="str">
        <f>IFERROR(IF(清单台账!$AE81=1,清单台账!$G81,""),"")</f>
        <v/>
      </c>
      <c r="H80" s="37" t="str">
        <f>IFERROR(IF(清单台账!$AE81=1,清单台账!$H81,""),"")</f>
        <v/>
      </c>
      <c r="I80" s="37" t="str">
        <f>IFERROR(IF(清单台账!$AE81=1,清单台账!$I81,""),"")</f>
        <v/>
      </c>
      <c r="J80" s="37" t="str">
        <f>IFERROR(IF(清单台账!$AE81=1,清单台账!$J81,""),"")</f>
        <v/>
      </c>
      <c r="K80" s="37" t="str">
        <f>IFERROR(IF(清单台账!$AE81=1,清单台账!$K81,""),"")</f>
        <v/>
      </c>
      <c r="L80" s="37" t="str">
        <f>IFERROR(IF(清单台账!$AE81=1,清单台账!$L81,""),"")</f>
        <v/>
      </c>
      <c r="M80" s="37" t="str">
        <f>IFERROR(IF(清单台账!$AE81=1,清单台账!$M81,""),"")</f>
        <v/>
      </c>
      <c r="N80" s="37" t="str">
        <f>IFERROR(IF(清单台账!$AE81=1,清单台账!$N81,""),"")</f>
        <v/>
      </c>
      <c r="O80" s="37" t="str">
        <f>IFERROR(IF(清单台账!$AE81=1,清单台账!$O81,""),"")</f>
        <v/>
      </c>
      <c r="P80" s="39" t="str">
        <f>IFERROR(IF(清单台账!$AE81=1,清单台账!$P81,""),"")</f>
        <v/>
      </c>
      <c r="Q80" s="39" t="str">
        <f>IFERROR(IF(清单台账!$AE81=1,清单台账!$Q81,""),"")</f>
        <v/>
      </c>
      <c r="R80" s="39" t="str">
        <f>IFERROR(IF(清单台账!$AE81=1,清单台账!$R81,""),"")</f>
        <v/>
      </c>
      <c r="S80" s="37" t="str">
        <f>IFERROR(IF(清单台账!$AE81=1,清单台账!$S81,""),"")</f>
        <v/>
      </c>
      <c r="T80" s="37" t="str">
        <f>IFERROR(IF(清单台账!$AE81=1,清单台账!$T81,""),"")</f>
        <v/>
      </c>
      <c r="U80" s="37" t="str">
        <f>IFERROR(IF(清单台账!$AE81=1,清单台账!$U81,""),"")</f>
        <v/>
      </c>
      <c r="V80" s="38" t="str">
        <f>IFERROR(IF(清单台账!$AE81=1,清单台账!$V81,""),"")</f>
        <v/>
      </c>
      <c r="W80" s="40" t="str">
        <f>IFERROR(IF(清单台账!$AE81=1,清单台账!$W81,""),"")</f>
        <v/>
      </c>
      <c r="X80" s="46" t="str">
        <f>IF($F80&lt;&gt;"",IFERROR(MAX($X$5:$X79),0)+1,"")</f>
        <v/>
      </c>
    </row>
    <row r="81" spans="1:24">
      <c r="A81" s="36" t="str">
        <f>IFERROR(IF(清单台账!$AE82=1,清单台账!$A82,""),"")</f>
        <v/>
      </c>
      <c r="B81" s="37" t="str">
        <f>IFERROR(IF(清单台账!$AE82=1,清单台账!$AA82,""),"")</f>
        <v/>
      </c>
      <c r="C81" s="38" t="str">
        <f>IFERROR(IF(清单台账!$AE82=1,清单台账!$AB82,""),"")</f>
        <v/>
      </c>
      <c r="D81" s="37" t="str">
        <f>IFERROR(IF(清单台账!$AE82=1,清单台账!$AC82,""),"")</f>
        <v/>
      </c>
      <c r="E81" s="37" t="str">
        <f>IFERROR(IF(清单台账!$AE82=1,清单台账!$AD82,""),"")</f>
        <v/>
      </c>
      <c r="F81" s="37" t="str">
        <f>IFERROR(IF(清单台账!$AE82=1,清单台账!$F82,""),"")</f>
        <v/>
      </c>
      <c r="G81" s="37" t="str">
        <f>IFERROR(IF(清单台账!$AE82=1,清单台账!$G82,""),"")</f>
        <v/>
      </c>
      <c r="H81" s="37" t="str">
        <f>IFERROR(IF(清单台账!$AE82=1,清单台账!$H82,""),"")</f>
        <v/>
      </c>
      <c r="I81" s="37" t="str">
        <f>IFERROR(IF(清单台账!$AE82=1,清单台账!$I82,""),"")</f>
        <v/>
      </c>
      <c r="J81" s="37" t="str">
        <f>IFERROR(IF(清单台账!$AE82=1,清单台账!$J82,""),"")</f>
        <v/>
      </c>
      <c r="K81" s="37" t="str">
        <f>IFERROR(IF(清单台账!$AE82=1,清单台账!$K82,""),"")</f>
        <v/>
      </c>
      <c r="L81" s="37" t="str">
        <f>IFERROR(IF(清单台账!$AE82=1,清单台账!$L82,""),"")</f>
        <v/>
      </c>
      <c r="M81" s="37" t="str">
        <f>IFERROR(IF(清单台账!$AE82=1,清单台账!$M82,""),"")</f>
        <v/>
      </c>
      <c r="N81" s="37" t="str">
        <f>IFERROR(IF(清单台账!$AE82=1,清单台账!$N82,""),"")</f>
        <v/>
      </c>
      <c r="O81" s="37" t="str">
        <f>IFERROR(IF(清单台账!$AE82=1,清单台账!$O82,""),"")</f>
        <v/>
      </c>
      <c r="P81" s="39" t="str">
        <f>IFERROR(IF(清单台账!$AE82=1,清单台账!$P82,""),"")</f>
        <v/>
      </c>
      <c r="Q81" s="39" t="str">
        <f>IFERROR(IF(清单台账!$AE82=1,清单台账!$Q82,""),"")</f>
        <v/>
      </c>
      <c r="R81" s="39" t="str">
        <f>IFERROR(IF(清单台账!$AE82=1,清单台账!$R82,""),"")</f>
        <v/>
      </c>
      <c r="S81" s="37" t="str">
        <f>IFERROR(IF(清单台账!$AE82=1,清单台账!$S82,""),"")</f>
        <v/>
      </c>
      <c r="T81" s="37" t="str">
        <f>IFERROR(IF(清单台账!$AE82=1,清单台账!$T82,""),"")</f>
        <v/>
      </c>
      <c r="U81" s="37" t="str">
        <f>IFERROR(IF(清单台账!$AE82=1,清单台账!$U82,""),"")</f>
        <v/>
      </c>
      <c r="V81" s="38" t="str">
        <f>IFERROR(IF(清单台账!$AE82=1,清单台账!$V82,""),"")</f>
        <v/>
      </c>
      <c r="W81" s="40" t="str">
        <f>IFERROR(IF(清单台账!$AE82=1,清单台账!$W82,""),"")</f>
        <v/>
      </c>
      <c r="X81" s="46" t="str">
        <f>IF($F81&lt;&gt;"",IFERROR(MAX($X$5:$X80),0)+1,"")</f>
        <v/>
      </c>
    </row>
    <row r="82" spans="1:24">
      <c r="A82" s="36" t="str">
        <f>IFERROR(IF(清单台账!$AE83=1,清单台账!$A83,""),"")</f>
        <v/>
      </c>
      <c r="B82" s="37" t="str">
        <f>IFERROR(IF(清单台账!$AE83=1,清单台账!$AA83,""),"")</f>
        <v/>
      </c>
      <c r="C82" s="38" t="str">
        <f>IFERROR(IF(清单台账!$AE83=1,清单台账!$AB83,""),"")</f>
        <v/>
      </c>
      <c r="D82" s="37" t="str">
        <f>IFERROR(IF(清单台账!$AE83=1,清单台账!$AC83,""),"")</f>
        <v/>
      </c>
      <c r="E82" s="37" t="str">
        <f>IFERROR(IF(清单台账!$AE83=1,清单台账!$AD83,""),"")</f>
        <v/>
      </c>
      <c r="F82" s="37" t="str">
        <f>IFERROR(IF(清单台账!$AE83=1,清单台账!$F83,""),"")</f>
        <v/>
      </c>
      <c r="G82" s="37" t="str">
        <f>IFERROR(IF(清单台账!$AE83=1,清单台账!$G83,""),"")</f>
        <v/>
      </c>
      <c r="H82" s="37" t="str">
        <f>IFERROR(IF(清单台账!$AE83=1,清单台账!$H83,""),"")</f>
        <v/>
      </c>
      <c r="I82" s="37" t="str">
        <f>IFERROR(IF(清单台账!$AE83=1,清单台账!$I83,""),"")</f>
        <v/>
      </c>
      <c r="J82" s="37" t="str">
        <f>IFERROR(IF(清单台账!$AE83=1,清单台账!$J83,""),"")</f>
        <v/>
      </c>
      <c r="K82" s="37" t="str">
        <f>IFERROR(IF(清单台账!$AE83=1,清单台账!$K83,""),"")</f>
        <v/>
      </c>
      <c r="L82" s="37" t="str">
        <f>IFERROR(IF(清单台账!$AE83=1,清单台账!$L83,""),"")</f>
        <v/>
      </c>
      <c r="M82" s="37" t="str">
        <f>IFERROR(IF(清单台账!$AE83=1,清单台账!$M83,""),"")</f>
        <v/>
      </c>
      <c r="N82" s="37" t="str">
        <f>IFERROR(IF(清单台账!$AE83=1,清单台账!$N83,""),"")</f>
        <v/>
      </c>
      <c r="O82" s="37" t="str">
        <f>IFERROR(IF(清单台账!$AE83=1,清单台账!$O83,""),"")</f>
        <v/>
      </c>
      <c r="P82" s="39" t="str">
        <f>IFERROR(IF(清单台账!$AE83=1,清单台账!$P83,""),"")</f>
        <v/>
      </c>
      <c r="Q82" s="39" t="str">
        <f>IFERROR(IF(清单台账!$AE83=1,清单台账!$Q83,""),"")</f>
        <v/>
      </c>
      <c r="R82" s="39" t="str">
        <f>IFERROR(IF(清单台账!$AE83=1,清单台账!$R83,""),"")</f>
        <v/>
      </c>
      <c r="S82" s="37" t="str">
        <f>IFERROR(IF(清单台账!$AE83=1,清单台账!$S83,""),"")</f>
        <v/>
      </c>
      <c r="T82" s="37" t="str">
        <f>IFERROR(IF(清单台账!$AE83=1,清单台账!$T83,""),"")</f>
        <v/>
      </c>
      <c r="U82" s="37" t="str">
        <f>IFERROR(IF(清单台账!$AE83=1,清单台账!$U83,""),"")</f>
        <v/>
      </c>
      <c r="V82" s="38" t="str">
        <f>IFERROR(IF(清单台账!$AE83=1,清单台账!$V83,""),"")</f>
        <v/>
      </c>
      <c r="W82" s="40" t="str">
        <f>IFERROR(IF(清单台账!$AE83=1,清单台账!$W83,""),"")</f>
        <v/>
      </c>
      <c r="X82" s="46" t="str">
        <f>IF($F82&lt;&gt;"",IFERROR(MAX($X$5:$X81),0)+1,"")</f>
        <v/>
      </c>
    </row>
    <row r="83" spans="1:24">
      <c r="A83" s="36" t="str">
        <f>IFERROR(IF(清单台账!$AE84=1,清单台账!$A84,""),"")</f>
        <v/>
      </c>
      <c r="B83" s="37" t="str">
        <f>IFERROR(IF(清单台账!$AE84=1,清单台账!$AA84,""),"")</f>
        <v/>
      </c>
      <c r="C83" s="38" t="str">
        <f>IFERROR(IF(清单台账!$AE84=1,清单台账!$AB84,""),"")</f>
        <v/>
      </c>
      <c r="D83" s="37" t="str">
        <f>IFERROR(IF(清单台账!$AE84=1,清单台账!$AC84,""),"")</f>
        <v/>
      </c>
      <c r="E83" s="37" t="str">
        <f>IFERROR(IF(清单台账!$AE84=1,清单台账!$AD84,""),"")</f>
        <v/>
      </c>
      <c r="F83" s="37" t="str">
        <f>IFERROR(IF(清单台账!$AE84=1,清单台账!$F84,""),"")</f>
        <v/>
      </c>
      <c r="G83" s="37" t="str">
        <f>IFERROR(IF(清单台账!$AE84=1,清单台账!$G84,""),"")</f>
        <v/>
      </c>
      <c r="H83" s="37" t="str">
        <f>IFERROR(IF(清单台账!$AE84=1,清单台账!$H84,""),"")</f>
        <v/>
      </c>
      <c r="I83" s="37" t="str">
        <f>IFERROR(IF(清单台账!$AE84=1,清单台账!$I84,""),"")</f>
        <v/>
      </c>
      <c r="J83" s="37" t="str">
        <f>IFERROR(IF(清单台账!$AE84=1,清单台账!$J84,""),"")</f>
        <v/>
      </c>
      <c r="K83" s="37" t="str">
        <f>IFERROR(IF(清单台账!$AE84=1,清单台账!$K84,""),"")</f>
        <v/>
      </c>
      <c r="L83" s="37" t="str">
        <f>IFERROR(IF(清单台账!$AE84=1,清单台账!$L84,""),"")</f>
        <v/>
      </c>
      <c r="M83" s="37" t="str">
        <f>IFERROR(IF(清单台账!$AE84=1,清单台账!$M84,""),"")</f>
        <v/>
      </c>
      <c r="N83" s="37" t="str">
        <f>IFERROR(IF(清单台账!$AE84=1,清单台账!$N84,""),"")</f>
        <v/>
      </c>
      <c r="O83" s="37" t="str">
        <f>IFERROR(IF(清单台账!$AE84=1,清单台账!$O84,""),"")</f>
        <v/>
      </c>
      <c r="P83" s="39" t="str">
        <f>IFERROR(IF(清单台账!$AE84=1,清单台账!$P84,""),"")</f>
        <v/>
      </c>
      <c r="Q83" s="39" t="str">
        <f>IFERROR(IF(清单台账!$AE84=1,清单台账!$Q84,""),"")</f>
        <v/>
      </c>
      <c r="R83" s="39" t="str">
        <f>IFERROR(IF(清单台账!$AE84=1,清单台账!$R84,""),"")</f>
        <v/>
      </c>
      <c r="S83" s="37" t="str">
        <f>IFERROR(IF(清单台账!$AE84=1,清单台账!$S84,""),"")</f>
        <v/>
      </c>
      <c r="T83" s="37" t="str">
        <f>IFERROR(IF(清单台账!$AE84=1,清单台账!$T84,""),"")</f>
        <v/>
      </c>
      <c r="U83" s="37" t="str">
        <f>IFERROR(IF(清单台账!$AE84=1,清单台账!$U84,""),"")</f>
        <v/>
      </c>
      <c r="V83" s="38" t="str">
        <f>IFERROR(IF(清单台账!$AE84=1,清单台账!$V84,""),"")</f>
        <v/>
      </c>
      <c r="W83" s="40" t="str">
        <f>IFERROR(IF(清单台账!$AE84=1,清单台账!$W84,""),"")</f>
        <v/>
      </c>
      <c r="X83" s="46" t="str">
        <f>IF($F83&lt;&gt;"",IFERROR(MAX($X$5:$X82),0)+1,"")</f>
        <v/>
      </c>
    </row>
    <row r="84" spans="1:24">
      <c r="A84" s="36" t="str">
        <f>IFERROR(IF(清单台账!$AE85=1,清单台账!$A85,""),"")</f>
        <v/>
      </c>
      <c r="B84" s="37" t="str">
        <f>IFERROR(IF(清单台账!$AE85=1,清单台账!$AA85,""),"")</f>
        <v/>
      </c>
      <c r="C84" s="38" t="str">
        <f>IFERROR(IF(清单台账!$AE85=1,清单台账!$AB85,""),"")</f>
        <v/>
      </c>
      <c r="D84" s="37" t="str">
        <f>IFERROR(IF(清单台账!$AE85=1,清单台账!$AC85,""),"")</f>
        <v/>
      </c>
      <c r="E84" s="37" t="str">
        <f>IFERROR(IF(清单台账!$AE85=1,清单台账!$AD85,""),"")</f>
        <v/>
      </c>
      <c r="F84" s="37" t="str">
        <f>IFERROR(IF(清单台账!$AE85=1,清单台账!$F85,""),"")</f>
        <v/>
      </c>
      <c r="G84" s="37" t="str">
        <f>IFERROR(IF(清单台账!$AE85=1,清单台账!$G85,""),"")</f>
        <v/>
      </c>
      <c r="H84" s="37" t="str">
        <f>IFERROR(IF(清单台账!$AE85=1,清单台账!$H85,""),"")</f>
        <v/>
      </c>
      <c r="I84" s="37" t="str">
        <f>IFERROR(IF(清单台账!$AE85=1,清单台账!$I85,""),"")</f>
        <v/>
      </c>
      <c r="J84" s="37" t="str">
        <f>IFERROR(IF(清单台账!$AE85=1,清单台账!$J85,""),"")</f>
        <v/>
      </c>
      <c r="K84" s="37" t="str">
        <f>IFERROR(IF(清单台账!$AE85=1,清单台账!$K85,""),"")</f>
        <v/>
      </c>
      <c r="L84" s="37" t="str">
        <f>IFERROR(IF(清单台账!$AE85=1,清单台账!$L85,""),"")</f>
        <v/>
      </c>
      <c r="M84" s="37" t="str">
        <f>IFERROR(IF(清单台账!$AE85=1,清单台账!$M85,""),"")</f>
        <v/>
      </c>
      <c r="N84" s="37" t="str">
        <f>IFERROR(IF(清单台账!$AE85=1,清单台账!$N85,""),"")</f>
        <v/>
      </c>
      <c r="O84" s="37" t="str">
        <f>IFERROR(IF(清单台账!$AE85=1,清单台账!$O85,""),"")</f>
        <v/>
      </c>
      <c r="P84" s="39" t="str">
        <f>IFERROR(IF(清单台账!$AE85=1,清单台账!$P85,""),"")</f>
        <v/>
      </c>
      <c r="Q84" s="39" t="str">
        <f>IFERROR(IF(清单台账!$AE85=1,清单台账!$Q85,""),"")</f>
        <v/>
      </c>
      <c r="R84" s="39" t="str">
        <f>IFERROR(IF(清单台账!$AE85=1,清单台账!$R85,""),"")</f>
        <v/>
      </c>
      <c r="S84" s="37" t="str">
        <f>IFERROR(IF(清单台账!$AE85=1,清单台账!$S85,""),"")</f>
        <v/>
      </c>
      <c r="T84" s="37" t="str">
        <f>IFERROR(IF(清单台账!$AE85=1,清单台账!$T85,""),"")</f>
        <v/>
      </c>
      <c r="U84" s="37" t="str">
        <f>IFERROR(IF(清单台账!$AE85=1,清单台账!$U85,""),"")</f>
        <v/>
      </c>
      <c r="V84" s="38" t="str">
        <f>IFERROR(IF(清单台账!$AE85=1,清单台账!$V85,""),"")</f>
        <v/>
      </c>
      <c r="W84" s="40" t="str">
        <f>IFERROR(IF(清单台账!$AE85=1,清单台账!$W85,""),"")</f>
        <v/>
      </c>
      <c r="X84" s="46" t="str">
        <f>IF($F84&lt;&gt;"",IFERROR(MAX($X$5:$X83),0)+1,"")</f>
        <v/>
      </c>
    </row>
    <row r="85" spans="1:24">
      <c r="A85" s="36" t="str">
        <f>IFERROR(IF(清单台账!$AE86=1,清单台账!$A86,""),"")</f>
        <v/>
      </c>
      <c r="B85" s="37" t="str">
        <f>IFERROR(IF(清单台账!$AE86=1,清单台账!$AA86,""),"")</f>
        <v/>
      </c>
      <c r="C85" s="38" t="str">
        <f>IFERROR(IF(清单台账!$AE86=1,清单台账!$AB86,""),"")</f>
        <v/>
      </c>
      <c r="D85" s="37" t="str">
        <f>IFERROR(IF(清单台账!$AE86=1,清单台账!$AC86,""),"")</f>
        <v/>
      </c>
      <c r="E85" s="37" t="str">
        <f>IFERROR(IF(清单台账!$AE86=1,清单台账!$AD86,""),"")</f>
        <v/>
      </c>
      <c r="F85" s="37" t="str">
        <f>IFERROR(IF(清单台账!$AE86=1,清单台账!$F86,""),"")</f>
        <v/>
      </c>
      <c r="G85" s="37" t="str">
        <f>IFERROR(IF(清单台账!$AE86=1,清单台账!$G86,""),"")</f>
        <v/>
      </c>
      <c r="H85" s="37" t="str">
        <f>IFERROR(IF(清单台账!$AE86=1,清单台账!$H86,""),"")</f>
        <v/>
      </c>
      <c r="I85" s="37" t="str">
        <f>IFERROR(IF(清单台账!$AE86=1,清单台账!$I86,""),"")</f>
        <v/>
      </c>
      <c r="J85" s="37" t="str">
        <f>IFERROR(IF(清单台账!$AE86=1,清单台账!$J86,""),"")</f>
        <v/>
      </c>
      <c r="K85" s="37" t="str">
        <f>IFERROR(IF(清单台账!$AE86=1,清单台账!$K86,""),"")</f>
        <v/>
      </c>
      <c r="L85" s="37" t="str">
        <f>IFERROR(IF(清单台账!$AE86=1,清单台账!$L86,""),"")</f>
        <v/>
      </c>
      <c r="M85" s="37" t="str">
        <f>IFERROR(IF(清单台账!$AE86=1,清单台账!$M86,""),"")</f>
        <v/>
      </c>
      <c r="N85" s="37" t="str">
        <f>IFERROR(IF(清单台账!$AE86=1,清单台账!$N86,""),"")</f>
        <v/>
      </c>
      <c r="O85" s="37" t="str">
        <f>IFERROR(IF(清单台账!$AE86=1,清单台账!$O86,""),"")</f>
        <v/>
      </c>
      <c r="P85" s="39" t="str">
        <f>IFERROR(IF(清单台账!$AE86=1,清单台账!$P86,""),"")</f>
        <v/>
      </c>
      <c r="Q85" s="39" t="str">
        <f>IFERROR(IF(清单台账!$AE86=1,清单台账!$Q86,""),"")</f>
        <v/>
      </c>
      <c r="R85" s="39" t="str">
        <f>IFERROR(IF(清单台账!$AE86=1,清单台账!$R86,""),"")</f>
        <v/>
      </c>
      <c r="S85" s="37" t="str">
        <f>IFERROR(IF(清单台账!$AE86=1,清单台账!$S86,""),"")</f>
        <v/>
      </c>
      <c r="T85" s="37" t="str">
        <f>IFERROR(IF(清单台账!$AE86=1,清单台账!$T86,""),"")</f>
        <v/>
      </c>
      <c r="U85" s="37" t="str">
        <f>IFERROR(IF(清单台账!$AE86=1,清单台账!$U86,""),"")</f>
        <v/>
      </c>
      <c r="V85" s="38" t="str">
        <f>IFERROR(IF(清单台账!$AE86=1,清单台账!$V86,""),"")</f>
        <v/>
      </c>
      <c r="W85" s="40" t="str">
        <f>IFERROR(IF(清单台账!$AE86=1,清单台账!$W86,""),"")</f>
        <v/>
      </c>
      <c r="X85" s="46" t="str">
        <f>IF($F85&lt;&gt;"",IFERROR(MAX($X$5:$X84),0)+1,"")</f>
        <v/>
      </c>
    </row>
    <row r="86" spans="1:24">
      <c r="A86" s="36" t="str">
        <f>IFERROR(IF(清单台账!$AE87=1,清单台账!$A87,""),"")</f>
        <v/>
      </c>
      <c r="B86" s="37" t="str">
        <f>IFERROR(IF(清单台账!$AE87=1,清单台账!$AA87,""),"")</f>
        <v/>
      </c>
      <c r="C86" s="38" t="str">
        <f>IFERROR(IF(清单台账!$AE87=1,清单台账!$AB87,""),"")</f>
        <v/>
      </c>
      <c r="D86" s="37" t="str">
        <f>IFERROR(IF(清单台账!$AE87=1,清单台账!$AC87,""),"")</f>
        <v/>
      </c>
      <c r="E86" s="37" t="str">
        <f>IFERROR(IF(清单台账!$AE87=1,清单台账!$AD87,""),"")</f>
        <v/>
      </c>
      <c r="F86" s="37" t="str">
        <f>IFERROR(IF(清单台账!$AE87=1,清单台账!$F87,""),"")</f>
        <v/>
      </c>
      <c r="G86" s="37" t="str">
        <f>IFERROR(IF(清单台账!$AE87=1,清单台账!$G87,""),"")</f>
        <v/>
      </c>
      <c r="H86" s="37" t="str">
        <f>IFERROR(IF(清单台账!$AE87=1,清单台账!$H87,""),"")</f>
        <v/>
      </c>
      <c r="I86" s="37" t="str">
        <f>IFERROR(IF(清单台账!$AE87=1,清单台账!$I87,""),"")</f>
        <v/>
      </c>
      <c r="J86" s="37" t="str">
        <f>IFERROR(IF(清单台账!$AE87=1,清单台账!$J87,""),"")</f>
        <v/>
      </c>
      <c r="K86" s="37" t="str">
        <f>IFERROR(IF(清单台账!$AE87=1,清单台账!$K87,""),"")</f>
        <v/>
      </c>
      <c r="L86" s="37" t="str">
        <f>IFERROR(IF(清单台账!$AE87=1,清单台账!$L87,""),"")</f>
        <v/>
      </c>
      <c r="M86" s="37" t="str">
        <f>IFERROR(IF(清单台账!$AE87=1,清单台账!$M87,""),"")</f>
        <v/>
      </c>
      <c r="N86" s="37" t="str">
        <f>IFERROR(IF(清单台账!$AE87=1,清单台账!$N87,""),"")</f>
        <v/>
      </c>
      <c r="O86" s="37" t="str">
        <f>IFERROR(IF(清单台账!$AE87=1,清单台账!$O87,""),"")</f>
        <v/>
      </c>
      <c r="P86" s="39" t="str">
        <f>IFERROR(IF(清单台账!$AE87=1,清单台账!$P87,""),"")</f>
        <v/>
      </c>
      <c r="Q86" s="39" t="str">
        <f>IFERROR(IF(清单台账!$AE87=1,清单台账!$Q87,""),"")</f>
        <v/>
      </c>
      <c r="R86" s="39" t="str">
        <f>IFERROR(IF(清单台账!$AE87=1,清单台账!$R87,""),"")</f>
        <v/>
      </c>
      <c r="S86" s="37" t="str">
        <f>IFERROR(IF(清单台账!$AE87=1,清单台账!$S87,""),"")</f>
        <v/>
      </c>
      <c r="T86" s="37" t="str">
        <f>IFERROR(IF(清单台账!$AE87=1,清单台账!$T87,""),"")</f>
        <v/>
      </c>
      <c r="U86" s="37" t="str">
        <f>IFERROR(IF(清单台账!$AE87=1,清单台账!$U87,""),"")</f>
        <v/>
      </c>
      <c r="V86" s="38" t="str">
        <f>IFERROR(IF(清单台账!$AE87=1,清单台账!$V87,""),"")</f>
        <v/>
      </c>
      <c r="W86" s="40" t="str">
        <f>IFERROR(IF(清单台账!$AE87=1,清单台账!$W87,""),"")</f>
        <v/>
      </c>
      <c r="X86" s="46" t="str">
        <f>IF($F86&lt;&gt;"",IFERROR(MAX($X$5:$X85),0)+1,"")</f>
        <v/>
      </c>
    </row>
    <row r="87" spans="1:24">
      <c r="A87" s="36" t="str">
        <f>IFERROR(IF(清单台账!$AE88=1,清单台账!$A88,""),"")</f>
        <v/>
      </c>
      <c r="B87" s="37" t="str">
        <f>IFERROR(IF(清单台账!$AE88=1,清单台账!$AA88,""),"")</f>
        <v/>
      </c>
      <c r="C87" s="38" t="str">
        <f>IFERROR(IF(清单台账!$AE88=1,清单台账!$AB88,""),"")</f>
        <v/>
      </c>
      <c r="D87" s="37" t="str">
        <f>IFERROR(IF(清单台账!$AE88=1,清单台账!$AC88,""),"")</f>
        <v/>
      </c>
      <c r="E87" s="37" t="str">
        <f>IFERROR(IF(清单台账!$AE88=1,清单台账!$AD88,""),"")</f>
        <v/>
      </c>
      <c r="F87" s="37" t="str">
        <f>IFERROR(IF(清单台账!$AE88=1,清单台账!$F88,""),"")</f>
        <v/>
      </c>
      <c r="G87" s="37" t="str">
        <f>IFERROR(IF(清单台账!$AE88=1,清单台账!$G88,""),"")</f>
        <v/>
      </c>
      <c r="H87" s="37" t="str">
        <f>IFERROR(IF(清单台账!$AE88=1,清单台账!$H88,""),"")</f>
        <v/>
      </c>
      <c r="I87" s="37" t="str">
        <f>IFERROR(IF(清单台账!$AE88=1,清单台账!$I88,""),"")</f>
        <v/>
      </c>
      <c r="J87" s="37" t="str">
        <f>IFERROR(IF(清单台账!$AE88=1,清单台账!$J88,""),"")</f>
        <v/>
      </c>
      <c r="K87" s="37" t="str">
        <f>IFERROR(IF(清单台账!$AE88=1,清单台账!$K88,""),"")</f>
        <v/>
      </c>
      <c r="L87" s="37" t="str">
        <f>IFERROR(IF(清单台账!$AE88=1,清单台账!$L88,""),"")</f>
        <v/>
      </c>
      <c r="M87" s="37" t="str">
        <f>IFERROR(IF(清单台账!$AE88=1,清单台账!$M88,""),"")</f>
        <v/>
      </c>
      <c r="N87" s="37" t="str">
        <f>IFERROR(IF(清单台账!$AE88=1,清单台账!$N88,""),"")</f>
        <v/>
      </c>
      <c r="O87" s="37" t="str">
        <f>IFERROR(IF(清单台账!$AE88=1,清单台账!$O88,""),"")</f>
        <v/>
      </c>
      <c r="P87" s="39" t="str">
        <f>IFERROR(IF(清单台账!$AE88=1,清单台账!$P88,""),"")</f>
        <v/>
      </c>
      <c r="Q87" s="39" t="str">
        <f>IFERROR(IF(清单台账!$AE88=1,清单台账!$Q88,""),"")</f>
        <v/>
      </c>
      <c r="R87" s="39" t="str">
        <f>IFERROR(IF(清单台账!$AE88=1,清单台账!$R88,""),"")</f>
        <v/>
      </c>
      <c r="S87" s="37" t="str">
        <f>IFERROR(IF(清单台账!$AE88=1,清单台账!$S88,""),"")</f>
        <v/>
      </c>
      <c r="T87" s="37" t="str">
        <f>IFERROR(IF(清单台账!$AE88=1,清单台账!$T88,""),"")</f>
        <v/>
      </c>
      <c r="U87" s="37" t="str">
        <f>IFERROR(IF(清单台账!$AE88=1,清单台账!$U88,""),"")</f>
        <v/>
      </c>
      <c r="V87" s="38" t="str">
        <f>IFERROR(IF(清单台账!$AE88=1,清单台账!$V88,""),"")</f>
        <v/>
      </c>
      <c r="W87" s="40" t="str">
        <f>IFERROR(IF(清单台账!$AE88=1,清单台账!$W88,""),"")</f>
        <v/>
      </c>
      <c r="X87" s="46" t="str">
        <f>IF($F87&lt;&gt;"",IFERROR(MAX($X$5:$X86),0)+1,"")</f>
        <v/>
      </c>
    </row>
    <row r="88" spans="1:24">
      <c r="A88" s="36" t="str">
        <f>IFERROR(IF(清单台账!$AE89=1,清单台账!$A89,""),"")</f>
        <v/>
      </c>
      <c r="B88" s="37" t="str">
        <f>IFERROR(IF(清单台账!$AE89=1,清单台账!$AA89,""),"")</f>
        <v/>
      </c>
      <c r="C88" s="38" t="str">
        <f>IFERROR(IF(清单台账!$AE89=1,清单台账!$AB89,""),"")</f>
        <v/>
      </c>
      <c r="D88" s="37" t="str">
        <f>IFERROR(IF(清单台账!$AE89=1,清单台账!$AC89,""),"")</f>
        <v/>
      </c>
      <c r="E88" s="37" t="str">
        <f>IFERROR(IF(清单台账!$AE89=1,清单台账!$AD89,""),"")</f>
        <v/>
      </c>
      <c r="F88" s="37" t="str">
        <f>IFERROR(IF(清单台账!$AE89=1,清单台账!$F89,""),"")</f>
        <v/>
      </c>
      <c r="G88" s="37" t="str">
        <f>IFERROR(IF(清单台账!$AE89=1,清单台账!$G89,""),"")</f>
        <v/>
      </c>
      <c r="H88" s="37" t="str">
        <f>IFERROR(IF(清单台账!$AE89=1,清单台账!$H89,""),"")</f>
        <v/>
      </c>
      <c r="I88" s="37" t="str">
        <f>IFERROR(IF(清单台账!$AE89=1,清单台账!$I89,""),"")</f>
        <v/>
      </c>
      <c r="J88" s="37" t="str">
        <f>IFERROR(IF(清单台账!$AE89=1,清单台账!$J89,""),"")</f>
        <v/>
      </c>
      <c r="K88" s="37" t="str">
        <f>IFERROR(IF(清单台账!$AE89=1,清单台账!$K89,""),"")</f>
        <v/>
      </c>
      <c r="L88" s="37" t="str">
        <f>IFERROR(IF(清单台账!$AE89=1,清单台账!$L89,""),"")</f>
        <v/>
      </c>
      <c r="M88" s="37" t="str">
        <f>IFERROR(IF(清单台账!$AE89=1,清单台账!$M89,""),"")</f>
        <v/>
      </c>
      <c r="N88" s="37" t="str">
        <f>IFERROR(IF(清单台账!$AE89=1,清单台账!$N89,""),"")</f>
        <v/>
      </c>
      <c r="O88" s="37" t="str">
        <f>IFERROR(IF(清单台账!$AE89=1,清单台账!$O89,""),"")</f>
        <v/>
      </c>
      <c r="P88" s="39" t="str">
        <f>IFERROR(IF(清单台账!$AE89=1,清单台账!$P89,""),"")</f>
        <v/>
      </c>
      <c r="Q88" s="39" t="str">
        <f>IFERROR(IF(清单台账!$AE89=1,清单台账!$Q89,""),"")</f>
        <v/>
      </c>
      <c r="R88" s="39" t="str">
        <f>IFERROR(IF(清单台账!$AE89=1,清单台账!$R89,""),"")</f>
        <v/>
      </c>
      <c r="S88" s="37" t="str">
        <f>IFERROR(IF(清单台账!$AE89=1,清单台账!$S89,""),"")</f>
        <v/>
      </c>
      <c r="T88" s="37" t="str">
        <f>IFERROR(IF(清单台账!$AE89=1,清单台账!$T89,""),"")</f>
        <v/>
      </c>
      <c r="U88" s="37" t="str">
        <f>IFERROR(IF(清单台账!$AE89=1,清单台账!$U89,""),"")</f>
        <v/>
      </c>
      <c r="V88" s="38" t="str">
        <f>IFERROR(IF(清单台账!$AE89=1,清单台账!$V89,""),"")</f>
        <v/>
      </c>
      <c r="W88" s="40" t="str">
        <f>IFERROR(IF(清单台账!$AE89=1,清单台账!$W89,""),"")</f>
        <v/>
      </c>
      <c r="X88" s="46" t="str">
        <f>IF($F88&lt;&gt;"",IFERROR(MAX($X$5:$X87),0)+1,"")</f>
        <v/>
      </c>
    </row>
    <row r="89" spans="1:24">
      <c r="A89" s="36" t="str">
        <f>IFERROR(IF(清单台账!$AE90=1,清单台账!$A90,""),"")</f>
        <v/>
      </c>
      <c r="B89" s="37" t="str">
        <f>IFERROR(IF(清单台账!$AE90=1,清单台账!$AA90,""),"")</f>
        <v/>
      </c>
      <c r="C89" s="38" t="str">
        <f>IFERROR(IF(清单台账!$AE90=1,清单台账!$AB90,""),"")</f>
        <v/>
      </c>
      <c r="D89" s="37" t="str">
        <f>IFERROR(IF(清单台账!$AE90=1,清单台账!$AC90,""),"")</f>
        <v/>
      </c>
      <c r="E89" s="37" t="str">
        <f>IFERROR(IF(清单台账!$AE90=1,清单台账!$AD90,""),"")</f>
        <v/>
      </c>
      <c r="F89" s="37" t="str">
        <f>IFERROR(IF(清单台账!$AE90=1,清单台账!$F90,""),"")</f>
        <v/>
      </c>
      <c r="G89" s="37" t="str">
        <f>IFERROR(IF(清单台账!$AE90=1,清单台账!$G90,""),"")</f>
        <v/>
      </c>
      <c r="H89" s="37" t="str">
        <f>IFERROR(IF(清单台账!$AE90=1,清单台账!$H90,""),"")</f>
        <v/>
      </c>
      <c r="I89" s="37" t="str">
        <f>IFERROR(IF(清单台账!$AE90=1,清单台账!$I90,""),"")</f>
        <v/>
      </c>
      <c r="J89" s="37" t="str">
        <f>IFERROR(IF(清单台账!$AE90=1,清单台账!$J90,""),"")</f>
        <v/>
      </c>
      <c r="K89" s="37" t="str">
        <f>IFERROR(IF(清单台账!$AE90=1,清单台账!$K90,""),"")</f>
        <v/>
      </c>
      <c r="L89" s="37" t="str">
        <f>IFERROR(IF(清单台账!$AE90=1,清单台账!$L90,""),"")</f>
        <v/>
      </c>
      <c r="M89" s="37" t="str">
        <f>IFERROR(IF(清单台账!$AE90=1,清单台账!$M90,""),"")</f>
        <v/>
      </c>
      <c r="N89" s="37" t="str">
        <f>IFERROR(IF(清单台账!$AE90=1,清单台账!$N90,""),"")</f>
        <v/>
      </c>
      <c r="O89" s="37" t="str">
        <f>IFERROR(IF(清单台账!$AE90=1,清单台账!$O90,""),"")</f>
        <v/>
      </c>
      <c r="P89" s="39" t="str">
        <f>IFERROR(IF(清单台账!$AE90=1,清单台账!$P90,""),"")</f>
        <v/>
      </c>
      <c r="Q89" s="39" t="str">
        <f>IFERROR(IF(清单台账!$AE90=1,清单台账!$Q90,""),"")</f>
        <v/>
      </c>
      <c r="R89" s="39" t="str">
        <f>IFERROR(IF(清单台账!$AE90=1,清单台账!$R90,""),"")</f>
        <v/>
      </c>
      <c r="S89" s="37" t="str">
        <f>IFERROR(IF(清单台账!$AE90=1,清单台账!$S90,""),"")</f>
        <v/>
      </c>
      <c r="T89" s="37" t="str">
        <f>IFERROR(IF(清单台账!$AE90=1,清单台账!$T90,""),"")</f>
        <v/>
      </c>
      <c r="U89" s="37" t="str">
        <f>IFERROR(IF(清单台账!$AE90=1,清单台账!$U90,""),"")</f>
        <v/>
      </c>
      <c r="V89" s="38" t="str">
        <f>IFERROR(IF(清单台账!$AE90=1,清单台账!$V90,""),"")</f>
        <v/>
      </c>
      <c r="W89" s="40" t="str">
        <f>IFERROR(IF(清单台账!$AE90=1,清单台账!$W90,""),"")</f>
        <v/>
      </c>
      <c r="X89" s="46" t="str">
        <f>IF($F89&lt;&gt;"",IFERROR(MAX($X$5:$X88),0)+1,"")</f>
        <v/>
      </c>
    </row>
    <row r="90" spans="1:24">
      <c r="A90" s="36" t="str">
        <f>IFERROR(IF(清单台账!$AE91=1,清单台账!$A91,""),"")</f>
        <v/>
      </c>
      <c r="B90" s="37" t="str">
        <f>IFERROR(IF(清单台账!$AE91=1,清单台账!$AA91,""),"")</f>
        <v/>
      </c>
      <c r="C90" s="38" t="str">
        <f>IFERROR(IF(清单台账!$AE91=1,清单台账!$AB91,""),"")</f>
        <v/>
      </c>
      <c r="D90" s="37" t="str">
        <f>IFERROR(IF(清单台账!$AE91=1,清单台账!$AC91,""),"")</f>
        <v/>
      </c>
      <c r="E90" s="37" t="str">
        <f>IFERROR(IF(清单台账!$AE91=1,清单台账!$AD91,""),"")</f>
        <v/>
      </c>
      <c r="F90" s="37" t="str">
        <f>IFERROR(IF(清单台账!$AE91=1,清单台账!$F91,""),"")</f>
        <v/>
      </c>
      <c r="G90" s="37" t="str">
        <f>IFERROR(IF(清单台账!$AE91=1,清单台账!$G91,""),"")</f>
        <v/>
      </c>
      <c r="H90" s="37" t="str">
        <f>IFERROR(IF(清单台账!$AE91=1,清单台账!$H91,""),"")</f>
        <v/>
      </c>
      <c r="I90" s="37" t="str">
        <f>IFERROR(IF(清单台账!$AE91=1,清单台账!$I91,""),"")</f>
        <v/>
      </c>
      <c r="J90" s="37" t="str">
        <f>IFERROR(IF(清单台账!$AE91=1,清单台账!$J91,""),"")</f>
        <v/>
      </c>
      <c r="K90" s="37" t="str">
        <f>IFERROR(IF(清单台账!$AE91=1,清单台账!$K91,""),"")</f>
        <v/>
      </c>
      <c r="L90" s="37" t="str">
        <f>IFERROR(IF(清单台账!$AE91=1,清单台账!$L91,""),"")</f>
        <v/>
      </c>
      <c r="M90" s="37" t="str">
        <f>IFERROR(IF(清单台账!$AE91=1,清单台账!$M91,""),"")</f>
        <v/>
      </c>
      <c r="N90" s="37" t="str">
        <f>IFERROR(IF(清单台账!$AE91=1,清单台账!$N91,""),"")</f>
        <v/>
      </c>
      <c r="O90" s="37" t="str">
        <f>IFERROR(IF(清单台账!$AE91=1,清单台账!$O91,""),"")</f>
        <v/>
      </c>
      <c r="P90" s="39" t="str">
        <f>IFERROR(IF(清单台账!$AE91=1,清单台账!$P91,""),"")</f>
        <v/>
      </c>
      <c r="Q90" s="39" t="str">
        <f>IFERROR(IF(清单台账!$AE91=1,清单台账!$Q91,""),"")</f>
        <v/>
      </c>
      <c r="R90" s="39" t="str">
        <f>IFERROR(IF(清单台账!$AE91=1,清单台账!$R91,""),"")</f>
        <v/>
      </c>
      <c r="S90" s="37" t="str">
        <f>IFERROR(IF(清单台账!$AE91=1,清单台账!$S91,""),"")</f>
        <v/>
      </c>
      <c r="T90" s="37" t="str">
        <f>IFERROR(IF(清单台账!$AE91=1,清单台账!$T91,""),"")</f>
        <v/>
      </c>
      <c r="U90" s="37" t="str">
        <f>IFERROR(IF(清单台账!$AE91=1,清单台账!$U91,""),"")</f>
        <v/>
      </c>
      <c r="V90" s="38" t="str">
        <f>IFERROR(IF(清单台账!$AE91=1,清单台账!$V91,""),"")</f>
        <v/>
      </c>
      <c r="W90" s="40" t="str">
        <f>IFERROR(IF(清单台账!$AE91=1,清单台账!$W91,""),"")</f>
        <v/>
      </c>
      <c r="X90" s="46" t="str">
        <f>IF($F90&lt;&gt;"",IFERROR(MAX($X$5:$X89),0)+1,"")</f>
        <v/>
      </c>
    </row>
    <row r="91" spans="1:24">
      <c r="A91" s="36" t="str">
        <f>IFERROR(IF(清单台账!$AE92=1,清单台账!$A92,""),"")</f>
        <v/>
      </c>
      <c r="B91" s="37" t="str">
        <f>IFERROR(IF(清单台账!$AE92=1,清单台账!$AA92,""),"")</f>
        <v/>
      </c>
      <c r="C91" s="38" t="str">
        <f>IFERROR(IF(清单台账!$AE92=1,清单台账!$AB92,""),"")</f>
        <v/>
      </c>
      <c r="D91" s="37" t="str">
        <f>IFERROR(IF(清单台账!$AE92=1,清单台账!$AC92,""),"")</f>
        <v/>
      </c>
      <c r="E91" s="37" t="str">
        <f>IFERROR(IF(清单台账!$AE92=1,清单台账!$AD92,""),"")</f>
        <v/>
      </c>
      <c r="F91" s="37" t="str">
        <f>IFERROR(IF(清单台账!$AE92=1,清单台账!$F92,""),"")</f>
        <v/>
      </c>
      <c r="G91" s="37" t="str">
        <f>IFERROR(IF(清单台账!$AE92=1,清单台账!$G92,""),"")</f>
        <v/>
      </c>
      <c r="H91" s="37" t="str">
        <f>IFERROR(IF(清单台账!$AE92=1,清单台账!$H92,""),"")</f>
        <v/>
      </c>
      <c r="I91" s="37" t="str">
        <f>IFERROR(IF(清单台账!$AE92=1,清单台账!$I92,""),"")</f>
        <v/>
      </c>
      <c r="J91" s="37" t="str">
        <f>IFERROR(IF(清单台账!$AE92=1,清单台账!$J92,""),"")</f>
        <v/>
      </c>
      <c r="K91" s="37" t="str">
        <f>IFERROR(IF(清单台账!$AE92=1,清单台账!$K92,""),"")</f>
        <v/>
      </c>
      <c r="L91" s="37" t="str">
        <f>IFERROR(IF(清单台账!$AE92=1,清单台账!$L92,""),"")</f>
        <v/>
      </c>
      <c r="M91" s="37" t="str">
        <f>IFERROR(IF(清单台账!$AE92=1,清单台账!$M92,""),"")</f>
        <v/>
      </c>
      <c r="N91" s="37" t="str">
        <f>IFERROR(IF(清单台账!$AE92=1,清单台账!$N92,""),"")</f>
        <v/>
      </c>
      <c r="O91" s="37" t="str">
        <f>IFERROR(IF(清单台账!$AE92=1,清单台账!$O92,""),"")</f>
        <v/>
      </c>
      <c r="P91" s="39" t="str">
        <f>IFERROR(IF(清单台账!$AE92=1,清单台账!$P92,""),"")</f>
        <v/>
      </c>
      <c r="Q91" s="39" t="str">
        <f>IFERROR(IF(清单台账!$AE92=1,清单台账!$Q92,""),"")</f>
        <v/>
      </c>
      <c r="R91" s="39" t="str">
        <f>IFERROR(IF(清单台账!$AE92=1,清单台账!$R92,""),"")</f>
        <v/>
      </c>
      <c r="S91" s="37" t="str">
        <f>IFERROR(IF(清单台账!$AE92=1,清单台账!$S92,""),"")</f>
        <v/>
      </c>
      <c r="T91" s="37" t="str">
        <f>IFERROR(IF(清单台账!$AE92=1,清单台账!$T92,""),"")</f>
        <v/>
      </c>
      <c r="U91" s="37" t="str">
        <f>IFERROR(IF(清单台账!$AE92=1,清单台账!$U92,""),"")</f>
        <v/>
      </c>
      <c r="V91" s="38" t="str">
        <f>IFERROR(IF(清单台账!$AE92=1,清单台账!$V92,""),"")</f>
        <v/>
      </c>
      <c r="W91" s="40" t="str">
        <f>IFERROR(IF(清单台账!$AE92=1,清单台账!$W92,""),"")</f>
        <v/>
      </c>
      <c r="X91" s="46" t="str">
        <f>IF($F91&lt;&gt;"",IFERROR(MAX($X$5:$X90),0)+1,"")</f>
        <v/>
      </c>
    </row>
    <row r="92" spans="1:24">
      <c r="A92" s="36" t="str">
        <f>IFERROR(IF(清单台账!$AE93=1,清单台账!$A93,""),"")</f>
        <v/>
      </c>
      <c r="B92" s="37" t="str">
        <f>IFERROR(IF(清单台账!$AE93=1,清单台账!$AA93,""),"")</f>
        <v/>
      </c>
      <c r="C92" s="38" t="str">
        <f>IFERROR(IF(清单台账!$AE93=1,清单台账!$AB93,""),"")</f>
        <v/>
      </c>
      <c r="D92" s="37" t="str">
        <f>IFERROR(IF(清单台账!$AE93=1,清单台账!$AC93,""),"")</f>
        <v/>
      </c>
      <c r="E92" s="37" t="str">
        <f>IFERROR(IF(清单台账!$AE93=1,清单台账!$AD93,""),"")</f>
        <v/>
      </c>
      <c r="F92" s="37" t="str">
        <f>IFERROR(IF(清单台账!$AE93=1,清单台账!$F93,""),"")</f>
        <v/>
      </c>
      <c r="G92" s="37" t="str">
        <f>IFERROR(IF(清单台账!$AE93=1,清单台账!$G93,""),"")</f>
        <v/>
      </c>
      <c r="H92" s="37" t="str">
        <f>IFERROR(IF(清单台账!$AE93=1,清单台账!$H93,""),"")</f>
        <v/>
      </c>
      <c r="I92" s="37" t="str">
        <f>IFERROR(IF(清单台账!$AE93=1,清单台账!$I93,""),"")</f>
        <v/>
      </c>
      <c r="J92" s="37" t="str">
        <f>IFERROR(IF(清单台账!$AE93=1,清单台账!$J93,""),"")</f>
        <v/>
      </c>
      <c r="K92" s="37" t="str">
        <f>IFERROR(IF(清单台账!$AE93=1,清单台账!$K93,""),"")</f>
        <v/>
      </c>
      <c r="L92" s="37" t="str">
        <f>IFERROR(IF(清单台账!$AE93=1,清单台账!$L93,""),"")</f>
        <v/>
      </c>
      <c r="M92" s="37" t="str">
        <f>IFERROR(IF(清单台账!$AE93=1,清单台账!$M93,""),"")</f>
        <v/>
      </c>
      <c r="N92" s="37" t="str">
        <f>IFERROR(IF(清单台账!$AE93=1,清单台账!$N93,""),"")</f>
        <v/>
      </c>
      <c r="O92" s="37" t="str">
        <f>IFERROR(IF(清单台账!$AE93=1,清单台账!$O93,""),"")</f>
        <v/>
      </c>
      <c r="P92" s="39" t="str">
        <f>IFERROR(IF(清单台账!$AE93=1,清单台账!$P93,""),"")</f>
        <v/>
      </c>
      <c r="Q92" s="39" t="str">
        <f>IFERROR(IF(清单台账!$AE93=1,清单台账!$Q93,""),"")</f>
        <v/>
      </c>
      <c r="R92" s="39" t="str">
        <f>IFERROR(IF(清单台账!$AE93=1,清单台账!$R93,""),"")</f>
        <v/>
      </c>
      <c r="S92" s="37" t="str">
        <f>IFERROR(IF(清单台账!$AE93=1,清单台账!$S93,""),"")</f>
        <v/>
      </c>
      <c r="T92" s="37" t="str">
        <f>IFERROR(IF(清单台账!$AE93=1,清单台账!$T93,""),"")</f>
        <v/>
      </c>
      <c r="U92" s="37" t="str">
        <f>IFERROR(IF(清单台账!$AE93=1,清单台账!$U93,""),"")</f>
        <v/>
      </c>
      <c r="V92" s="38" t="str">
        <f>IFERROR(IF(清单台账!$AE93=1,清单台账!$V93,""),"")</f>
        <v/>
      </c>
      <c r="W92" s="40" t="str">
        <f>IFERROR(IF(清单台账!$AE93=1,清单台账!$W93,""),"")</f>
        <v/>
      </c>
      <c r="X92" s="46" t="str">
        <f>IF($F92&lt;&gt;"",IFERROR(MAX($X$5:$X91),0)+1,"")</f>
        <v/>
      </c>
    </row>
    <row r="93" spans="1:24">
      <c r="A93" s="36" t="str">
        <f>IFERROR(IF(清单台账!$AE94=1,清单台账!$A94,""),"")</f>
        <v/>
      </c>
      <c r="B93" s="37" t="str">
        <f>IFERROR(IF(清单台账!$AE94=1,清单台账!$AA94,""),"")</f>
        <v/>
      </c>
      <c r="C93" s="38" t="str">
        <f>IFERROR(IF(清单台账!$AE94=1,清单台账!$AB94,""),"")</f>
        <v/>
      </c>
      <c r="D93" s="37" t="str">
        <f>IFERROR(IF(清单台账!$AE94=1,清单台账!$AC94,""),"")</f>
        <v/>
      </c>
      <c r="E93" s="37" t="str">
        <f>IFERROR(IF(清单台账!$AE94=1,清单台账!$AD94,""),"")</f>
        <v/>
      </c>
      <c r="F93" s="37" t="str">
        <f>IFERROR(IF(清单台账!$AE94=1,清单台账!$F94,""),"")</f>
        <v/>
      </c>
      <c r="G93" s="37" t="str">
        <f>IFERROR(IF(清单台账!$AE94=1,清单台账!$G94,""),"")</f>
        <v/>
      </c>
      <c r="H93" s="37" t="str">
        <f>IFERROR(IF(清单台账!$AE94=1,清单台账!$H94,""),"")</f>
        <v/>
      </c>
      <c r="I93" s="37" t="str">
        <f>IFERROR(IF(清单台账!$AE94=1,清单台账!$I94,""),"")</f>
        <v/>
      </c>
      <c r="J93" s="37" t="str">
        <f>IFERROR(IF(清单台账!$AE94=1,清单台账!$J94,""),"")</f>
        <v/>
      </c>
      <c r="K93" s="37" t="str">
        <f>IFERROR(IF(清单台账!$AE94=1,清单台账!$K94,""),"")</f>
        <v/>
      </c>
      <c r="L93" s="37" t="str">
        <f>IFERROR(IF(清单台账!$AE94=1,清单台账!$L94,""),"")</f>
        <v/>
      </c>
      <c r="M93" s="37" t="str">
        <f>IFERROR(IF(清单台账!$AE94=1,清单台账!$M94,""),"")</f>
        <v/>
      </c>
      <c r="N93" s="37" t="str">
        <f>IFERROR(IF(清单台账!$AE94=1,清单台账!$N94,""),"")</f>
        <v/>
      </c>
      <c r="O93" s="37" t="str">
        <f>IFERROR(IF(清单台账!$AE94=1,清单台账!$O94,""),"")</f>
        <v/>
      </c>
      <c r="P93" s="39" t="str">
        <f>IFERROR(IF(清单台账!$AE94=1,清单台账!$P94,""),"")</f>
        <v/>
      </c>
      <c r="Q93" s="39" t="str">
        <f>IFERROR(IF(清单台账!$AE94=1,清单台账!$Q94,""),"")</f>
        <v/>
      </c>
      <c r="R93" s="39" t="str">
        <f>IFERROR(IF(清单台账!$AE94=1,清单台账!$R94,""),"")</f>
        <v/>
      </c>
      <c r="S93" s="37" t="str">
        <f>IFERROR(IF(清单台账!$AE94=1,清单台账!$S94,""),"")</f>
        <v/>
      </c>
      <c r="T93" s="37" t="str">
        <f>IFERROR(IF(清单台账!$AE94=1,清单台账!$T94,""),"")</f>
        <v/>
      </c>
      <c r="U93" s="37" t="str">
        <f>IFERROR(IF(清单台账!$AE94=1,清单台账!$U94,""),"")</f>
        <v/>
      </c>
      <c r="V93" s="38" t="str">
        <f>IFERROR(IF(清单台账!$AE94=1,清单台账!$V94,""),"")</f>
        <v/>
      </c>
      <c r="W93" s="40" t="str">
        <f>IFERROR(IF(清单台账!$AE94=1,清单台账!$W94,""),"")</f>
        <v/>
      </c>
      <c r="X93" s="46" t="str">
        <f>IF($F93&lt;&gt;"",IFERROR(MAX($X$5:$X92),0)+1,"")</f>
        <v/>
      </c>
    </row>
    <row r="94" spans="1:24">
      <c r="A94" s="36" t="str">
        <f>IFERROR(IF(清单台账!$AE95=1,清单台账!$A95,""),"")</f>
        <v/>
      </c>
      <c r="B94" s="37" t="str">
        <f>IFERROR(IF(清单台账!$AE95=1,清单台账!$AA95,""),"")</f>
        <v/>
      </c>
      <c r="C94" s="38" t="str">
        <f>IFERROR(IF(清单台账!$AE95=1,清单台账!$AB95,""),"")</f>
        <v/>
      </c>
      <c r="D94" s="37" t="str">
        <f>IFERROR(IF(清单台账!$AE95=1,清单台账!$AC95,""),"")</f>
        <v/>
      </c>
      <c r="E94" s="37" t="str">
        <f>IFERROR(IF(清单台账!$AE95=1,清单台账!$AD95,""),"")</f>
        <v/>
      </c>
      <c r="F94" s="37" t="str">
        <f>IFERROR(IF(清单台账!$AE95=1,清单台账!$F95,""),"")</f>
        <v/>
      </c>
      <c r="G94" s="37" t="str">
        <f>IFERROR(IF(清单台账!$AE95=1,清单台账!$G95,""),"")</f>
        <v/>
      </c>
      <c r="H94" s="37" t="str">
        <f>IFERROR(IF(清单台账!$AE95=1,清单台账!$H95,""),"")</f>
        <v/>
      </c>
      <c r="I94" s="37" t="str">
        <f>IFERROR(IF(清单台账!$AE95=1,清单台账!$I95,""),"")</f>
        <v/>
      </c>
      <c r="J94" s="37" t="str">
        <f>IFERROR(IF(清单台账!$AE95=1,清单台账!$J95,""),"")</f>
        <v/>
      </c>
      <c r="K94" s="37" t="str">
        <f>IFERROR(IF(清单台账!$AE95=1,清单台账!$K95,""),"")</f>
        <v/>
      </c>
      <c r="L94" s="37" t="str">
        <f>IFERROR(IF(清单台账!$AE95=1,清单台账!$L95,""),"")</f>
        <v/>
      </c>
      <c r="M94" s="37" t="str">
        <f>IFERROR(IF(清单台账!$AE95=1,清单台账!$M95,""),"")</f>
        <v/>
      </c>
      <c r="N94" s="37" t="str">
        <f>IFERROR(IF(清单台账!$AE95=1,清单台账!$N95,""),"")</f>
        <v/>
      </c>
      <c r="O94" s="37" t="str">
        <f>IFERROR(IF(清单台账!$AE95=1,清单台账!$O95,""),"")</f>
        <v/>
      </c>
      <c r="P94" s="39" t="str">
        <f>IFERROR(IF(清单台账!$AE95=1,清单台账!$P95,""),"")</f>
        <v/>
      </c>
      <c r="Q94" s="39" t="str">
        <f>IFERROR(IF(清单台账!$AE95=1,清单台账!$Q95,""),"")</f>
        <v/>
      </c>
      <c r="R94" s="39" t="str">
        <f>IFERROR(IF(清单台账!$AE95=1,清单台账!$R95,""),"")</f>
        <v/>
      </c>
      <c r="S94" s="37" t="str">
        <f>IFERROR(IF(清单台账!$AE95=1,清单台账!$S95,""),"")</f>
        <v/>
      </c>
      <c r="T94" s="37" t="str">
        <f>IFERROR(IF(清单台账!$AE95=1,清单台账!$T95,""),"")</f>
        <v/>
      </c>
      <c r="U94" s="37" t="str">
        <f>IFERROR(IF(清单台账!$AE95=1,清单台账!$U95,""),"")</f>
        <v/>
      </c>
      <c r="V94" s="38" t="str">
        <f>IFERROR(IF(清单台账!$AE95=1,清单台账!$V95,""),"")</f>
        <v/>
      </c>
      <c r="W94" s="40" t="str">
        <f>IFERROR(IF(清单台账!$AE95=1,清单台账!$W95,""),"")</f>
        <v/>
      </c>
      <c r="X94" s="46" t="str">
        <f>IF($F94&lt;&gt;"",IFERROR(MAX($X$5:$X93),0)+1,"")</f>
        <v/>
      </c>
    </row>
    <row r="95" spans="1:24">
      <c r="A95" s="36" t="str">
        <f>IFERROR(IF(清单台账!$AE96=1,清单台账!$A96,""),"")</f>
        <v/>
      </c>
      <c r="B95" s="37" t="str">
        <f>IFERROR(IF(清单台账!$AE96=1,清单台账!$AA96,""),"")</f>
        <v/>
      </c>
      <c r="C95" s="38" t="str">
        <f>IFERROR(IF(清单台账!$AE96=1,清单台账!$AB96,""),"")</f>
        <v/>
      </c>
      <c r="D95" s="37" t="str">
        <f>IFERROR(IF(清单台账!$AE96=1,清单台账!$AC96,""),"")</f>
        <v/>
      </c>
      <c r="E95" s="37" t="str">
        <f>IFERROR(IF(清单台账!$AE96=1,清单台账!$AD96,""),"")</f>
        <v/>
      </c>
      <c r="F95" s="37" t="str">
        <f>IFERROR(IF(清单台账!$AE96=1,清单台账!$F96,""),"")</f>
        <v/>
      </c>
      <c r="G95" s="37" t="str">
        <f>IFERROR(IF(清单台账!$AE96=1,清单台账!$G96,""),"")</f>
        <v/>
      </c>
      <c r="H95" s="37" t="str">
        <f>IFERROR(IF(清单台账!$AE96=1,清单台账!$H96,""),"")</f>
        <v/>
      </c>
      <c r="I95" s="37" t="str">
        <f>IFERROR(IF(清单台账!$AE96=1,清单台账!$I96,""),"")</f>
        <v/>
      </c>
      <c r="J95" s="37" t="str">
        <f>IFERROR(IF(清单台账!$AE96=1,清单台账!$J96,""),"")</f>
        <v/>
      </c>
      <c r="K95" s="37" t="str">
        <f>IFERROR(IF(清单台账!$AE96=1,清单台账!$K96,""),"")</f>
        <v/>
      </c>
      <c r="L95" s="37" t="str">
        <f>IFERROR(IF(清单台账!$AE96=1,清单台账!$L96,""),"")</f>
        <v/>
      </c>
      <c r="M95" s="37" t="str">
        <f>IFERROR(IF(清单台账!$AE96=1,清单台账!$M96,""),"")</f>
        <v/>
      </c>
      <c r="N95" s="37" t="str">
        <f>IFERROR(IF(清单台账!$AE96=1,清单台账!$N96,""),"")</f>
        <v/>
      </c>
      <c r="O95" s="37" t="str">
        <f>IFERROR(IF(清单台账!$AE96=1,清单台账!$O96,""),"")</f>
        <v/>
      </c>
      <c r="P95" s="39" t="str">
        <f>IFERROR(IF(清单台账!$AE96=1,清单台账!$P96,""),"")</f>
        <v/>
      </c>
      <c r="Q95" s="39" t="str">
        <f>IFERROR(IF(清单台账!$AE96=1,清单台账!$Q96,""),"")</f>
        <v/>
      </c>
      <c r="R95" s="39" t="str">
        <f>IFERROR(IF(清单台账!$AE96=1,清单台账!$R96,""),"")</f>
        <v/>
      </c>
      <c r="S95" s="37" t="str">
        <f>IFERROR(IF(清单台账!$AE96=1,清单台账!$S96,""),"")</f>
        <v/>
      </c>
      <c r="T95" s="37" t="str">
        <f>IFERROR(IF(清单台账!$AE96=1,清单台账!$T96,""),"")</f>
        <v/>
      </c>
      <c r="U95" s="37" t="str">
        <f>IFERROR(IF(清单台账!$AE96=1,清单台账!$U96,""),"")</f>
        <v/>
      </c>
      <c r="V95" s="38" t="str">
        <f>IFERROR(IF(清单台账!$AE96=1,清单台账!$V96,""),"")</f>
        <v/>
      </c>
      <c r="W95" s="40" t="str">
        <f>IFERROR(IF(清单台账!$AE96=1,清单台账!$W96,""),"")</f>
        <v/>
      </c>
      <c r="X95" s="46" t="str">
        <f>IF($F95&lt;&gt;"",IFERROR(MAX($X$5:$X94),0)+1,"")</f>
        <v/>
      </c>
    </row>
    <row r="96" spans="1:24">
      <c r="A96" s="36" t="str">
        <f>IFERROR(IF(清单台账!$AE97=1,清单台账!$A97,""),"")</f>
        <v/>
      </c>
      <c r="B96" s="37" t="str">
        <f>IFERROR(IF(清单台账!$AE97=1,清单台账!$AA97,""),"")</f>
        <v/>
      </c>
      <c r="C96" s="38" t="str">
        <f>IFERROR(IF(清单台账!$AE97=1,清单台账!$AB97,""),"")</f>
        <v/>
      </c>
      <c r="D96" s="37" t="str">
        <f>IFERROR(IF(清单台账!$AE97=1,清单台账!$AC97,""),"")</f>
        <v/>
      </c>
      <c r="E96" s="37" t="str">
        <f>IFERROR(IF(清单台账!$AE97=1,清单台账!$AD97,""),"")</f>
        <v/>
      </c>
      <c r="F96" s="37" t="str">
        <f>IFERROR(IF(清单台账!$AE97=1,清单台账!$F97,""),"")</f>
        <v/>
      </c>
      <c r="G96" s="37" t="str">
        <f>IFERROR(IF(清单台账!$AE97=1,清单台账!$G97,""),"")</f>
        <v/>
      </c>
      <c r="H96" s="37" t="str">
        <f>IFERROR(IF(清单台账!$AE97=1,清单台账!$H97,""),"")</f>
        <v/>
      </c>
      <c r="I96" s="37" t="str">
        <f>IFERROR(IF(清单台账!$AE97=1,清单台账!$I97,""),"")</f>
        <v/>
      </c>
      <c r="J96" s="37" t="str">
        <f>IFERROR(IF(清单台账!$AE97=1,清单台账!$J97,""),"")</f>
        <v/>
      </c>
      <c r="K96" s="37" t="str">
        <f>IFERROR(IF(清单台账!$AE97=1,清单台账!$K97,""),"")</f>
        <v/>
      </c>
      <c r="L96" s="37" t="str">
        <f>IFERROR(IF(清单台账!$AE97=1,清单台账!$L97,""),"")</f>
        <v/>
      </c>
      <c r="M96" s="37" t="str">
        <f>IFERROR(IF(清单台账!$AE97=1,清单台账!$M97,""),"")</f>
        <v/>
      </c>
      <c r="N96" s="37" t="str">
        <f>IFERROR(IF(清单台账!$AE97=1,清单台账!$N97,""),"")</f>
        <v/>
      </c>
      <c r="O96" s="37" t="str">
        <f>IFERROR(IF(清单台账!$AE97=1,清单台账!$O97,""),"")</f>
        <v/>
      </c>
      <c r="P96" s="39" t="str">
        <f>IFERROR(IF(清单台账!$AE97=1,清单台账!$P97,""),"")</f>
        <v/>
      </c>
      <c r="Q96" s="39" t="str">
        <f>IFERROR(IF(清单台账!$AE97=1,清单台账!$Q97,""),"")</f>
        <v/>
      </c>
      <c r="R96" s="39" t="str">
        <f>IFERROR(IF(清单台账!$AE97=1,清单台账!$R97,""),"")</f>
        <v/>
      </c>
      <c r="S96" s="37" t="str">
        <f>IFERROR(IF(清单台账!$AE97=1,清单台账!$S97,""),"")</f>
        <v/>
      </c>
      <c r="T96" s="37" t="str">
        <f>IFERROR(IF(清单台账!$AE97=1,清单台账!$T97,""),"")</f>
        <v/>
      </c>
      <c r="U96" s="37" t="str">
        <f>IFERROR(IF(清单台账!$AE97=1,清单台账!$U97,""),"")</f>
        <v/>
      </c>
      <c r="V96" s="38" t="str">
        <f>IFERROR(IF(清单台账!$AE97=1,清单台账!$V97,""),"")</f>
        <v/>
      </c>
      <c r="W96" s="40" t="str">
        <f>IFERROR(IF(清单台账!$AE97=1,清单台账!$W97,""),"")</f>
        <v/>
      </c>
      <c r="X96" s="46" t="str">
        <f>IF($F96&lt;&gt;"",IFERROR(MAX($X$5:$X95),0)+1,"")</f>
        <v/>
      </c>
    </row>
    <row r="97" spans="1:24">
      <c r="A97" s="36" t="str">
        <f>IFERROR(IF(清单台账!$AE98=1,清单台账!$A98,""),"")</f>
        <v/>
      </c>
      <c r="B97" s="37" t="str">
        <f>IFERROR(IF(清单台账!$AE98=1,清单台账!$AA98,""),"")</f>
        <v/>
      </c>
      <c r="C97" s="38" t="str">
        <f>IFERROR(IF(清单台账!$AE98=1,清单台账!$AB98,""),"")</f>
        <v/>
      </c>
      <c r="D97" s="37" t="str">
        <f>IFERROR(IF(清单台账!$AE98=1,清单台账!$AC98,""),"")</f>
        <v/>
      </c>
      <c r="E97" s="37" t="str">
        <f>IFERROR(IF(清单台账!$AE98=1,清单台账!$AD98,""),"")</f>
        <v/>
      </c>
      <c r="F97" s="37" t="str">
        <f>IFERROR(IF(清单台账!$AE98=1,清单台账!$F98,""),"")</f>
        <v/>
      </c>
      <c r="G97" s="37" t="str">
        <f>IFERROR(IF(清单台账!$AE98=1,清单台账!$G98,""),"")</f>
        <v/>
      </c>
      <c r="H97" s="37" t="str">
        <f>IFERROR(IF(清单台账!$AE98=1,清单台账!$H98,""),"")</f>
        <v/>
      </c>
      <c r="I97" s="37" t="str">
        <f>IFERROR(IF(清单台账!$AE98=1,清单台账!$I98,""),"")</f>
        <v/>
      </c>
      <c r="J97" s="37" t="str">
        <f>IFERROR(IF(清单台账!$AE98=1,清单台账!$J98,""),"")</f>
        <v/>
      </c>
      <c r="K97" s="37" t="str">
        <f>IFERROR(IF(清单台账!$AE98=1,清单台账!$K98,""),"")</f>
        <v/>
      </c>
      <c r="L97" s="37" t="str">
        <f>IFERROR(IF(清单台账!$AE98=1,清单台账!$L98,""),"")</f>
        <v/>
      </c>
      <c r="M97" s="37" t="str">
        <f>IFERROR(IF(清单台账!$AE98=1,清单台账!$M98,""),"")</f>
        <v/>
      </c>
      <c r="N97" s="37" t="str">
        <f>IFERROR(IF(清单台账!$AE98=1,清单台账!$N98,""),"")</f>
        <v/>
      </c>
      <c r="O97" s="37" t="str">
        <f>IFERROR(IF(清单台账!$AE98=1,清单台账!$O98,""),"")</f>
        <v/>
      </c>
      <c r="P97" s="39" t="str">
        <f>IFERROR(IF(清单台账!$AE98=1,清单台账!$P98,""),"")</f>
        <v/>
      </c>
      <c r="Q97" s="39" t="str">
        <f>IFERROR(IF(清单台账!$AE98=1,清单台账!$Q98,""),"")</f>
        <v/>
      </c>
      <c r="R97" s="39" t="str">
        <f>IFERROR(IF(清单台账!$AE98=1,清单台账!$R98,""),"")</f>
        <v/>
      </c>
      <c r="S97" s="37" t="str">
        <f>IFERROR(IF(清单台账!$AE98=1,清单台账!$S98,""),"")</f>
        <v/>
      </c>
      <c r="T97" s="37" t="str">
        <f>IFERROR(IF(清单台账!$AE98=1,清单台账!$T98,""),"")</f>
        <v/>
      </c>
      <c r="U97" s="37" t="str">
        <f>IFERROR(IF(清单台账!$AE98=1,清单台账!$U98,""),"")</f>
        <v/>
      </c>
      <c r="V97" s="38" t="str">
        <f>IFERROR(IF(清单台账!$AE98=1,清单台账!$V98,""),"")</f>
        <v/>
      </c>
      <c r="W97" s="40" t="str">
        <f>IFERROR(IF(清单台账!$AE98=1,清单台账!$W98,""),"")</f>
        <v/>
      </c>
      <c r="X97" s="46" t="str">
        <f>IF($F97&lt;&gt;"",IFERROR(MAX($X$5:$X96),0)+1,"")</f>
        <v/>
      </c>
    </row>
    <row r="98" spans="1:24">
      <c r="A98" s="36" t="str">
        <f>IFERROR(IF(清单台账!$AE99=1,清单台账!$A99,""),"")</f>
        <v/>
      </c>
      <c r="B98" s="37" t="str">
        <f>IFERROR(IF(清单台账!$AE99=1,清单台账!$AA99,""),"")</f>
        <v/>
      </c>
      <c r="C98" s="38" t="str">
        <f>IFERROR(IF(清单台账!$AE99=1,清单台账!$AB99,""),"")</f>
        <v/>
      </c>
      <c r="D98" s="37" t="str">
        <f>IFERROR(IF(清单台账!$AE99=1,清单台账!$AC99,""),"")</f>
        <v/>
      </c>
      <c r="E98" s="37" t="str">
        <f>IFERROR(IF(清单台账!$AE99=1,清单台账!$AD99,""),"")</f>
        <v/>
      </c>
      <c r="F98" s="37" t="str">
        <f>IFERROR(IF(清单台账!$AE99=1,清单台账!$F99,""),"")</f>
        <v/>
      </c>
      <c r="G98" s="37" t="str">
        <f>IFERROR(IF(清单台账!$AE99=1,清单台账!$G99,""),"")</f>
        <v/>
      </c>
      <c r="H98" s="37" t="str">
        <f>IFERROR(IF(清单台账!$AE99=1,清单台账!$H99,""),"")</f>
        <v/>
      </c>
      <c r="I98" s="37" t="str">
        <f>IFERROR(IF(清单台账!$AE99=1,清单台账!$I99,""),"")</f>
        <v/>
      </c>
      <c r="J98" s="37" t="str">
        <f>IFERROR(IF(清单台账!$AE99=1,清单台账!$J99,""),"")</f>
        <v/>
      </c>
      <c r="K98" s="37" t="str">
        <f>IFERROR(IF(清单台账!$AE99=1,清单台账!$K99,""),"")</f>
        <v/>
      </c>
      <c r="L98" s="37" t="str">
        <f>IFERROR(IF(清单台账!$AE99=1,清单台账!$L99,""),"")</f>
        <v/>
      </c>
      <c r="M98" s="37" t="str">
        <f>IFERROR(IF(清单台账!$AE99=1,清单台账!$M99,""),"")</f>
        <v/>
      </c>
      <c r="N98" s="37" t="str">
        <f>IFERROR(IF(清单台账!$AE99=1,清单台账!$N99,""),"")</f>
        <v/>
      </c>
      <c r="O98" s="37" t="str">
        <f>IFERROR(IF(清单台账!$AE99=1,清单台账!$O99,""),"")</f>
        <v/>
      </c>
      <c r="P98" s="39" t="str">
        <f>IFERROR(IF(清单台账!$AE99=1,清单台账!$P99,""),"")</f>
        <v/>
      </c>
      <c r="Q98" s="39" t="str">
        <f>IFERROR(IF(清单台账!$AE99=1,清单台账!$Q99,""),"")</f>
        <v/>
      </c>
      <c r="R98" s="39" t="str">
        <f>IFERROR(IF(清单台账!$AE99=1,清单台账!$R99,""),"")</f>
        <v/>
      </c>
      <c r="S98" s="37" t="str">
        <f>IFERROR(IF(清单台账!$AE99=1,清单台账!$S99,""),"")</f>
        <v/>
      </c>
      <c r="T98" s="37" t="str">
        <f>IFERROR(IF(清单台账!$AE99=1,清单台账!$T99,""),"")</f>
        <v/>
      </c>
      <c r="U98" s="37" t="str">
        <f>IFERROR(IF(清单台账!$AE99=1,清单台账!$U99,""),"")</f>
        <v/>
      </c>
      <c r="V98" s="38" t="str">
        <f>IFERROR(IF(清单台账!$AE99=1,清单台账!$V99,""),"")</f>
        <v/>
      </c>
      <c r="W98" s="40" t="str">
        <f>IFERROR(IF(清单台账!$AE99=1,清单台账!$W99,""),"")</f>
        <v/>
      </c>
      <c r="X98" s="46" t="str">
        <f>IF($F98&lt;&gt;"",IFERROR(MAX($X$5:$X97),0)+1,"")</f>
        <v/>
      </c>
    </row>
    <row r="99" spans="1:24">
      <c r="A99" s="36" t="str">
        <f>IFERROR(IF(清单台账!$AE100=1,清单台账!$A100,""),"")</f>
        <v/>
      </c>
      <c r="B99" s="37" t="str">
        <f>IFERROR(IF(清单台账!$AE100=1,清单台账!$AA100,""),"")</f>
        <v/>
      </c>
      <c r="C99" s="38" t="str">
        <f>IFERROR(IF(清单台账!$AE100=1,清单台账!$AB100,""),"")</f>
        <v/>
      </c>
      <c r="D99" s="37" t="str">
        <f>IFERROR(IF(清单台账!$AE100=1,清单台账!$AC100,""),"")</f>
        <v/>
      </c>
      <c r="E99" s="37" t="str">
        <f>IFERROR(IF(清单台账!$AE100=1,清单台账!$AD100,""),"")</f>
        <v/>
      </c>
      <c r="F99" s="37" t="str">
        <f>IFERROR(IF(清单台账!$AE100=1,清单台账!$F100,""),"")</f>
        <v/>
      </c>
      <c r="G99" s="37" t="str">
        <f>IFERROR(IF(清单台账!$AE100=1,清单台账!$G100,""),"")</f>
        <v/>
      </c>
      <c r="H99" s="37" t="str">
        <f>IFERROR(IF(清单台账!$AE100=1,清单台账!$H100,""),"")</f>
        <v/>
      </c>
      <c r="I99" s="37" t="str">
        <f>IFERROR(IF(清单台账!$AE100=1,清单台账!$I100,""),"")</f>
        <v/>
      </c>
      <c r="J99" s="37" t="str">
        <f>IFERROR(IF(清单台账!$AE100=1,清单台账!$J100,""),"")</f>
        <v/>
      </c>
      <c r="K99" s="37" t="str">
        <f>IFERROR(IF(清单台账!$AE100=1,清单台账!$K100,""),"")</f>
        <v/>
      </c>
      <c r="L99" s="37" t="str">
        <f>IFERROR(IF(清单台账!$AE100=1,清单台账!$L100,""),"")</f>
        <v/>
      </c>
      <c r="M99" s="37" t="str">
        <f>IFERROR(IF(清单台账!$AE100=1,清单台账!$M100,""),"")</f>
        <v/>
      </c>
      <c r="N99" s="37" t="str">
        <f>IFERROR(IF(清单台账!$AE100=1,清单台账!$N100,""),"")</f>
        <v/>
      </c>
      <c r="O99" s="37" t="str">
        <f>IFERROR(IF(清单台账!$AE100=1,清单台账!$O100,""),"")</f>
        <v/>
      </c>
      <c r="P99" s="39" t="str">
        <f>IFERROR(IF(清单台账!$AE100=1,清单台账!$P100,""),"")</f>
        <v/>
      </c>
      <c r="Q99" s="39" t="str">
        <f>IFERROR(IF(清单台账!$AE100=1,清单台账!$Q100,""),"")</f>
        <v/>
      </c>
      <c r="R99" s="39" t="str">
        <f>IFERROR(IF(清单台账!$AE100=1,清单台账!$R100,""),"")</f>
        <v/>
      </c>
      <c r="S99" s="37" t="str">
        <f>IFERROR(IF(清单台账!$AE100=1,清单台账!$S100,""),"")</f>
        <v/>
      </c>
      <c r="T99" s="37" t="str">
        <f>IFERROR(IF(清单台账!$AE100=1,清单台账!$T100,""),"")</f>
        <v/>
      </c>
      <c r="U99" s="37" t="str">
        <f>IFERROR(IF(清单台账!$AE100=1,清单台账!$U100,""),"")</f>
        <v/>
      </c>
      <c r="V99" s="38" t="str">
        <f>IFERROR(IF(清单台账!$AE100=1,清单台账!$V100,""),"")</f>
        <v/>
      </c>
      <c r="W99" s="40" t="str">
        <f>IFERROR(IF(清单台账!$AE100=1,清单台账!$W100,""),"")</f>
        <v/>
      </c>
      <c r="X99" s="46" t="str">
        <f>IF($F99&lt;&gt;"",IFERROR(MAX($X$5:$X98),0)+1,"")</f>
        <v/>
      </c>
    </row>
    <row r="100" spans="1:24">
      <c r="A100" s="36" t="str">
        <f>IFERROR(IF(清单台账!$AE101=1,清单台账!$A101,""),"")</f>
        <v/>
      </c>
      <c r="B100" s="37" t="str">
        <f>IFERROR(IF(清单台账!$AE101=1,清单台账!$AA101,""),"")</f>
        <v/>
      </c>
      <c r="C100" s="38" t="str">
        <f>IFERROR(IF(清单台账!$AE101=1,清单台账!$AB101,""),"")</f>
        <v/>
      </c>
      <c r="D100" s="37" t="str">
        <f>IFERROR(IF(清单台账!$AE101=1,清单台账!$AC101,""),"")</f>
        <v/>
      </c>
      <c r="E100" s="37" t="str">
        <f>IFERROR(IF(清单台账!$AE101=1,清单台账!$AD101,""),"")</f>
        <v/>
      </c>
      <c r="F100" s="37" t="str">
        <f>IFERROR(IF(清单台账!$AE101=1,清单台账!$F101,""),"")</f>
        <v/>
      </c>
      <c r="G100" s="37" t="str">
        <f>IFERROR(IF(清单台账!$AE101=1,清单台账!$G101,""),"")</f>
        <v/>
      </c>
      <c r="H100" s="37" t="str">
        <f>IFERROR(IF(清单台账!$AE101=1,清单台账!$H101,""),"")</f>
        <v/>
      </c>
      <c r="I100" s="37" t="str">
        <f>IFERROR(IF(清单台账!$AE101=1,清单台账!$I101,""),"")</f>
        <v/>
      </c>
      <c r="J100" s="37" t="str">
        <f>IFERROR(IF(清单台账!$AE101=1,清单台账!$J101,""),"")</f>
        <v/>
      </c>
      <c r="K100" s="37" t="str">
        <f>IFERROR(IF(清单台账!$AE101=1,清单台账!$K101,""),"")</f>
        <v/>
      </c>
      <c r="L100" s="37" t="str">
        <f>IFERROR(IF(清单台账!$AE101=1,清单台账!$L101,""),"")</f>
        <v/>
      </c>
      <c r="M100" s="37" t="str">
        <f>IFERROR(IF(清单台账!$AE101=1,清单台账!$M101,""),"")</f>
        <v/>
      </c>
      <c r="N100" s="37" t="str">
        <f>IFERROR(IF(清单台账!$AE101=1,清单台账!$N101,""),"")</f>
        <v/>
      </c>
      <c r="O100" s="37" t="str">
        <f>IFERROR(IF(清单台账!$AE101=1,清单台账!$O101,""),"")</f>
        <v/>
      </c>
      <c r="P100" s="39" t="str">
        <f>IFERROR(IF(清单台账!$AE101=1,清单台账!$P101,""),"")</f>
        <v/>
      </c>
      <c r="Q100" s="39" t="str">
        <f>IFERROR(IF(清单台账!$AE101=1,清单台账!$Q101,""),"")</f>
        <v/>
      </c>
      <c r="R100" s="39" t="str">
        <f>IFERROR(IF(清单台账!$AE101=1,清单台账!$R101,""),"")</f>
        <v/>
      </c>
      <c r="S100" s="37" t="str">
        <f>IFERROR(IF(清单台账!$AE101=1,清单台账!$S101,""),"")</f>
        <v/>
      </c>
      <c r="T100" s="37" t="str">
        <f>IFERROR(IF(清单台账!$AE101=1,清单台账!$T101,""),"")</f>
        <v/>
      </c>
      <c r="U100" s="37" t="str">
        <f>IFERROR(IF(清单台账!$AE101=1,清单台账!$U101,""),"")</f>
        <v/>
      </c>
      <c r="V100" s="38" t="str">
        <f>IFERROR(IF(清单台账!$AE101=1,清单台账!$V101,""),"")</f>
        <v/>
      </c>
      <c r="W100" s="40" t="str">
        <f>IFERROR(IF(清单台账!$AE101=1,清单台账!$W101,""),"")</f>
        <v/>
      </c>
      <c r="X100" s="46" t="str">
        <f>IF($F100&lt;&gt;"",IFERROR(MAX($X$5:$X99),0)+1,"")</f>
        <v/>
      </c>
    </row>
    <row r="101" spans="1:24">
      <c r="A101" s="36" t="str">
        <f>IFERROR(IF(清单台账!$AE102=1,清单台账!$A102,""),"")</f>
        <v/>
      </c>
      <c r="B101" s="37" t="str">
        <f>IFERROR(IF(清单台账!$AE102=1,清单台账!$AA102,""),"")</f>
        <v/>
      </c>
      <c r="C101" s="38" t="str">
        <f>IFERROR(IF(清单台账!$AE102=1,清单台账!$AB102,""),"")</f>
        <v/>
      </c>
      <c r="D101" s="37" t="str">
        <f>IFERROR(IF(清单台账!$AE102=1,清单台账!$AC102,""),"")</f>
        <v/>
      </c>
      <c r="E101" s="37" t="str">
        <f>IFERROR(IF(清单台账!$AE102=1,清单台账!$AD102,""),"")</f>
        <v/>
      </c>
      <c r="F101" s="37" t="str">
        <f>IFERROR(IF(清单台账!$AE102=1,清单台账!$F102,""),"")</f>
        <v/>
      </c>
      <c r="G101" s="37" t="str">
        <f>IFERROR(IF(清单台账!$AE102=1,清单台账!$G102,""),"")</f>
        <v/>
      </c>
      <c r="H101" s="37" t="str">
        <f>IFERROR(IF(清单台账!$AE102=1,清单台账!$H102,""),"")</f>
        <v/>
      </c>
      <c r="I101" s="37" t="str">
        <f>IFERROR(IF(清单台账!$AE102=1,清单台账!$I102,""),"")</f>
        <v/>
      </c>
      <c r="J101" s="37" t="str">
        <f>IFERROR(IF(清单台账!$AE102=1,清单台账!$J102,""),"")</f>
        <v/>
      </c>
      <c r="K101" s="37" t="str">
        <f>IFERROR(IF(清单台账!$AE102=1,清单台账!$K102,""),"")</f>
        <v/>
      </c>
      <c r="L101" s="37" t="str">
        <f>IFERROR(IF(清单台账!$AE102=1,清单台账!$L102,""),"")</f>
        <v/>
      </c>
      <c r="M101" s="37" t="str">
        <f>IFERROR(IF(清单台账!$AE102=1,清单台账!$M102,""),"")</f>
        <v/>
      </c>
      <c r="N101" s="37" t="str">
        <f>IFERROR(IF(清单台账!$AE102=1,清单台账!$N102,""),"")</f>
        <v/>
      </c>
      <c r="O101" s="37" t="str">
        <f>IFERROR(IF(清单台账!$AE102=1,清单台账!$O102,""),"")</f>
        <v/>
      </c>
      <c r="P101" s="39" t="str">
        <f>IFERROR(IF(清单台账!$AE102=1,清单台账!$P102,""),"")</f>
        <v/>
      </c>
      <c r="Q101" s="39" t="str">
        <f>IFERROR(IF(清单台账!$AE102=1,清单台账!$Q102,""),"")</f>
        <v/>
      </c>
      <c r="R101" s="39" t="str">
        <f>IFERROR(IF(清单台账!$AE102=1,清单台账!$R102,""),"")</f>
        <v/>
      </c>
      <c r="S101" s="37" t="str">
        <f>IFERROR(IF(清单台账!$AE102=1,清单台账!$S102,""),"")</f>
        <v/>
      </c>
      <c r="T101" s="37" t="str">
        <f>IFERROR(IF(清单台账!$AE102=1,清单台账!$T102,""),"")</f>
        <v/>
      </c>
      <c r="U101" s="37" t="str">
        <f>IFERROR(IF(清单台账!$AE102=1,清单台账!$U102,""),"")</f>
        <v/>
      </c>
      <c r="V101" s="38" t="str">
        <f>IFERROR(IF(清单台账!$AE102=1,清单台账!$V102,""),"")</f>
        <v/>
      </c>
      <c r="W101" s="40" t="str">
        <f>IFERROR(IF(清单台账!$AE102=1,清单台账!$W102,""),"")</f>
        <v/>
      </c>
      <c r="X101" s="46" t="str">
        <f>IF($F101&lt;&gt;"",IFERROR(MAX($X$5:$X100),0)+1,"")</f>
        <v/>
      </c>
    </row>
    <row r="102" spans="1:24">
      <c r="A102" s="36" t="str">
        <f>IFERROR(IF(清单台账!$AE103=1,清单台账!$A103,""),"")</f>
        <v/>
      </c>
      <c r="B102" s="37" t="str">
        <f>IFERROR(IF(清单台账!$AE103=1,清单台账!$AA103,""),"")</f>
        <v/>
      </c>
      <c r="C102" s="38" t="str">
        <f>IFERROR(IF(清单台账!$AE103=1,清单台账!$AB103,""),"")</f>
        <v/>
      </c>
      <c r="D102" s="37" t="str">
        <f>IFERROR(IF(清单台账!$AE103=1,清单台账!$AC103,""),"")</f>
        <v/>
      </c>
      <c r="E102" s="37" t="str">
        <f>IFERROR(IF(清单台账!$AE103=1,清单台账!$AD103,""),"")</f>
        <v/>
      </c>
      <c r="F102" s="37" t="str">
        <f>IFERROR(IF(清单台账!$AE103=1,清单台账!$F103,""),"")</f>
        <v/>
      </c>
      <c r="G102" s="37" t="str">
        <f>IFERROR(IF(清单台账!$AE103=1,清单台账!$G103,""),"")</f>
        <v/>
      </c>
      <c r="H102" s="37" t="str">
        <f>IFERROR(IF(清单台账!$AE103=1,清单台账!$H103,""),"")</f>
        <v/>
      </c>
      <c r="I102" s="37" t="str">
        <f>IFERROR(IF(清单台账!$AE103=1,清单台账!$I103,""),"")</f>
        <v/>
      </c>
      <c r="J102" s="37" t="str">
        <f>IFERROR(IF(清单台账!$AE103=1,清单台账!$J103,""),"")</f>
        <v/>
      </c>
      <c r="K102" s="37" t="str">
        <f>IFERROR(IF(清单台账!$AE103=1,清单台账!$K103,""),"")</f>
        <v/>
      </c>
      <c r="L102" s="37" t="str">
        <f>IFERROR(IF(清单台账!$AE103=1,清单台账!$L103,""),"")</f>
        <v/>
      </c>
      <c r="M102" s="37" t="str">
        <f>IFERROR(IF(清单台账!$AE103=1,清单台账!$M103,""),"")</f>
        <v/>
      </c>
      <c r="N102" s="37" t="str">
        <f>IFERROR(IF(清单台账!$AE103=1,清单台账!$N103,""),"")</f>
        <v/>
      </c>
      <c r="O102" s="37" t="str">
        <f>IFERROR(IF(清单台账!$AE103=1,清单台账!$O103,""),"")</f>
        <v/>
      </c>
      <c r="P102" s="39" t="str">
        <f>IFERROR(IF(清单台账!$AE103=1,清单台账!$P103,""),"")</f>
        <v/>
      </c>
      <c r="Q102" s="39" t="str">
        <f>IFERROR(IF(清单台账!$AE103=1,清单台账!$Q103,""),"")</f>
        <v/>
      </c>
      <c r="R102" s="39" t="str">
        <f>IFERROR(IF(清单台账!$AE103=1,清单台账!$R103,""),"")</f>
        <v/>
      </c>
      <c r="S102" s="37" t="str">
        <f>IFERROR(IF(清单台账!$AE103=1,清单台账!$S103,""),"")</f>
        <v/>
      </c>
      <c r="T102" s="37" t="str">
        <f>IFERROR(IF(清单台账!$AE103=1,清单台账!$T103,""),"")</f>
        <v/>
      </c>
      <c r="U102" s="37" t="str">
        <f>IFERROR(IF(清单台账!$AE103=1,清单台账!$U103,""),"")</f>
        <v/>
      </c>
      <c r="V102" s="38" t="str">
        <f>IFERROR(IF(清单台账!$AE103=1,清单台账!$V103,""),"")</f>
        <v/>
      </c>
      <c r="W102" s="40" t="str">
        <f>IFERROR(IF(清单台账!$AE103=1,清单台账!$W103,""),"")</f>
        <v/>
      </c>
      <c r="X102" s="46" t="str">
        <f>IF($F102&lt;&gt;"",IFERROR(MAX($X$5:$X101),0)+1,"")</f>
        <v/>
      </c>
    </row>
    <row r="103" spans="1:24">
      <c r="A103" s="36" t="str">
        <f>IFERROR(IF(清单台账!$AE104=1,清单台账!$A104,""),"")</f>
        <v/>
      </c>
      <c r="B103" s="37" t="str">
        <f>IFERROR(IF(清单台账!$AE104=1,清单台账!$AA104,""),"")</f>
        <v/>
      </c>
      <c r="C103" s="38" t="str">
        <f>IFERROR(IF(清单台账!$AE104=1,清单台账!$AB104,""),"")</f>
        <v/>
      </c>
      <c r="D103" s="37" t="str">
        <f>IFERROR(IF(清单台账!$AE104=1,清单台账!$AC104,""),"")</f>
        <v/>
      </c>
      <c r="E103" s="37" t="str">
        <f>IFERROR(IF(清单台账!$AE104=1,清单台账!$AD104,""),"")</f>
        <v/>
      </c>
      <c r="F103" s="37" t="str">
        <f>IFERROR(IF(清单台账!$AE104=1,清单台账!$F104,""),"")</f>
        <v/>
      </c>
      <c r="G103" s="37" t="str">
        <f>IFERROR(IF(清单台账!$AE104=1,清单台账!$G104,""),"")</f>
        <v/>
      </c>
      <c r="H103" s="37" t="str">
        <f>IFERROR(IF(清单台账!$AE104=1,清单台账!$H104,""),"")</f>
        <v/>
      </c>
      <c r="I103" s="37" t="str">
        <f>IFERROR(IF(清单台账!$AE104=1,清单台账!$I104,""),"")</f>
        <v/>
      </c>
      <c r="J103" s="37" t="str">
        <f>IFERROR(IF(清单台账!$AE104=1,清单台账!$J104,""),"")</f>
        <v/>
      </c>
      <c r="K103" s="37" t="str">
        <f>IFERROR(IF(清单台账!$AE104=1,清单台账!$K104,""),"")</f>
        <v/>
      </c>
      <c r="L103" s="37" t="str">
        <f>IFERROR(IF(清单台账!$AE104=1,清单台账!$L104,""),"")</f>
        <v/>
      </c>
      <c r="M103" s="37" t="str">
        <f>IFERROR(IF(清单台账!$AE104=1,清单台账!$M104,""),"")</f>
        <v/>
      </c>
      <c r="N103" s="37" t="str">
        <f>IFERROR(IF(清单台账!$AE104=1,清单台账!$N104,""),"")</f>
        <v/>
      </c>
      <c r="O103" s="37" t="str">
        <f>IFERROR(IF(清单台账!$AE104=1,清单台账!$O104,""),"")</f>
        <v/>
      </c>
      <c r="P103" s="39" t="str">
        <f>IFERROR(IF(清单台账!$AE104=1,清单台账!$P104,""),"")</f>
        <v/>
      </c>
      <c r="Q103" s="39" t="str">
        <f>IFERROR(IF(清单台账!$AE104=1,清单台账!$Q104,""),"")</f>
        <v/>
      </c>
      <c r="R103" s="39" t="str">
        <f>IFERROR(IF(清单台账!$AE104=1,清单台账!$R104,""),"")</f>
        <v/>
      </c>
      <c r="S103" s="37" t="str">
        <f>IFERROR(IF(清单台账!$AE104=1,清单台账!$S104,""),"")</f>
        <v/>
      </c>
      <c r="T103" s="37" t="str">
        <f>IFERROR(IF(清单台账!$AE104=1,清单台账!$T104,""),"")</f>
        <v/>
      </c>
      <c r="U103" s="37" t="str">
        <f>IFERROR(IF(清单台账!$AE104=1,清单台账!$U104,""),"")</f>
        <v/>
      </c>
      <c r="V103" s="38" t="str">
        <f>IFERROR(IF(清单台账!$AE104=1,清单台账!$V104,""),"")</f>
        <v/>
      </c>
      <c r="W103" s="40" t="str">
        <f>IFERROR(IF(清单台账!$AE104=1,清单台账!$W104,""),"")</f>
        <v/>
      </c>
      <c r="X103" s="46" t="str">
        <f>IF($F103&lt;&gt;"",IFERROR(MAX($X$5:$X102),0)+1,"")</f>
        <v/>
      </c>
    </row>
    <row r="104" spans="1:24">
      <c r="A104" s="36" t="str">
        <f>IFERROR(IF(清单台账!$AE105=1,清单台账!$A105,""),"")</f>
        <v/>
      </c>
      <c r="B104" s="37" t="str">
        <f>IFERROR(IF(清单台账!$AE105=1,清单台账!$AA105,""),"")</f>
        <v/>
      </c>
      <c r="C104" s="38" t="str">
        <f>IFERROR(IF(清单台账!$AE105=1,清单台账!$AB105,""),"")</f>
        <v/>
      </c>
      <c r="D104" s="37" t="str">
        <f>IFERROR(IF(清单台账!$AE105=1,清单台账!$AC105,""),"")</f>
        <v/>
      </c>
      <c r="E104" s="37" t="str">
        <f>IFERROR(IF(清单台账!$AE105=1,清单台账!$AD105,""),"")</f>
        <v/>
      </c>
      <c r="F104" s="37" t="str">
        <f>IFERROR(IF(清单台账!$AE105=1,清单台账!$F105,""),"")</f>
        <v/>
      </c>
      <c r="G104" s="37" t="str">
        <f>IFERROR(IF(清单台账!$AE105=1,清单台账!$G105,""),"")</f>
        <v/>
      </c>
      <c r="H104" s="37" t="str">
        <f>IFERROR(IF(清单台账!$AE105=1,清单台账!$H105,""),"")</f>
        <v/>
      </c>
      <c r="I104" s="37" t="str">
        <f>IFERROR(IF(清单台账!$AE105=1,清单台账!$I105,""),"")</f>
        <v/>
      </c>
      <c r="J104" s="37" t="str">
        <f>IFERROR(IF(清单台账!$AE105=1,清单台账!$J105,""),"")</f>
        <v/>
      </c>
      <c r="K104" s="37" t="str">
        <f>IFERROR(IF(清单台账!$AE105=1,清单台账!$K105,""),"")</f>
        <v/>
      </c>
      <c r="L104" s="37" t="str">
        <f>IFERROR(IF(清单台账!$AE105=1,清单台账!$L105,""),"")</f>
        <v/>
      </c>
      <c r="M104" s="37" t="str">
        <f>IFERROR(IF(清单台账!$AE105=1,清单台账!$M105,""),"")</f>
        <v/>
      </c>
      <c r="N104" s="37" t="str">
        <f>IFERROR(IF(清单台账!$AE105=1,清单台账!$N105,""),"")</f>
        <v/>
      </c>
      <c r="O104" s="37" t="str">
        <f>IFERROR(IF(清单台账!$AE105=1,清单台账!$O105,""),"")</f>
        <v/>
      </c>
      <c r="P104" s="39" t="str">
        <f>IFERROR(IF(清单台账!$AE105=1,清单台账!$P105,""),"")</f>
        <v/>
      </c>
      <c r="Q104" s="39" t="str">
        <f>IFERROR(IF(清单台账!$AE105=1,清单台账!$Q105,""),"")</f>
        <v/>
      </c>
      <c r="R104" s="39" t="str">
        <f>IFERROR(IF(清单台账!$AE105=1,清单台账!$R105,""),"")</f>
        <v/>
      </c>
      <c r="S104" s="37" t="str">
        <f>IFERROR(IF(清单台账!$AE105=1,清单台账!$S105,""),"")</f>
        <v/>
      </c>
      <c r="T104" s="37" t="str">
        <f>IFERROR(IF(清单台账!$AE105=1,清单台账!$T105,""),"")</f>
        <v/>
      </c>
      <c r="U104" s="37" t="str">
        <f>IFERROR(IF(清单台账!$AE105=1,清单台账!$U105,""),"")</f>
        <v/>
      </c>
      <c r="V104" s="38" t="str">
        <f>IFERROR(IF(清单台账!$AE105=1,清单台账!$V105,""),"")</f>
        <v/>
      </c>
      <c r="W104" s="40" t="str">
        <f>IFERROR(IF(清单台账!$AE105=1,清单台账!$W105,""),"")</f>
        <v/>
      </c>
      <c r="X104" s="46" t="str">
        <f>IF($F104&lt;&gt;"",IFERROR(MAX($X$5:$X103),0)+1,"")</f>
        <v/>
      </c>
    </row>
    <row r="105" spans="1:24">
      <c r="A105" s="36" t="str">
        <f>IFERROR(IF(清单台账!$AE106=1,清单台账!$A106,""),"")</f>
        <v/>
      </c>
      <c r="B105" s="37" t="str">
        <f>IFERROR(IF(清单台账!$AE106=1,清单台账!$AA106,""),"")</f>
        <v/>
      </c>
      <c r="C105" s="38" t="str">
        <f>IFERROR(IF(清单台账!$AE106=1,清单台账!$AB106,""),"")</f>
        <v/>
      </c>
      <c r="D105" s="37" t="str">
        <f>IFERROR(IF(清单台账!$AE106=1,清单台账!$AC106,""),"")</f>
        <v/>
      </c>
      <c r="E105" s="37" t="str">
        <f>IFERROR(IF(清单台账!$AE106=1,清单台账!$AD106,""),"")</f>
        <v/>
      </c>
      <c r="F105" s="37" t="str">
        <f>IFERROR(IF(清单台账!$AE106=1,清单台账!$F106,""),"")</f>
        <v/>
      </c>
      <c r="G105" s="37" t="str">
        <f>IFERROR(IF(清单台账!$AE106=1,清单台账!$G106,""),"")</f>
        <v/>
      </c>
      <c r="H105" s="37" t="str">
        <f>IFERROR(IF(清单台账!$AE106=1,清单台账!$H106,""),"")</f>
        <v/>
      </c>
      <c r="I105" s="37" t="str">
        <f>IFERROR(IF(清单台账!$AE106=1,清单台账!$I106,""),"")</f>
        <v/>
      </c>
      <c r="J105" s="37" t="str">
        <f>IFERROR(IF(清单台账!$AE106=1,清单台账!$J106,""),"")</f>
        <v/>
      </c>
      <c r="K105" s="37" t="str">
        <f>IFERROR(IF(清单台账!$AE106=1,清单台账!$K106,""),"")</f>
        <v/>
      </c>
      <c r="L105" s="37" t="str">
        <f>IFERROR(IF(清单台账!$AE106=1,清单台账!$L106,""),"")</f>
        <v/>
      </c>
      <c r="M105" s="37" t="str">
        <f>IFERROR(IF(清单台账!$AE106=1,清单台账!$M106,""),"")</f>
        <v/>
      </c>
      <c r="N105" s="37" t="str">
        <f>IFERROR(IF(清单台账!$AE106=1,清单台账!$N106,""),"")</f>
        <v/>
      </c>
      <c r="O105" s="37" t="str">
        <f>IFERROR(IF(清单台账!$AE106=1,清单台账!$O106,""),"")</f>
        <v/>
      </c>
      <c r="P105" s="39" t="str">
        <f>IFERROR(IF(清单台账!$AE106=1,清单台账!$P106,""),"")</f>
        <v/>
      </c>
      <c r="Q105" s="39" t="str">
        <f>IFERROR(IF(清单台账!$AE106=1,清单台账!$Q106,""),"")</f>
        <v/>
      </c>
      <c r="R105" s="39" t="str">
        <f>IFERROR(IF(清单台账!$AE106=1,清单台账!$R106,""),"")</f>
        <v/>
      </c>
      <c r="S105" s="37" t="str">
        <f>IFERROR(IF(清单台账!$AE106=1,清单台账!$S106,""),"")</f>
        <v/>
      </c>
      <c r="T105" s="37" t="str">
        <f>IFERROR(IF(清单台账!$AE106=1,清单台账!$T106,""),"")</f>
        <v/>
      </c>
      <c r="U105" s="37" t="str">
        <f>IFERROR(IF(清单台账!$AE106=1,清单台账!$U106,""),"")</f>
        <v/>
      </c>
      <c r="V105" s="38" t="str">
        <f>IFERROR(IF(清单台账!$AE106=1,清单台账!$V106,""),"")</f>
        <v/>
      </c>
      <c r="W105" s="40" t="str">
        <f>IFERROR(IF(清单台账!$AE106=1,清单台账!$W106,""),"")</f>
        <v/>
      </c>
      <c r="X105" s="46" t="str">
        <f>IF($F105&lt;&gt;"",IFERROR(MAX($X$5:$X104),0)+1,"")</f>
        <v/>
      </c>
    </row>
    <row r="106" spans="1:24">
      <c r="A106" s="36" t="str">
        <f>IFERROR(IF(清单台账!$AE107=1,清单台账!$A107,""),"")</f>
        <v/>
      </c>
      <c r="B106" s="37" t="str">
        <f>IFERROR(IF(清单台账!$AE107=1,清单台账!$AA107,""),"")</f>
        <v/>
      </c>
      <c r="C106" s="38" t="str">
        <f>IFERROR(IF(清单台账!$AE107=1,清单台账!$AB107,""),"")</f>
        <v/>
      </c>
      <c r="D106" s="37" t="str">
        <f>IFERROR(IF(清单台账!$AE107=1,清单台账!$AC107,""),"")</f>
        <v/>
      </c>
      <c r="E106" s="37" t="str">
        <f>IFERROR(IF(清单台账!$AE107=1,清单台账!$AD107,""),"")</f>
        <v/>
      </c>
      <c r="F106" s="37" t="str">
        <f>IFERROR(IF(清单台账!$AE107=1,清单台账!$F107,""),"")</f>
        <v/>
      </c>
      <c r="G106" s="37" t="str">
        <f>IFERROR(IF(清单台账!$AE107=1,清单台账!$G107,""),"")</f>
        <v/>
      </c>
      <c r="H106" s="37" t="str">
        <f>IFERROR(IF(清单台账!$AE107=1,清单台账!$H107,""),"")</f>
        <v/>
      </c>
      <c r="I106" s="37" t="str">
        <f>IFERROR(IF(清单台账!$AE107=1,清单台账!$I107,""),"")</f>
        <v/>
      </c>
      <c r="J106" s="37" t="str">
        <f>IFERROR(IF(清单台账!$AE107=1,清单台账!$J107,""),"")</f>
        <v/>
      </c>
      <c r="K106" s="37" t="str">
        <f>IFERROR(IF(清单台账!$AE107=1,清单台账!$K107,""),"")</f>
        <v/>
      </c>
      <c r="L106" s="37" t="str">
        <f>IFERROR(IF(清单台账!$AE107=1,清单台账!$L107,""),"")</f>
        <v/>
      </c>
      <c r="M106" s="37" t="str">
        <f>IFERROR(IF(清单台账!$AE107=1,清单台账!$M107,""),"")</f>
        <v/>
      </c>
      <c r="N106" s="37" t="str">
        <f>IFERROR(IF(清单台账!$AE107=1,清单台账!$N107,""),"")</f>
        <v/>
      </c>
      <c r="O106" s="37" t="str">
        <f>IFERROR(IF(清单台账!$AE107=1,清单台账!$O107,""),"")</f>
        <v/>
      </c>
      <c r="P106" s="39" t="str">
        <f>IFERROR(IF(清单台账!$AE107=1,清单台账!$P107,""),"")</f>
        <v/>
      </c>
      <c r="Q106" s="39" t="str">
        <f>IFERROR(IF(清单台账!$AE107=1,清单台账!$Q107,""),"")</f>
        <v/>
      </c>
      <c r="R106" s="39" t="str">
        <f>IFERROR(IF(清单台账!$AE107=1,清单台账!$R107,""),"")</f>
        <v/>
      </c>
      <c r="S106" s="37" t="str">
        <f>IFERROR(IF(清单台账!$AE107=1,清单台账!$S107,""),"")</f>
        <v/>
      </c>
      <c r="T106" s="37" t="str">
        <f>IFERROR(IF(清单台账!$AE107=1,清单台账!$T107,""),"")</f>
        <v/>
      </c>
      <c r="U106" s="37" t="str">
        <f>IFERROR(IF(清单台账!$AE107=1,清单台账!$U107,""),"")</f>
        <v/>
      </c>
      <c r="V106" s="38" t="str">
        <f>IFERROR(IF(清单台账!$AE107=1,清单台账!$V107,""),"")</f>
        <v/>
      </c>
      <c r="W106" s="40" t="str">
        <f>IFERROR(IF(清单台账!$AE107=1,清单台账!$W107,""),"")</f>
        <v/>
      </c>
      <c r="X106" s="46" t="str">
        <f>IF($F106&lt;&gt;"",IFERROR(MAX($X$5:$X105),0)+1,"")</f>
        <v/>
      </c>
    </row>
    <row r="107" spans="1:24">
      <c r="A107" s="36" t="str">
        <f>IFERROR(IF(清单台账!$AE108=1,清单台账!$A108,""),"")</f>
        <v/>
      </c>
      <c r="B107" s="37" t="str">
        <f>IFERROR(IF(清单台账!$AE108=1,清单台账!$AA108,""),"")</f>
        <v/>
      </c>
      <c r="C107" s="38" t="str">
        <f>IFERROR(IF(清单台账!$AE108=1,清单台账!$AB108,""),"")</f>
        <v/>
      </c>
      <c r="D107" s="37" t="str">
        <f>IFERROR(IF(清单台账!$AE108=1,清单台账!$AC108,""),"")</f>
        <v/>
      </c>
      <c r="E107" s="37" t="str">
        <f>IFERROR(IF(清单台账!$AE108=1,清单台账!$AD108,""),"")</f>
        <v/>
      </c>
      <c r="F107" s="37" t="str">
        <f>IFERROR(IF(清单台账!$AE108=1,清单台账!$F108,""),"")</f>
        <v/>
      </c>
      <c r="G107" s="37" t="str">
        <f>IFERROR(IF(清单台账!$AE108=1,清单台账!$G108,""),"")</f>
        <v/>
      </c>
      <c r="H107" s="37" t="str">
        <f>IFERROR(IF(清单台账!$AE108=1,清单台账!$H108,""),"")</f>
        <v/>
      </c>
      <c r="I107" s="37" t="str">
        <f>IFERROR(IF(清单台账!$AE108=1,清单台账!$I108,""),"")</f>
        <v/>
      </c>
      <c r="J107" s="37" t="str">
        <f>IFERROR(IF(清单台账!$AE108=1,清单台账!$J108,""),"")</f>
        <v/>
      </c>
      <c r="K107" s="37" t="str">
        <f>IFERROR(IF(清单台账!$AE108=1,清单台账!$K108,""),"")</f>
        <v/>
      </c>
      <c r="L107" s="37" t="str">
        <f>IFERROR(IF(清单台账!$AE108=1,清单台账!$L108,""),"")</f>
        <v/>
      </c>
      <c r="M107" s="37" t="str">
        <f>IFERROR(IF(清单台账!$AE108=1,清单台账!$M108,""),"")</f>
        <v/>
      </c>
      <c r="N107" s="37" t="str">
        <f>IFERROR(IF(清单台账!$AE108=1,清单台账!$N108,""),"")</f>
        <v/>
      </c>
      <c r="O107" s="37" t="str">
        <f>IFERROR(IF(清单台账!$AE108=1,清单台账!$O108,""),"")</f>
        <v/>
      </c>
      <c r="P107" s="39" t="str">
        <f>IFERROR(IF(清单台账!$AE108=1,清单台账!$P108,""),"")</f>
        <v/>
      </c>
      <c r="Q107" s="39" t="str">
        <f>IFERROR(IF(清单台账!$AE108=1,清单台账!$Q108,""),"")</f>
        <v/>
      </c>
      <c r="R107" s="39" t="str">
        <f>IFERROR(IF(清单台账!$AE108=1,清单台账!$R108,""),"")</f>
        <v/>
      </c>
      <c r="S107" s="37" t="str">
        <f>IFERROR(IF(清单台账!$AE108=1,清单台账!$S108,""),"")</f>
        <v/>
      </c>
      <c r="T107" s="37" t="str">
        <f>IFERROR(IF(清单台账!$AE108=1,清单台账!$T108,""),"")</f>
        <v/>
      </c>
      <c r="U107" s="37" t="str">
        <f>IFERROR(IF(清单台账!$AE108=1,清单台账!$U108,""),"")</f>
        <v/>
      </c>
      <c r="V107" s="38" t="str">
        <f>IFERROR(IF(清单台账!$AE108=1,清单台账!$V108,""),"")</f>
        <v/>
      </c>
      <c r="W107" s="40" t="str">
        <f>IFERROR(IF(清单台账!$AE108=1,清单台账!$W108,""),"")</f>
        <v/>
      </c>
      <c r="X107" s="46" t="str">
        <f>IF($F107&lt;&gt;"",IFERROR(MAX($X$5:$X106),0)+1,"")</f>
        <v/>
      </c>
    </row>
    <row r="108" spans="1:24">
      <c r="A108" s="36" t="str">
        <f>IFERROR(IF(清单台账!$AE109=1,清单台账!$A109,""),"")</f>
        <v/>
      </c>
      <c r="B108" s="37" t="str">
        <f>IFERROR(IF(清单台账!$AE109=1,清单台账!$AA109,""),"")</f>
        <v/>
      </c>
      <c r="C108" s="38" t="str">
        <f>IFERROR(IF(清单台账!$AE109=1,清单台账!$AB109,""),"")</f>
        <v/>
      </c>
      <c r="D108" s="37" t="str">
        <f>IFERROR(IF(清单台账!$AE109=1,清单台账!$AC109,""),"")</f>
        <v/>
      </c>
      <c r="E108" s="37" t="str">
        <f>IFERROR(IF(清单台账!$AE109=1,清单台账!$AD109,""),"")</f>
        <v/>
      </c>
      <c r="F108" s="37" t="str">
        <f>IFERROR(IF(清单台账!$AE109=1,清单台账!$F109,""),"")</f>
        <v/>
      </c>
      <c r="G108" s="37" t="str">
        <f>IFERROR(IF(清单台账!$AE109=1,清单台账!$G109,""),"")</f>
        <v/>
      </c>
      <c r="H108" s="37" t="str">
        <f>IFERROR(IF(清单台账!$AE109=1,清单台账!$H109,""),"")</f>
        <v/>
      </c>
      <c r="I108" s="37" t="str">
        <f>IFERROR(IF(清单台账!$AE109=1,清单台账!$I109,""),"")</f>
        <v/>
      </c>
      <c r="J108" s="37" t="str">
        <f>IFERROR(IF(清单台账!$AE109=1,清单台账!$J109,""),"")</f>
        <v/>
      </c>
      <c r="K108" s="37" t="str">
        <f>IFERROR(IF(清单台账!$AE109=1,清单台账!$K109,""),"")</f>
        <v/>
      </c>
      <c r="L108" s="37" t="str">
        <f>IFERROR(IF(清单台账!$AE109=1,清单台账!$L109,""),"")</f>
        <v/>
      </c>
      <c r="M108" s="37" t="str">
        <f>IFERROR(IF(清单台账!$AE109=1,清单台账!$M109,""),"")</f>
        <v/>
      </c>
      <c r="N108" s="37" t="str">
        <f>IFERROR(IF(清单台账!$AE109=1,清单台账!$N109,""),"")</f>
        <v/>
      </c>
      <c r="O108" s="37" t="str">
        <f>IFERROR(IF(清单台账!$AE109=1,清单台账!$O109,""),"")</f>
        <v/>
      </c>
      <c r="P108" s="39" t="str">
        <f>IFERROR(IF(清单台账!$AE109=1,清单台账!$P109,""),"")</f>
        <v/>
      </c>
      <c r="Q108" s="39" t="str">
        <f>IFERROR(IF(清单台账!$AE109=1,清单台账!$Q109,""),"")</f>
        <v/>
      </c>
      <c r="R108" s="39" t="str">
        <f>IFERROR(IF(清单台账!$AE109=1,清单台账!$R109,""),"")</f>
        <v/>
      </c>
      <c r="S108" s="37" t="str">
        <f>IFERROR(IF(清单台账!$AE109=1,清单台账!$S109,""),"")</f>
        <v/>
      </c>
      <c r="T108" s="37" t="str">
        <f>IFERROR(IF(清单台账!$AE109=1,清单台账!$T109,""),"")</f>
        <v/>
      </c>
      <c r="U108" s="37" t="str">
        <f>IFERROR(IF(清单台账!$AE109=1,清单台账!$U109,""),"")</f>
        <v/>
      </c>
      <c r="V108" s="38" t="str">
        <f>IFERROR(IF(清单台账!$AE109=1,清单台账!$V109,""),"")</f>
        <v/>
      </c>
      <c r="W108" s="40" t="str">
        <f>IFERROR(IF(清单台账!$AE109=1,清单台账!$W109,""),"")</f>
        <v/>
      </c>
      <c r="X108" s="46" t="str">
        <f>IF($F108&lt;&gt;"",IFERROR(MAX($X$5:$X107),0)+1,"")</f>
        <v/>
      </c>
    </row>
    <row r="109" spans="1:24">
      <c r="A109" s="36" t="str">
        <f>IFERROR(IF(清单台账!$AE110=1,清单台账!$A110,""),"")</f>
        <v/>
      </c>
      <c r="B109" s="37" t="str">
        <f>IFERROR(IF(清单台账!$AE110=1,清单台账!$AA110,""),"")</f>
        <v/>
      </c>
      <c r="C109" s="38" t="str">
        <f>IFERROR(IF(清单台账!$AE110=1,清单台账!$AB110,""),"")</f>
        <v/>
      </c>
      <c r="D109" s="37" t="str">
        <f>IFERROR(IF(清单台账!$AE110=1,清单台账!$AC110,""),"")</f>
        <v/>
      </c>
      <c r="E109" s="37" t="str">
        <f>IFERROR(IF(清单台账!$AE110=1,清单台账!$AD110,""),"")</f>
        <v/>
      </c>
      <c r="F109" s="37" t="str">
        <f>IFERROR(IF(清单台账!$AE110=1,清单台账!$F110,""),"")</f>
        <v/>
      </c>
      <c r="G109" s="37" t="str">
        <f>IFERROR(IF(清单台账!$AE110=1,清单台账!$G110,""),"")</f>
        <v/>
      </c>
      <c r="H109" s="37" t="str">
        <f>IFERROR(IF(清单台账!$AE110=1,清单台账!$H110,""),"")</f>
        <v/>
      </c>
      <c r="I109" s="37" t="str">
        <f>IFERROR(IF(清单台账!$AE110=1,清单台账!$I110,""),"")</f>
        <v/>
      </c>
      <c r="J109" s="37" t="str">
        <f>IFERROR(IF(清单台账!$AE110=1,清单台账!$J110,""),"")</f>
        <v/>
      </c>
      <c r="K109" s="37" t="str">
        <f>IFERROR(IF(清单台账!$AE110=1,清单台账!$K110,""),"")</f>
        <v/>
      </c>
      <c r="L109" s="37" t="str">
        <f>IFERROR(IF(清单台账!$AE110=1,清单台账!$L110,""),"")</f>
        <v/>
      </c>
      <c r="M109" s="37" t="str">
        <f>IFERROR(IF(清单台账!$AE110=1,清单台账!$M110,""),"")</f>
        <v/>
      </c>
      <c r="N109" s="37" t="str">
        <f>IFERROR(IF(清单台账!$AE110=1,清单台账!$N110,""),"")</f>
        <v/>
      </c>
      <c r="O109" s="37" t="str">
        <f>IFERROR(IF(清单台账!$AE110=1,清单台账!$O110,""),"")</f>
        <v/>
      </c>
      <c r="P109" s="39" t="str">
        <f>IFERROR(IF(清单台账!$AE110=1,清单台账!$P110,""),"")</f>
        <v/>
      </c>
      <c r="Q109" s="39" t="str">
        <f>IFERROR(IF(清单台账!$AE110=1,清单台账!$Q110,""),"")</f>
        <v/>
      </c>
      <c r="R109" s="39" t="str">
        <f>IFERROR(IF(清单台账!$AE110=1,清单台账!$R110,""),"")</f>
        <v/>
      </c>
      <c r="S109" s="37" t="str">
        <f>IFERROR(IF(清单台账!$AE110=1,清单台账!$S110,""),"")</f>
        <v/>
      </c>
      <c r="T109" s="37" t="str">
        <f>IFERROR(IF(清单台账!$AE110=1,清单台账!$T110,""),"")</f>
        <v/>
      </c>
      <c r="U109" s="37" t="str">
        <f>IFERROR(IF(清单台账!$AE110=1,清单台账!$U110,""),"")</f>
        <v/>
      </c>
      <c r="V109" s="38" t="str">
        <f>IFERROR(IF(清单台账!$AE110=1,清单台账!$V110,""),"")</f>
        <v/>
      </c>
      <c r="W109" s="40" t="str">
        <f>IFERROR(IF(清单台账!$AE110=1,清单台账!$W110,""),"")</f>
        <v/>
      </c>
      <c r="X109" s="46" t="str">
        <f>IF($F109&lt;&gt;"",IFERROR(MAX($X$5:$X108),0)+1,"")</f>
        <v/>
      </c>
    </row>
    <row r="110" spans="1:24">
      <c r="A110" s="36" t="str">
        <f>IFERROR(IF(清单台账!$AE111=1,清单台账!$A111,""),"")</f>
        <v/>
      </c>
      <c r="B110" s="37" t="str">
        <f>IFERROR(IF(清单台账!$AE111=1,清单台账!$AA111,""),"")</f>
        <v/>
      </c>
      <c r="C110" s="38" t="str">
        <f>IFERROR(IF(清单台账!$AE111=1,清单台账!$AB111,""),"")</f>
        <v/>
      </c>
      <c r="D110" s="37" t="str">
        <f>IFERROR(IF(清单台账!$AE111=1,清单台账!$AC111,""),"")</f>
        <v/>
      </c>
      <c r="E110" s="37" t="str">
        <f>IFERROR(IF(清单台账!$AE111=1,清单台账!$AD111,""),"")</f>
        <v/>
      </c>
      <c r="F110" s="37" t="str">
        <f>IFERROR(IF(清单台账!$AE111=1,清单台账!$F111,""),"")</f>
        <v/>
      </c>
      <c r="G110" s="37" t="str">
        <f>IFERROR(IF(清单台账!$AE111=1,清单台账!$G111,""),"")</f>
        <v/>
      </c>
      <c r="H110" s="37" t="str">
        <f>IFERROR(IF(清单台账!$AE111=1,清单台账!$H111,""),"")</f>
        <v/>
      </c>
      <c r="I110" s="37" t="str">
        <f>IFERROR(IF(清单台账!$AE111=1,清单台账!$I111,""),"")</f>
        <v/>
      </c>
      <c r="J110" s="37" t="str">
        <f>IFERROR(IF(清单台账!$AE111=1,清单台账!$J111,""),"")</f>
        <v/>
      </c>
      <c r="K110" s="37" t="str">
        <f>IFERROR(IF(清单台账!$AE111=1,清单台账!$K111,""),"")</f>
        <v/>
      </c>
      <c r="L110" s="37" t="str">
        <f>IFERROR(IF(清单台账!$AE111=1,清单台账!$L111,""),"")</f>
        <v/>
      </c>
      <c r="M110" s="37" t="str">
        <f>IFERROR(IF(清单台账!$AE111=1,清单台账!$M111,""),"")</f>
        <v/>
      </c>
      <c r="N110" s="37" t="str">
        <f>IFERROR(IF(清单台账!$AE111=1,清单台账!$N111,""),"")</f>
        <v/>
      </c>
      <c r="O110" s="37" t="str">
        <f>IFERROR(IF(清单台账!$AE111=1,清单台账!$O111,""),"")</f>
        <v/>
      </c>
      <c r="P110" s="39" t="str">
        <f>IFERROR(IF(清单台账!$AE111=1,清单台账!$P111,""),"")</f>
        <v/>
      </c>
      <c r="Q110" s="39" t="str">
        <f>IFERROR(IF(清单台账!$AE111=1,清单台账!$Q111,""),"")</f>
        <v/>
      </c>
      <c r="R110" s="39" t="str">
        <f>IFERROR(IF(清单台账!$AE111=1,清单台账!$R111,""),"")</f>
        <v/>
      </c>
      <c r="S110" s="37" t="str">
        <f>IFERROR(IF(清单台账!$AE111=1,清单台账!$S111,""),"")</f>
        <v/>
      </c>
      <c r="T110" s="37" t="str">
        <f>IFERROR(IF(清单台账!$AE111=1,清单台账!$T111,""),"")</f>
        <v/>
      </c>
      <c r="U110" s="37" t="str">
        <f>IFERROR(IF(清单台账!$AE111=1,清单台账!$U111,""),"")</f>
        <v/>
      </c>
      <c r="V110" s="38" t="str">
        <f>IFERROR(IF(清单台账!$AE111=1,清单台账!$V111,""),"")</f>
        <v/>
      </c>
      <c r="W110" s="40" t="str">
        <f>IFERROR(IF(清单台账!$AE111=1,清单台账!$W111,""),"")</f>
        <v/>
      </c>
      <c r="X110" s="46" t="str">
        <f>IF($F110&lt;&gt;"",IFERROR(MAX($X$5:$X109),0)+1,"")</f>
        <v/>
      </c>
    </row>
    <row r="111" spans="1:24">
      <c r="A111" s="36" t="str">
        <f>IFERROR(IF(清单台账!$AE112=1,清单台账!$A112,""),"")</f>
        <v/>
      </c>
      <c r="B111" s="37" t="str">
        <f>IFERROR(IF(清单台账!$AE112=1,清单台账!$AA112,""),"")</f>
        <v/>
      </c>
      <c r="C111" s="38" t="str">
        <f>IFERROR(IF(清单台账!$AE112=1,清单台账!$AB112,""),"")</f>
        <v/>
      </c>
      <c r="D111" s="37" t="str">
        <f>IFERROR(IF(清单台账!$AE112=1,清单台账!$AC112,""),"")</f>
        <v/>
      </c>
      <c r="E111" s="37" t="str">
        <f>IFERROR(IF(清单台账!$AE112=1,清单台账!$AD112,""),"")</f>
        <v/>
      </c>
      <c r="F111" s="37" t="str">
        <f>IFERROR(IF(清单台账!$AE112=1,清单台账!$F112,""),"")</f>
        <v/>
      </c>
      <c r="G111" s="37" t="str">
        <f>IFERROR(IF(清单台账!$AE112=1,清单台账!$G112,""),"")</f>
        <v/>
      </c>
      <c r="H111" s="37" t="str">
        <f>IFERROR(IF(清单台账!$AE112=1,清单台账!$H112,""),"")</f>
        <v/>
      </c>
      <c r="I111" s="37" t="str">
        <f>IFERROR(IF(清单台账!$AE112=1,清单台账!$I112,""),"")</f>
        <v/>
      </c>
      <c r="J111" s="37" t="str">
        <f>IFERROR(IF(清单台账!$AE112=1,清单台账!$J112,""),"")</f>
        <v/>
      </c>
      <c r="K111" s="37" t="str">
        <f>IFERROR(IF(清单台账!$AE112=1,清单台账!$K112,""),"")</f>
        <v/>
      </c>
      <c r="L111" s="37" t="str">
        <f>IFERROR(IF(清单台账!$AE112=1,清单台账!$L112,""),"")</f>
        <v/>
      </c>
      <c r="M111" s="37" t="str">
        <f>IFERROR(IF(清单台账!$AE112=1,清单台账!$M112,""),"")</f>
        <v/>
      </c>
      <c r="N111" s="37" t="str">
        <f>IFERROR(IF(清单台账!$AE112=1,清单台账!$N112,""),"")</f>
        <v/>
      </c>
      <c r="O111" s="37" t="str">
        <f>IFERROR(IF(清单台账!$AE112=1,清单台账!$O112,""),"")</f>
        <v/>
      </c>
      <c r="P111" s="39" t="str">
        <f>IFERROR(IF(清单台账!$AE112=1,清单台账!$P112,""),"")</f>
        <v/>
      </c>
      <c r="Q111" s="39" t="str">
        <f>IFERROR(IF(清单台账!$AE112=1,清单台账!$Q112,""),"")</f>
        <v/>
      </c>
      <c r="R111" s="39" t="str">
        <f>IFERROR(IF(清单台账!$AE112=1,清单台账!$R112,""),"")</f>
        <v/>
      </c>
      <c r="S111" s="37" t="str">
        <f>IFERROR(IF(清单台账!$AE112=1,清单台账!$S112,""),"")</f>
        <v/>
      </c>
      <c r="T111" s="37" t="str">
        <f>IFERROR(IF(清单台账!$AE112=1,清单台账!$T112,""),"")</f>
        <v/>
      </c>
      <c r="U111" s="37" t="str">
        <f>IFERROR(IF(清单台账!$AE112=1,清单台账!$U112,""),"")</f>
        <v/>
      </c>
      <c r="V111" s="38" t="str">
        <f>IFERROR(IF(清单台账!$AE112=1,清单台账!$V112,""),"")</f>
        <v/>
      </c>
      <c r="W111" s="40" t="str">
        <f>IFERROR(IF(清单台账!$AE112=1,清单台账!$W112,""),"")</f>
        <v/>
      </c>
      <c r="X111" s="46" t="str">
        <f>IF($F111&lt;&gt;"",IFERROR(MAX($X$5:$X110),0)+1,"")</f>
        <v/>
      </c>
    </row>
    <row r="112" spans="1:24">
      <c r="A112" s="36" t="str">
        <f>IFERROR(IF(清单台账!$AE113=1,清单台账!$A113,""),"")</f>
        <v/>
      </c>
      <c r="B112" s="37" t="str">
        <f>IFERROR(IF(清单台账!$AE113=1,清单台账!$AA113,""),"")</f>
        <v/>
      </c>
      <c r="C112" s="38" t="str">
        <f>IFERROR(IF(清单台账!$AE113=1,清单台账!$AB113,""),"")</f>
        <v/>
      </c>
      <c r="D112" s="37" t="str">
        <f>IFERROR(IF(清单台账!$AE113=1,清单台账!$AC113,""),"")</f>
        <v/>
      </c>
      <c r="E112" s="37" t="str">
        <f>IFERROR(IF(清单台账!$AE113=1,清单台账!$AD113,""),"")</f>
        <v/>
      </c>
      <c r="F112" s="37" t="str">
        <f>IFERROR(IF(清单台账!$AE113=1,清单台账!$F113,""),"")</f>
        <v/>
      </c>
      <c r="G112" s="37" t="str">
        <f>IFERROR(IF(清单台账!$AE113=1,清单台账!$G113,""),"")</f>
        <v/>
      </c>
      <c r="H112" s="37" t="str">
        <f>IFERROR(IF(清单台账!$AE113=1,清单台账!$H113,""),"")</f>
        <v/>
      </c>
      <c r="I112" s="37" t="str">
        <f>IFERROR(IF(清单台账!$AE113=1,清单台账!$I113,""),"")</f>
        <v/>
      </c>
      <c r="J112" s="37" t="str">
        <f>IFERROR(IF(清单台账!$AE113=1,清单台账!$J113,""),"")</f>
        <v/>
      </c>
      <c r="K112" s="37" t="str">
        <f>IFERROR(IF(清单台账!$AE113=1,清单台账!$K113,""),"")</f>
        <v/>
      </c>
      <c r="L112" s="37" t="str">
        <f>IFERROR(IF(清单台账!$AE113=1,清单台账!$L113,""),"")</f>
        <v/>
      </c>
      <c r="M112" s="37" t="str">
        <f>IFERROR(IF(清单台账!$AE113=1,清单台账!$M113,""),"")</f>
        <v/>
      </c>
      <c r="N112" s="37" t="str">
        <f>IFERROR(IF(清单台账!$AE113=1,清单台账!$N113,""),"")</f>
        <v/>
      </c>
      <c r="O112" s="37" t="str">
        <f>IFERROR(IF(清单台账!$AE113=1,清单台账!$O113,""),"")</f>
        <v/>
      </c>
      <c r="P112" s="39" t="str">
        <f>IFERROR(IF(清单台账!$AE113=1,清单台账!$P113,""),"")</f>
        <v/>
      </c>
      <c r="Q112" s="39" t="str">
        <f>IFERROR(IF(清单台账!$AE113=1,清单台账!$Q113,""),"")</f>
        <v/>
      </c>
      <c r="R112" s="39" t="str">
        <f>IFERROR(IF(清单台账!$AE113=1,清单台账!$R113,""),"")</f>
        <v/>
      </c>
      <c r="S112" s="37" t="str">
        <f>IFERROR(IF(清单台账!$AE113=1,清单台账!$S113,""),"")</f>
        <v/>
      </c>
      <c r="T112" s="37" t="str">
        <f>IFERROR(IF(清单台账!$AE113=1,清单台账!$T113,""),"")</f>
        <v/>
      </c>
      <c r="U112" s="37" t="str">
        <f>IFERROR(IF(清单台账!$AE113=1,清单台账!$U113,""),"")</f>
        <v/>
      </c>
      <c r="V112" s="38" t="str">
        <f>IFERROR(IF(清单台账!$AE113=1,清单台账!$V113,""),"")</f>
        <v/>
      </c>
      <c r="W112" s="40" t="str">
        <f>IFERROR(IF(清单台账!$AE113=1,清单台账!$W113,""),"")</f>
        <v/>
      </c>
      <c r="X112" s="46" t="str">
        <f>IF($F112&lt;&gt;"",IFERROR(MAX($X$5:$X111),0)+1,"")</f>
        <v/>
      </c>
    </row>
    <row r="113" spans="1:24">
      <c r="A113" s="36" t="str">
        <f>IFERROR(IF(清单台账!$AE114=1,清单台账!$A114,""),"")</f>
        <v/>
      </c>
      <c r="B113" s="37" t="str">
        <f>IFERROR(IF(清单台账!$AE114=1,清单台账!$AA114,""),"")</f>
        <v/>
      </c>
      <c r="C113" s="38" t="str">
        <f>IFERROR(IF(清单台账!$AE114=1,清单台账!$AB114,""),"")</f>
        <v/>
      </c>
      <c r="D113" s="37" t="str">
        <f>IFERROR(IF(清单台账!$AE114=1,清单台账!$AC114,""),"")</f>
        <v/>
      </c>
      <c r="E113" s="37" t="str">
        <f>IFERROR(IF(清单台账!$AE114=1,清单台账!$AD114,""),"")</f>
        <v/>
      </c>
      <c r="F113" s="37" t="str">
        <f>IFERROR(IF(清单台账!$AE114=1,清单台账!$F114,""),"")</f>
        <v/>
      </c>
      <c r="G113" s="37" t="str">
        <f>IFERROR(IF(清单台账!$AE114=1,清单台账!$G114,""),"")</f>
        <v/>
      </c>
      <c r="H113" s="37" t="str">
        <f>IFERROR(IF(清单台账!$AE114=1,清单台账!$H114,""),"")</f>
        <v/>
      </c>
      <c r="I113" s="37" t="str">
        <f>IFERROR(IF(清单台账!$AE114=1,清单台账!$I114,""),"")</f>
        <v/>
      </c>
      <c r="J113" s="37" t="str">
        <f>IFERROR(IF(清单台账!$AE114=1,清单台账!$J114,""),"")</f>
        <v/>
      </c>
      <c r="K113" s="37" t="str">
        <f>IFERROR(IF(清单台账!$AE114=1,清单台账!$K114,""),"")</f>
        <v/>
      </c>
      <c r="L113" s="37" t="str">
        <f>IFERROR(IF(清单台账!$AE114=1,清单台账!$L114,""),"")</f>
        <v/>
      </c>
      <c r="M113" s="37" t="str">
        <f>IFERROR(IF(清单台账!$AE114=1,清单台账!$M114,""),"")</f>
        <v/>
      </c>
      <c r="N113" s="37" t="str">
        <f>IFERROR(IF(清单台账!$AE114=1,清单台账!$N114,""),"")</f>
        <v/>
      </c>
      <c r="O113" s="37" t="str">
        <f>IFERROR(IF(清单台账!$AE114=1,清单台账!$O114,""),"")</f>
        <v/>
      </c>
      <c r="P113" s="39" t="str">
        <f>IFERROR(IF(清单台账!$AE114=1,清单台账!$P114,""),"")</f>
        <v/>
      </c>
      <c r="Q113" s="39" t="str">
        <f>IFERROR(IF(清单台账!$AE114=1,清单台账!$Q114,""),"")</f>
        <v/>
      </c>
      <c r="R113" s="39" t="str">
        <f>IFERROR(IF(清单台账!$AE114=1,清单台账!$R114,""),"")</f>
        <v/>
      </c>
      <c r="S113" s="37" t="str">
        <f>IFERROR(IF(清单台账!$AE114=1,清单台账!$S114,""),"")</f>
        <v/>
      </c>
      <c r="T113" s="37" t="str">
        <f>IFERROR(IF(清单台账!$AE114=1,清单台账!$T114,""),"")</f>
        <v/>
      </c>
      <c r="U113" s="37" t="str">
        <f>IFERROR(IF(清单台账!$AE114=1,清单台账!$U114,""),"")</f>
        <v/>
      </c>
      <c r="V113" s="38" t="str">
        <f>IFERROR(IF(清单台账!$AE114=1,清单台账!$V114,""),"")</f>
        <v/>
      </c>
      <c r="W113" s="40" t="str">
        <f>IFERROR(IF(清单台账!$AE114=1,清单台账!$W114,""),"")</f>
        <v/>
      </c>
      <c r="X113" s="46" t="str">
        <f>IF($F113&lt;&gt;"",IFERROR(MAX($X$5:$X112),0)+1,"")</f>
        <v/>
      </c>
    </row>
    <row r="114" spans="1:24">
      <c r="A114" s="36" t="str">
        <f>IFERROR(IF(清单台账!$AE115=1,清单台账!$A115,""),"")</f>
        <v/>
      </c>
      <c r="B114" s="37" t="str">
        <f>IFERROR(IF(清单台账!$AE115=1,清单台账!$AA115,""),"")</f>
        <v/>
      </c>
      <c r="C114" s="38" t="str">
        <f>IFERROR(IF(清单台账!$AE115=1,清单台账!$AB115,""),"")</f>
        <v/>
      </c>
      <c r="D114" s="37" t="str">
        <f>IFERROR(IF(清单台账!$AE115=1,清单台账!$AC115,""),"")</f>
        <v/>
      </c>
      <c r="E114" s="37" t="str">
        <f>IFERROR(IF(清单台账!$AE115=1,清单台账!$AD115,""),"")</f>
        <v/>
      </c>
      <c r="F114" s="37" t="str">
        <f>IFERROR(IF(清单台账!$AE115=1,清单台账!$F115,""),"")</f>
        <v/>
      </c>
      <c r="G114" s="37" t="str">
        <f>IFERROR(IF(清单台账!$AE115=1,清单台账!$G115,""),"")</f>
        <v/>
      </c>
      <c r="H114" s="37" t="str">
        <f>IFERROR(IF(清单台账!$AE115=1,清单台账!$H115,""),"")</f>
        <v/>
      </c>
      <c r="I114" s="37" t="str">
        <f>IFERROR(IF(清单台账!$AE115=1,清单台账!$I115,""),"")</f>
        <v/>
      </c>
      <c r="J114" s="37" t="str">
        <f>IFERROR(IF(清单台账!$AE115=1,清单台账!$J115,""),"")</f>
        <v/>
      </c>
      <c r="K114" s="37" t="str">
        <f>IFERROR(IF(清单台账!$AE115=1,清单台账!$K115,""),"")</f>
        <v/>
      </c>
      <c r="L114" s="37" t="str">
        <f>IFERROR(IF(清单台账!$AE115=1,清单台账!$L115,""),"")</f>
        <v/>
      </c>
      <c r="M114" s="37" t="str">
        <f>IFERROR(IF(清单台账!$AE115=1,清单台账!$M115,""),"")</f>
        <v/>
      </c>
      <c r="N114" s="37" t="str">
        <f>IFERROR(IF(清单台账!$AE115=1,清单台账!$N115,""),"")</f>
        <v/>
      </c>
      <c r="O114" s="37" t="str">
        <f>IFERROR(IF(清单台账!$AE115=1,清单台账!$O115,""),"")</f>
        <v/>
      </c>
      <c r="P114" s="39" t="str">
        <f>IFERROR(IF(清单台账!$AE115=1,清单台账!$P115,""),"")</f>
        <v/>
      </c>
      <c r="Q114" s="39" t="str">
        <f>IFERROR(IF(清单台账!$AE115=1,清单台账!$Q115,""),"")</f>
        <v/>
      </c>
      <c r="R114" s="39" t="str">
        <f>IFERROR(IF(清单台账!$AE115=1,清单台账!$R115,""),"")</f>
        <v/>
      </c>
      <c r="S114" s="37" t="str">
        <f>IFERROR(IF(清单台账!$AE115=1,清单台账!$S115,""),"")</f>
        <v/>
      </c>
      <c r="T114" s="37" t="str">
        <f>IFERROR(IF(清单台账!$AE115=1,清单台账!$T115,""),"")</f>
        <v/>
      </c>
      <c r="U114" s="37" t="str">
        <f>IFERROR(IF(清单台账!$AE115=1,清单台账!$U115,""),"")</f>
        <v/>
      </c>
      <c r="V114" s="38" t="str">
        <f>IFERROR(IF(清单台账!$AE115=1,清单台账!$V115,""),"")</f>
        <v/>
      </c>
      <c r="W114" s="40" t="str">
        <f>IFERROR(IF(清单台账!$AE115=1,清单台账!$W115,""),"")</f>
        <v/>
      </c>
      <c r="X114" s="46" t="str">
        <f>IF($F114&lt;&gt;"",IFERROR(MAX($X$5:$X113),0)+1,"")</f>
        <v/>
      </c>
    </row>
    <row r="115" spans="1:24">
      <c r="A115" s="36" t="str">
        <f>IFERROR(IF(清单台账!$AE116=1,清单台账!$A116,""),"")</f>
        <v/>
      </c>
      <c r="B115" s="37" t="str">
        <f>IFERROR(IF(清单台账!$AE116=1,清单台账!$AA116,""),"")</f>
        <v/>
      </c>
      <c r="C115" s="38" t="str">
        <f>IFERROR(IF(清单台账!$AE116=1,清单台账!$AB116,""),"")</f>
        <v/>
      </c>
      <c r="D115" s="37" t="str">
        <f>IFERROR(IF(清单台账!$AE116=1,清单台账!$AC116,""),"")</f>
        <v/>
      </c>
      <c r="E115" s="37" t="str">
        <f>IFERROR(IF(清单台账!$AE116=1,清单台账!$AD116,""),"")</f>
        <v/>
      </c>
      <c r="F115" s="37" t="str">
        <f>IFERROR(IF(清单台账!$AE116=1,清单台账!$F116,""),"")</f>
        <v/>
      </c>
      <c r="G115" s="37" t="str">
        <f>IFERROR(IF(清单台账!$AE116=1,清单台账!$G116,""),"")</f>
        <v/>
      </c>
      <c r="H115" s="37" t="str">
        <f>IFERROR(IF(清单台账!$AE116=1,清单台账!$H116,""),"")</f>
        <v/>
      </c>
      <c r="I115" s="37" t="str">
        <f>IFERROR(IF(清单台账!$AE116=1,清单台账!$I116,""),"")</f>
        <v/>
      </c>
      <c r="J115" s="37" t="str">
        <f>IFERROR(IF(清单台账!$AE116=1,清单台账!$J116,""),"")</f>
        <v/>
      </c>
      <c r="K115" s="37" t="str">
        <f>IFERROR(IF(清单台账!$AE116=1,清单台账!$K116,""),"")</f>
        <v/>
      </c>
      <c r="L115" s="37" t="str">
        <f>IFERROR(IF(清单台账!$AE116=1,清单台账!$L116,""),"")</f>
        <v/>
      </c>
      <c r="M115" s="37" t="str">
        <f>IFERROR(IF(清单台账!$AE116=1,清单台账!$M116,""),"")</f>
        <v/>
      </c>
      <c r="N115" s="37" t="str">
        <f>IFERROR(IF(清单台账!$AE116=1,清单台账!$N116,""),"")</f>
        <v/>
      </c>
      <c r="O115" s="37" t="str">
        <f>IFERROR(IF(清单台账!$AE116=1,清单台账!$O116,""),"")</f>
        <v/>
      </c>
      <c r="P115" s="39" t="str">
        <f>IFERROR(IF(清单台账!$AE116=1,清单台账!$P116,""),"")</f>
        <v/>
      </c>
      <c r="Q115" s="39" t="str">
        <f>IFERROR(IF(清单台账!$AE116=1,清单台账!$Q116,""),"")</f>
        <v/>
      </c>
      <c r="R115" s="39" t="str">
        <f>IFERROR(IF(清单台账!$AE116=1,清单台账!$R116,""),"")</f>
        <v/>
      </c>
      <c r="S115" s="37" t="str">
        <f>IFERROR(IF(清单台账!$AE116=1,清单台账!$S116,""),"")</f>
        <v/>
      </c>
      <c r="T115" s="37" t="str">
        <f>IFERROR(IF(清单台账!$AE116=1,清单台账!$T116,""),"")</f>
        <v/>
      </c>
      <c r="U115" s="37" t="str">
        <f>IFERROR(IF(清单台账!$AE116=1,清单台账!$U116,""),"")</f>
        <v/>
      </c>
      <c r="V115" s="38" t="str">
        <f>IFERROR(IF(清单台账!$AE116=1,清单台账!$V116,""),"")</f>
        <v/>
      </c>
      <c r="W115" s="40" t="str">
        <f>IFERROR(IF(清单台账!$AE116=1,清单台账!$W116,""),"")</f>
        <v/>
      </c>
      <c r="X115" s="46" t="str">
        <f>IF($F115&lt;&gt;"",IFERROR(MAX($X$5:$X114),0)+1,"")</f>
        <v/>
      </c>
    </row>
    <row r="116" spans="1:24">
      <c r="A116" s="36" t="str">
        <f>IFERROR(IF(清单台账!$AE117=1,清单台账!$A117,""),"")</f>
        <v/>
      </c>
      <c r="B116" s="37" t="str">
        <f>IFERROR(IF(清单台账!$AE117=1,清单台账!$AA117,""),"")</f>
        <v/>
      </c>
      <c r="C116" s="38" t="str">
        <f>IFERROR(IF(清单台账!$AE117=1,清单台账!$AB117,""),"")</f>
        <v/>
      </c>
      <c r="D116" s="37" t="str">
        <f>IFERROR(IF(清单台账!$AE117=1,清单台账!$AC117,""),"")</f>
        <v/>
      </c>
      <c r="E116" s="37" t="str">
        <f>IFERROR(IF(清单台账!$AE117=1,清单台账!$AD117,""),"")</f>
        <v/>
      </c>
      <c r="F116" s="37" t="str">
        <f>IFERROR(IF(清单台账!$AE117=1,清单台账!$F117,""),"")</f>
        <v/>
      </c>
      <c r="G116" s="37" t="str">
        <f>IFERROR(IF(清单台账!$AE117=1,清单台账!$G117,""),"")</f>
        <v/>
      </c>
      <c r="H116" s="37" t="str">
        <f>IFERROR(IF(清单台账!$AE117=1,清单台账!$H117,""),"")</f>
        <v/>
      </c>
      <c r="I116" s="37" t="str">
        <f>IFERROR(IF(清单台账!$AE117=1,清单台账!$I117,""),"")</f>
        <v/>
      </c>
      <c r="J116" s="37" t="str">
        <f>IFERROR(IF(清单台账!$AE117=1,清单台账!$J117,""),"")</f>
        <v/>
      </c>
      <c r="K116" s="37" t="str">
        <f>IFERROR(IF(清单台账!$AE117=1,清单台账!$K117,""),"")</f>
        <v/>
      </c>
      <c r="L116" s="37" t="str">
        <f>IFERROR(IF(清单台账!$AE117=1,清单台账!$L117,""),"")</f>
        <v/>
      </c>
      <c r="M116" s="37" t="str">
        <f>IFERROR(IF(清单台账!$AE117=1,清单台账!$M117,""),"")</f>
        <v/>
      </c>
      <c r="N116" s="37" t="str">
        <f>IFERROR(IF(清单台账!$AE117=1,清单台账!$N117,""),"")</f>
        <v/>
      </c>
      <c r="O116" s="37" t="str">
        <f>IFERROR(IF(清单台账!$AE117=1,清单台账!$O117,""),"")</f>
        <v/>
      </c>
      <c r="P116" s="39" t="str">
        <f>IFERROR(IF(清单台账!$AE117=1,清单台账!$P117,""),"")</f>
        <v/>
      </c>
      <c r="Q116" s="39" t="str">
        <f>IFERROR(IF(清单台账!$AE117=1,清单台账!$Q117,""),"")</f>
        <v/>
      </c>
      <c r="R116" s="39" t="str">
        <f>IFERROR(IF(清单台账!$AE117=1,清单台账!$R117,""),"")</f>
        <v/>
      </c>
      <c r="S116" s="37" t="str">
        <f>IFERROR(IF(清单台账!$AE117=1,清单台账!$S117,""),"")</f>
        <v/>
      </c>
      <c r="T116" s="37" t="str">
        <f>IFERROR(IF(清单台账!$AE117=1,清单台账!$T117,""),"")</f>
        <v/>
      </c>
      <c r="U116" s="37" t="str">
        <f>IFERROR(IF(清单台账!$AE117=1,清单台账!$U117,""),"")</f>
        <v/>
      </c>
      <c r="V116" s="38" t="str">
        <f>IFERROR(IF(清单台账!$AE117=1,清单台账!$V117,""),"")</f>
        <v/>
      </c>
      <c r="W116" s="40" t="str">
        <f>IFERROR(IF(清单台账!$AE117=1,清单台账!$W117,""),"")</f>
        <v/>
      </c>
      <c r="X116" s="46" t="str">
        <f>IF($F116&lt;&gt;"",IFERROR(MAX($X$5:$X115),0)+1,"")</f>
        <v/>
      </c>
    </row>
    <row r="117" spans="1:24">
      <c r="A117" s="36" t="str">
        <f>IFERROR(IF(清单台账!$AE118=1,清单台账!$A118,""),"")</f>
        <v/>
      </c>
      <c r="B117" s="37" t="str">
        <f>IFERROR(IF(清单台账!$AE118=1,清单台账!$AA118,""),"")</f>
        <v/>
      </c>
      <c r="C117" s="38" t="str">
        <f>IFERROR(IF(清单台账!$AE118=1,清单台账!$AB118,""),"")</f>
        <v/>
      </c>
      <c r="D117" s="37" t="str">
        <f>IFERROR(IF(清单台账!$AE118=1,清单台账!$AC118,""),"")</f>
        <v/>
      </c>
      <c r="E117" s="37" t="str">
        <f>IFERROR(IF(清单台账!$AE118=1,清单台账!$AD118,""),"")</f>
        <v/>
      </c>
      <c r="F117" s="37" t="str">
        <f>IFERROR(IF(清单台账!$AE118=1,清单台账!$F118,""),"")</f>
        <v/>
      </c>
      <c r="G117" s="37" t="str">
        <f>IFERROR(IF(清单台账!$AE118=1,清单台账!$G118,""),"")</f>
        <v/>
      </c>
      <c r="H117" s="37" t="str">
        <f>IFERROR(IF(清单台账!$AE118=1,清单台账!$H118,""),"")</f>
        <v/>
      </c>
      <c r="I117" s="37" t="str">
        <f>IFERROR(IF(清单台账!$AE118=1,清单台账!$I118,""),"")</f>
        <v/>
      </c>
      <c r="J117" s="37" t="str">
        <f>IFERROR(IF(清单台账!$AE118=1,清单台账!$J118,""),"")</f>
        <v/>
      </c>
      <c r="K117" s="37" t="str">
        <f>IFERROR(IF(清单台账!$AE118=1,清单台账!$K118,""),"")</f>
        <v/>
      </c>
      <c r="L117" s="37" t="str">
        <f>IFERROR(IF(清单台账!$AE118=1,清单台账!$L118,""),"")</f>
        <v/>
      </c>
      <c r="M117" s="37" t="str">
        <f>IFERROR(IF(清单台账!$AE118=1,清单台账!$M118,""),"")</f>
        <v/>
      </c>
      <c r="N117" s="37" t="str">
        <f>IFERROR(IF(清单台账!$AE118=1,清单台账!$N118,""),"")</f>
        <v/>
      </c>
      <c r="O117" s="37" t="str">
        <f>IFERROR(IF(清单台账!$AE118=1,清单台账!$O118,""),"")</f>
        <v/>
      </c>
      <c r="P117" s="39" t="str">
        <f>IFERROR(IF(清单台账!$AE118=1,清单台账!$P118,""),"")</f>
        <v/>
      </c>
      <c r="Q117" s="39" t="str">
        <f>IFERROR(IF(清单台账!$AE118=1,清单台账!$Q118,""),"")</f>
        <v/>
      </c>
      <c r="R117" s="39" t="str">
        <f>IFERROR(IF(清单台账!$AE118=1,清单台账!$R118,""),"")</f>
        <v/>
      </c>
      <c r="S117" s="37" t="str">
        <f>IFERROR(IF(清单台账!$AE118=1,清单台账!$S118,""),"")</f>
        <v/>
      </c>
      <c r="T117" s="37" t="str">
        <f>IFERROR(IF(清单台账!$AE118=1,清单台账!$T118,""),"")</f>
        <v/>
      </c>
      <c r="U117" s="37" t="str">
        <f>IFERROR(IF(清单台账!$AE118=1,清单台账!$U118,""),"")</f>
        <v/>
      </c>
      <c r="V117" s="38" t="str">
        <f>IFERROR(IF(清单台账!$AE118=1,清单台账!$V118,""),"")</f>
        <v/>
      </c>
      <c r="W117" s="40" t="str">
        <f>IFERROR(IF(清单台账!$AE118=1,清单台账!$W118,""),"")</f>
        <v/>
      </c>
      <c r="X117" s="46" t="str">
        <f>IF($F117&lt;&gt;"",IFERROR(MAX($X$5:$X116),0)+1,"")</f>
        <v/>
      </c>
    </row>
    <row r="118" spans="1:24">
      <c r="A118" s="36" t="str">
        <f>IFERROR(IF(清单台账!$AE119=1,清单台账!$A119,""),"")</f>
        <v/>
      </c>
      <c r="B118" s="37" t="str">
        <f>IFERROR(IF(清单台账!$AE119=1,清单台账!$AA119,""),"")</f>
        <v/>
      </c>
      <c r="C118" s="38" t="str">
        <f>IFERROR(IF(清单台账!$AE119=1,清单台账!$AB119,""),"")</f>
        <v/>
      </c>
      <c r="D118" s="37" t="str">
        <f>IFERROR(IF(清单台账!$AE119=1,清单台账!$AC119,""),"")</f>
        <v/>
      </c>
      <c r="E118" s="37" t="str">
        <f>IFERROR(IF(清单台账!$AE119=1,清单台账!$AD119,""),"")</f>
        <v/>
      </c>
      <c r="F118" s="37" t="str">
        <f>IFERROR(IF(清单台账!$AE119=1,清单台账!$F119,""),"")</f>
        <v/>
      </c>
      <c r="G118" s="37" t="str">
        <f>IFERROR(IF(清单台账!$AE119=1,清单台账!$G119,""),"")</f>
        <v/>
      </c>
      <c r="H118" s="37" t="str">
        <f>IFERROR(IF(清单台账!$AE119=1,清单台账!$H119,""),"")</f>
        <v/>
      </c>
      <c r="I118" s="37" t="str">
        <f>IFERROR(IF(清单台账!$AE119=1,清单台账!$I119,""),"")</f>
        <v/>
      </c>
      <c r="J118" s="37" t="str">
        <f>IFERROR(IF(清单台账!$AE119=1,清单台账!$J119,""),"")</f>
        <v/>
      </c>
      <c r="K118" s="37" t="str">
        <f>IFERROR(IF(清单台账!$AE119=1,清单台账!$K119,""),"")</f>
        <v/>
      </c>
      <c r="L118" s="37" t="str">
        <f>IFERROR(IF(清单台账!$AE119=1,清单台账!$L119,""),"")</f>
        <v/>
      </c>
      <c r="M118" s="37" t="str">
        <f>IFERROR(IF(清单台账!$AE119=1,清单台账!$M119,""),"")</f>
        <v/>
      </c>
      <c r="N118" s="37" t="str">
        <f>IFERROR(IF(清单台账!$AE119=1,清单台账!$N119,""),"")</f>
        <v/>
      </c>
      <c r="O118" s="37" t="str">
        <f>IFERROR(IF(清单台账!$AE119=1,清单台账!$O119,""),"")</f>
        <v/>
      </c>
      <c r="P118" s="39" t="str">
        <f>IFERROR(IF(清单台账!$AE119=1,清单台账!$P119,""),"")</f>
        <v/>
      </c>
      <c r="Q118" s="39" t="str">
        <f>IFERROR(IF(清单台账!$AE119=1,清单台账!$Q119,""),"")</f>
        <v/>
      </c>
      <c r="R118" s="39" t="str">
        <f>IFERROR(IF(清单台账!$AE119=1,清单台账!$R119,""),"")</f>
        <v/>
      </c>
      <c r="S118" s="37" t="str">
        <f>IFERROR(IF(清单台账!$AE119=1,清单台账!$S119,""),"")</f>
        <v/>
      </c>
      <c r="T118" s="37" t="str">
        <f>IFERROR(IF(清单台账!$AE119=1,清单台账!$T119,""),"")</f>
        <v/>
      </c>
      <c r="U118" s="37" t="str">
        <f>IFERROR(IF(清单台账!$AE119=1,清单台账!$U119,""),"")</f>
        <v/>
      </c>
      <c r="V118" s="38" t="str">
        <f>IFERROR(IF(清单台账!$AE119=1,清单台账!$V119,""),"")</f>
        <v/>
      </c>
      <c r="W118" s="40" t="str">
        <f>IFERROR(IF(清单台账!$AE119=1,清单台账!$W119,""),"")</f>
        <v/>
      </c>
      <c r="X118" s="46" t="str">
        <f>IF($F118&lt;&gt;"",IFERROR(MAX($X$5:$X117),0)+1,"")</f>
        <v/>
      </c>
    </row>
    <row r="119" spans="1:24">
      <c r="A119" s="36" t="str">
        <f>IFERROR(IF(清单台账!$AE120=1,清单台账!$A120,""),"")</f>
        <v/>
      </c>
      <c r="B119" s="37" t="str">
        <f>IFERROR(IF(清单台账!$AE120=1,清单台账!$AA120,""),"")</f>
        <v/>
      </c>
      <c r="C119" s="38" t="str">
        <f>IFERROR(IF(清单台账!$AE120=1,清单台账!$AB120,""),"")</f>
        <v/>
      </c>
      <c r="D119" s="37" t="str">
        <f>IFERROR(IF(清单台账!$AE120=1,清单台账!$AC120,""),"")</f>
        <v/>
      </c>
      <c r="E119" s="37" t="str">
        <f>IFERROR(IF(清单台账!$AE120=1,清单台账!$AD120,""),"")</f>
        <v/>
      </c>
      <c r="F119" s="37" t="str">
        <f>IFERROR(IF(清单台账!$AE120=1,清单台账!$F120,""),"")</f>
        <v/>
      </c>
      <c r="G119" s="37" t="str">
        <f>IFERROR(IF(清单台账!$AE120=1,清单台账!$G120,""),"")</f>
        <v/>
      </c>
      <c r="H119" s="37" t="str">
        <f>IFERROR(IF(清单台账!$AE120=1,清单台账!$H120,""),"")</f>
        <v/>
      </c>
      <c r="I119" s="37" t="str">
        <f>IFERROR(IF(清单台账!$AE120=1,清单台账!$I120,""),"")</f>
        <v/>
      </c>
      <c r="J119" s="37" t="str">
        <f>IFERROR(IF(清单台账!$AE120=1,清单台账!$J120,""),"")</f>
        <v/>
      </c>
      <c r="K119" s="37" t="str">
        <f>IFERROR(IF(清单台账!$AE120=1,清单台账!$K120,""),"")</f>
        <v/>
      </c>
      <c r="L119" s="37" t="str">
        <f>IFERROR(IF(清单台账!$AE120=1,清单台账!$L120,""),"")</f>
        <v/>
      </c>
      <c r="M119" s="37" t="str">
        <f>IFERROR(IF(清单台账!$AE120=1,清单台账!$M120,""),"")</f>
        <v/>
      </c>
      <c r="N119" s="37" t="str">
        <f>IFERROR(IF(清单台账!$AE120=1,清单台账!$N120,""),"")</f>
        <v/>
      </c>
      <c r="O119" s="37" t="str">
        <f>IFERROR(IF(清单台账!$AE120=1,清单台账!$O120,""),"")</f>
        <v/>
      </c>
      <c r="P119" s="39" t="str">
        <f>IFERROR(IF(清单台账!$AE120=1,清单台账!$P120,""),"")</f>
        <v/>
      </c>
      <c r="Q119" s="39" t="str">
        <f>IFERROR(IF(清单台账!$AE120=1,清单台账!$Q120,""),"")</f>
        <v/>
      </c>
      <c r="R119" s="39" t="str">
        <f>IFERROR(IF(清单台账!$AE120=1,清单台账!$R120,""),"")</f>
        <v/>
      </c>
      <c r="S119" s="37" t="str">
        <f>IFERROR(IF(清单台账!$AE120=1,清单台账!$S120,""),"")</f>
        <v/>
      </c>
      <c r="T119" s="37" t="str">
        <f>IFERROR(IF(清单台账!$AE120=1,清单台账!$T120,""),"")</f>
        <v/>
      </c>
      <c r="U119" s="37" t="str">
        <f>IFERROR(IF(清单台账!$AE120=1,清单台账!$U120,""),"")</f>
        <v/>
      </c>
      <c r="V119" s="38" t="str">
        <f>IFERROR(IF(清单台账!$AE120=1,清单台账!$V120,""),"")</f>
        <v/>
      </c>
      <c r="W119" s="40" t="str">
        <f>IFERROR(IF(清单台账!$AE120=1,清单台账!$W120,""),"")</f>
        <v/>
      </c>
      <c r="X119" s="46" t="str">
        <f>IF($F119&lt;&gt;"",IFERROR(MAX($X$5:$X118),0)+1,"")</f>
        <v/>
      </c>
    </row>
    <row r="120" spans="1:24">
      <c r="A120" s="36" t="str">
        <f>IFERROR(IF(清单台账!$AE121=1,清单台账!$A121,""),"")</f>
        <v/>
      </c>
      <c r="B120" s="37" t="str">
        <f>IFERROR(IF(清单台账!$AE121=1,清单台账!$AA121,""),"")</f>
        <v/>
      </c>
      <c r="C120" s="38" t="str">
        <f>IFERROR(IF(清单台账!$AE121=1,清单台账!$AB121,""),"")</f>
        <v/>
      </c>
      <c r="D120" s="37" t="str">
        <f>IFERROR(IF(清单台账!$AE121=1,清单台账!$AC121,""),"")</f>
        <v/>
      </c>
      <c r="E120" s="37" t="str">
        <f>IFERROR(IF(清单台账!$AE121=1,清单台账!$AD121,""),"")</f>
        <v/>
      </c>
      <c r="F120" s="37" t="str">
        <f>IFERROR(IF(清单台账!$AE121=1,清单台账!$F121,""),"")</f>
        <v/>
      </c>
      <c r="G120" s="37" t="str">
        <f>IFERROR(IF(清单台账!$AE121=1,清单台账!$G121,""),"")</f>
        <v/>
      </c>
      <c r="H120" s="37" t="str">
        <f>IFERROR(IF(清单台账!$AE121=1,清单台账!$H121,""),"")</f>
        <v/>
      </c>
      <c r="I120" s="37" t="str">
        <f>IFERROR(IF(清单台账!$AE121=1,清单台账!$I121,""),"")</f>
        <v/>
      </c>
      <c r="J120" s="37" t="str">
        <f>IFERROR(IF(清单台账!$AE121=1,清单台账!$J121,""),"")</f>
        <v/>
      </c>
      <c r="K120" s="37" t="str">
        <f>IFERROR(IF(清单台账!$AE121=1,清单台账!$K121,""),"")</f>
        <v/>
      </c>
      <c r="L120" s="37" t="str">
        <f>IFERROR(IF(清单台账!$AE121=1,清单台账!$L121,""),"")</f>
        <v/>
      </c>
      <c r="M120" s="37" t="str">
        <f>IFERROR(IF(清单台账!$AE121=1,清单台账!$M121,""),"")</f>
        <v/>
      </c>
      <c r="N120" s="37" t="str">
        <f>IFERROR(IF(清单台账!$AE121=1,清单台账!$N121,""),"")</f>
        <v/>
      </c>
      <c r="O120" s="37" t="str">
        <f>IFERROR(IF(清单台账!$AE121=1,清单台账!$O121,""),"")</f>
        <v/>
      </c>
      <c r="P120" s="39" t="str">
        <f>IFERROR(IF(清单台账!$AE121=1,清单台账!$P121,""),"")</f>
        <v/>
      </c>
      <c r="Q120" s="39" t="str">
        <f>IFERROR(IF(清单台账!$AE121=1,清单台账!$Q121,""),"")</f>
        <v/>
      </c>
      <c r="R120" s="39" t="str">
        <f>IFERROR(IF(清单台账!$AE121=1,清单台账!$R121,""),"")</f>
        <v/>
      </c>
      <c r="S120" s="37" t="str">
        <f>IFERROR(IF(清单台账!$AE121=1,清单台账!$S121,""),"")</f>
        <v/>
      </c>
      <c r="T120" s="37" t="str">
        <f>IFERROR(IF(清单台账!$AE121=1,清单台账!$T121,""),"")</f>
        <v/>
      </c>
      <c r="U120" s="37" t="str">
        <f>IFERROR(IF(清单台账!$AE121=1,清单台账!$U121,""),"")</f>
        <v/>
      </c>
      <c r="V120" s="38" t="str">
        <f>IFERROR(IF(清单台账!$AE121=1,清单台账!$V121,""),"")</f>
        <v/>
      </c>
      <c r="W120" s="40" t="str">
        <f>IFERROR(IF(清单台账!$AE121=1,清单台账!$W121,""),"")</f>
        <v/>
      </c>
      <c r="X120" s="46" t="str">
        <f>IF($F120&lt;&gt;"",IFERROR(MAX($X$5:$X119),0)+1,"")</f>
        <v/>
      </c>
    </row>
    <row r="121" spans="1:24">
      <c r="A121" s="36" t="str">
        <f>IFERROR(IF(清单台账!$AE122=1,清单台账!$A122,""),"")</f>
        <v/>
      </c>
      <c r="B121" s="37" t="str">
        <f>IFERROR(IF(清单台账!$AE122=1,清单台账!$AA122,""),"")</f>
        <v/>
      </c>
      <c r="C121" s="38" t="str">
        <f>IFERROR(IF(清单台账!$AE122=1,清单台账!$AB122,""),"")</f>
        <v/>
      </c>
      <c r="D121" s="37" t="str">
        <f>IFERROR(IF(清单台账!$AE122=1,清单台账!$AC122,""),"")</f>
        <v/>
      </c>
      <c r="E121" s="37" t="str">
        <f>IFERROR(IF(清单台账!$AE122=1,清单台账!$AD122,""),"")</f>
        <v/>
      </c>
      <c r="F121" s="37" t="str">
        <f>IFERROR(IF(清单台账!$AE122=1,清单台账!$F122,""),"")</f>
        <v/>
      </c>
      <c r="G121" s="37" t="str">
        <f>IFERROR(IF(清单台账!$AE122=1,清单台账!$G122,""),"")</f>
        <v/>
      </c>
      <c r="H121" s="37" t="str">
        <f>IFERROR(IF(清单台账!$AE122=1,清单台账!$H122,""),"")</f>
        <v/>
      </c>
      <c r="I121" s="37" t="str">
        <f>IFERROR(IF(清单台账!$AE122=1,清单台账!$I122,""),"")</f>
        <v/>
      </c>
      <c r="J121" s="37" t="str">
        <f>IFERROR(IF(清单台账!$AE122=1,清单台账!$J122,""),"")</f>
        <v/>
      </c>
      <c r="K121" s="37" t="str">
        <f>IFERROR(IF(清单台账!$AE122=1,清单台账!$K122,""),"")</f>
        <v/>
      </c>
      <c r="L121" s="37" t="str">
        <f>IFERROR(IF(清单台账!$AE122=1,清单台账!$L122,""),"")</f>
        <v/>
      </c>
      <c r="M121" s="37" t="str">
        <f>IFERROR(IF(清单台账!$AE122=1,清单台账!$M122,""),"")</f>
        <v/>
      </c>
      <c r="N121" s="37" t="str">
        <f>IFERROR(IF(清单台账!$AE122=1,清单台账!$N122,""),"")</f>
        <v/>
      </c>
      <c r="O121" s="37" t="str">
        <f>IFERROR(IF(清单台账!$AE122=1,清单台账!$O122,""),"")</f>
        <v/>
      </c>
      <c r="P121" s="39" t="str">
        <f>IFERROR(IF(清单台账!$AE122=1,清单台账!$P122,""),"")</f>
        <v/>
      </c>
      <c r="Q121" s="39" t="str">
        <f>IFERROR(IF(清单台账!$AE122=1,清单台账!$Q122,""),"")</f>
        <v/>
      </c>
      <c r="R121" s="39" t="str">
        <f>IFERROR(IF(清单台账!$AE122=1,清单台账!$R122,""),"")</f>
        <v/>
      </c>
      <c r="S121" s="37" t="str">
        <f>IFERROR(IF(清单台账!$AE122=1,清单台账!$S122,""),"")</f>
        <v/>
      </c>
      <c r="T121" s="37" t="str">
        <f>IFERROR(IF(清单台账!$AE122=1,清单台账!$T122,""),"")</f>
        <v/>
      </c>
      <c r="U121" s="37" t="str">
        <f>IFERROR(IF(清单台账!$AE122=1,清单台账!$U122,""),"")</f>
        <v/>
      </c>
      <c r="V121" s="38" t="str">
        <f>IFERROR(IF(清单台账!$AE122=1,清单台账!$V122,""),"")</f>
        <v/>
      </c>
      <c r="W121" s="40" t="str">
        <f>IFERROR(IF(清单台账!$AE122=1,清单台账!$W122,""),"")</f>
        <v/>
      </c>
      <c r="X121" s="46" t="str">
        <f>IF($F121&lt;&gt;"",IFERROR(MAX($X$5:$X120),0)+1,"")</f>
        <v/>
      </c>
    </row>
    <row r="122" spans="1:24">
      <c r="A122" s="36" t="str">
        <f>IFERROR(IF(清单台账!$AE123=1,清单台账!$A123,""),"")</f>
        <v/>
      </c>
      <c r="B122" s="37" t="str">
        <f>IFERROR(IF(清单台账!$AE123=1,清单台账!$AA123,""),"")</f>
        <v/>
      </c>
      <c r="C122" s="38" t="str">
        <f>IFERROR(IF(清单台账!$AE123=1,清单台账!$AB123,""),"")</f>
        <v/>
      </c>
      <c r="D122" s="37" t="str">
        <f>IFERROR(IF(清单台账!$AE123=1,清单台账!$AC123,""),"")</f>
        <v/>
      </c>
      <c r="E122" s="37" t="str">
        <f>IFERROR(IF(清单台账!$AE123=1,清单台账!$AD123,""),"")</f>
        <v/>
      </c>
      <c r="F122" s="37" t="str">
        <f>IFERROR(IF(清单台账!$AE123=1,清单台账!$F123,""),"")</f>
        <v/>
      </c>
      <c r="G122" s="37" t="str">
        <f>IFERROR(IF(清单台账!$AE123=1,清单台账!$G123,""),"")</f>
        <v/>
      </c>
      <c r="H122" s="37" t="str">
        <f>IFERROR(IF(清单台账!$AE123=1,清单台账!$H123,""),"")</f>
        <v/>
      </c>
      <c r="I122" s="37" t="str">
        <f>IFERROR(IF(清单台账!$AE123=1,清单台账!$I123,""),"")</f>
        <v/>
      </c>
      <c r="J122" s="37" t="str">
        <f>IFERROR(IF(清单台账!$AE123=1,清单台账!$J123,""),"")</f>
        <v/>
      </c>
      <c r="K122" s="37" t="str">
        <f>IFERROR(IF(清单台账!$AE123=1,清单台账!$K123,""),"")</f>
        <v/>
      </c>
      <c r="L122" s="37" t="str">
        <f>IFERROR(IF(清单台账!$AE123=1,清单台账!$L123,""),"")</f>
        <v/>
      </c>
      <c r="M122" s="37" t="str">
        <f>IFERROR(IF(清单台账!$AE123=1,清单台账!$M123,""),"")</f>
        <v/>
      </c>
      <c r="N122" s="37" t="str">
        <f>IFERROR(IF(清单台账!$AE123=1,清单台账!$N123,""),"")</f>
        <v/>
      </c>
      <c r="O122" s="37" t="str">
        <f>IFERROR(IF(清单台账!$AE123=1,清单台账!$O123,""),"")</f>
        <v/>
      </c>
      <c r="P122" s="39" t="str">
        <f>IFERROR(IF(清单台账!$AE123=1,清单台账!$P123,""),"")</f>
        <v/>
      </c>
      <c r="Q122" s="39" t="str">
        <f>IFERROR(IF(清单台账!$AE123=1,清单台账!$Q123,""),"")</f>
        <v/>
      </c>
      <c r="R122" s="39" t="str">
        <f>IFERROR(IF(清单台账!$AE123=1,清单台账!$R123,""),"")</f>
        <v/>
      </c>
      <c r="S122" s="37" t="str">
        <f>IFERROR(IF(清单台账!$AE123=1,清单台账!$S123,""),"")</f>
        <v/>
      </c>
      <c r="T122" s="37" t="str">
        <f>IFERROR(IF(清单台账!$AE123=1,清单台账!$T123,""),"")</f>
        <v/>
      </c>
      <c r="U122" s="37" t="str">
        <f>IFERROR(IF(清单台账!$AE123=1,清单台账!$U123,""),"")</f>
        <v/>
      </c>
      <c r="V122" s="38" t="str">
        <f>IFERROR(IF(清单台账!$AE123=1,清单台账!$V123,""),"")</f>
        <v/>
      </c>
      <c r="W122" s="40" t="str">
        <f>IFERROR(IF(清单台账!$AE123=1,清单台账!$W123,""),"")</f>
        <v/>
      </c>
      <c r="X122" s="46" t="str">
        <f>IF($F122&lt;&gt;"",IFERROR(MAX($X$5:$X121),0)+1,"")</f>
        <v/>
      </c>
    </row>
    <row r="123" spans="1:24">
      <c r="A123" s="36" t="str">
        <f>IFERROR(IF(清单台账!$AE124=1,清单台账!$A124,""),"")</f>
        <v/>
      </c>
      <c r="B123" s="37" t="str">
        <f>IFERROR(IF(清单台账!$AE124=1,清单台账!$AA124,""),"")</f>
        <v/>
      </c>
      <c r="C123" s="38" t="str">
        <f>IFERROR(IF(清单台账!$AE124=1,清单台账!$AB124,""),"")</f>
        <v/>
      </c>
      <c r="D123" s="37" t="str">
        <f>IFERROR(IF(清单台账!$AE124=1,清单台账!$AC124,""),"")</f>
        <v/>
      </c>
      <c r="E123" s="37" t="str">
        <f>IFERROR(IF(清单台账!$AE124=1,清单台账!$AD124,""),"")</f>
        <v/>
      </c>
      <c r="F123" s="37" t="str">
        <f>IFERROR(IF(清单台账!$AE124=1,清单台账!$F124,""),"")</f>
        <v/>
      </c>
      <c r="G123" s="37" t="str">
        <f>IFERROR(IF(清单台账!$AE124=1,清单台账!$G124,""),"")</f>
        <v/>
      </c>
      <c r="H123" s="37" t="str">
        <f>IFERROR(IF(清单台账!$AE124=1,清单台账!$H124,""),"")</f>
        <v/>
      </c>
      <c r="I123" s="37" t="str">
        <f>IFERROR(IF(清单台账!$AE124=1,清单台账!$I124,""),"")</f>
        <v/>
      </c>
      <c r="J123" s="37" t="str">
        <f>IFERROR(IF(清单台账!$AE124=1,清单台账!$J124,""),"")</f>
        <v/>
      </c>
      <c r="K123" s="37" t="str">
        <f>IFERROR(IF(清单台账!$AE124=1,清单台账!$K124,""),"")</f>
        <v/>
      </c>
      <c r="L123" s="37" t="str">
        <f>IFERROR(IF(清单台账!$AE124=1,清单台账!$L124,""),"")</f>
        <v/>
      </c>
      <c r="M123" s="37" t="str">
        <f>IFERROR(IF(清单台账!$AE124=1,清单台账!$M124,""),"")</f>
        <v/>
      </c>
      <c r="N123" s="37" t="str">
        <f>IFERROR(IF(清单台账!$AE124=1,清单台账!$N124,""),"")</f>
        <v/>
      </c>
      <c r="O123" s="37" t="str">
        <f>IFERROR(IF(清单台账!$AE124=1,清单台账!$O124,""),"")</f>
        <v/>
      </c>
      <c r="P123" s="39" t="str">
        <f>IFERROR(IF(清单台账!$AE124=1,清单台账!$P124,""),"")</f>
        <v/>
      </c>
      <c r="Q123" s="39" t="str">
        <f>IFERROR(IF(清单台账!$AE124=1,清单台账!$Q124,""),"")</f>
        <v/>
      </c>
      <c r="R123" s="39" t="str">
        <f>IFERROR(IF(清单台账!$AE124=1,清单台账!$R124,""),"")</f>
        <v/>
      </c>
      <c r="S123" s="37" t="str">
        <f>IFERROR(IF(清单台账!$AE124=1,清单台账!$S124,""),"")</f>
        <v/>
      </c>
      <c r="T123" s="37" t="str">
        <f>IFERROR(IF(清单台账!$AE124=1,清单台账!$T124,""),"")</f>
        <v/>
      </c>
      <c r="U123" s="37" t="str">
        <f>IFERROR(IF(清单台账!$AE124=1,清单台账!$U124,""),"")</f>
        <v/>
      </c>
      <c r="V123" s="38" t="str">
        <f>IFERROR(IF(清单台账!$AE124=1,清单台账!$V124,""),"")</f>
        <v/>
      </c>
      <c r="W123" s="40" t="str">
        <f>IFERROR(IF(清单台账!$AE124=1,清单台账!$W124,""),"")</f>
        <v/>
      </c>
      <c r="X123" s="46" t="str">
        <f>IF($F123&lt;&gt;"",IFERROR(MAX($X$5:$X122),0)+1,"")</f>
        <v/>
      </c>
    </row>
    <row r="124" spans="1:24">
      <c r="A124" s="36" t="str">
        <f>IFERROR(IF(清单台账!$AE125=1,清单台账!$A125,""),"")</f>
        <v/>
      </c>
      <c r="B124" s="37" t="str">
        <f>IFERROR(IF(清单台账!$AE125=1,清单台账!$AA125,""),"")</f>
        <v/>
      </c>
      <c r="C124" s="38" t="str">
        <f>IFERROR(IF(清单台账!$AE125=1,清单台账!$AB125,""),"")</f>
        <v/>
      </c>
      <c r="D124" s="37" t="str">
        <f>IFERROR(IF(清单台账!$AE125=1,清单台账!$AC125,""),"")</f>
        <v/>
      </c>
      <c r="E124" s="37" t="str">
        <f>IFERROR(IF(清单台账!$AE125=1,清单台账!$AD125,""),"")</f>
        <v/>
      </c>
      <c r="F124" s="37" t="str">
        <f>IFERROR(IF(清单台账!$AE125=1,清单台账!$F125,""),"")</f>
        <v/>
      </c>
      <c r="G124" s="37" t="str">
        <f>IFERROR(IF(清单台账!$AE125=1,清单台账!$G125,""),"")</f>
        <v/>
      </c>
      <c r="H124" s="37" t="str">
        <f>IFERROR(IF(清单台账!$AE125=1,清单台账!$H125,""),"")</f>
        <v/>
      </c>
      <c r="I124" s="37" t="str">
        <f>IFERROR(IF(清单台账!$AE125=1,清单台账!$I125,""),"")</f>
        <v/>
      </c>
      <c r="J124" s="37" t="str">
        <f>IFERROR(IF(清单台账!$AE125=1,清单台账!$J125,""),"")</f>
        <v/>
      </c>
      <c r="K124" s="37" t="str">
        <f>IFERROR(IF(清单台账!$AE125=1,清单台账!$K125,""),"")</f>
        <v/>
      </c>
      <c r="L124" s="37" t="str">
        <f>IFERROR(IF(清单台账!$AE125=1,清单台账!$L125,""),"")</f>
        <v/>
      </c>
      <c r="M124" s="37" t="str">
        <f>IFERROR(IF(清单台账!$AE125=1,清单台账!$M125,""),"")</f>
        <v/>
      </c>
      <c r="N124" s="37" t="str">
        <f>IFERROR(IF(清单台账!$AE125=1,清单台账!$N125,""),"")</f>
        <v/>
      </c>
      <c r="O124" s="37" t="str">
        <f>IFERROR(IF(清单台账!$AE125=1,清单台账!$O125,""),"")</f>
        <v/>
      </c>
      <c r="P124" s="39" t="str">
        <f>IFERROR(IF(清单台账!$AE125=1,清单台账!$P125,""),"")</f>
        <v/>
      </c>
      <c r="Q124" s="39" t="str">
        <f>IFERROR(IF(清单台账!$AE125=1,清单台账!$Q125,""),"")</f>
        <v/>
      </c>
      <c r="R124" s="39" t="str">
        <f>IFERROR(IF(清单台账!$AE125=1,清单台账!$R125,""),"")</f>
        <v/>
      </c>
      <c r="S124" s="37" t="str">
        <f>IFERROR(IF(清单台账!$AE125=1,清单台账!$S125,""),"")</f>
        <v/>
      </c>
      <c r="T124" s="37" t="str">
        <f>IFERROR(IF(清单台账!$AE125=1,清单台账!$T125,""),"")</f>
        <v/>
      </c>
      <c r="U124" s="37" t="str">
        <f>IFERROR(IF(清单台账!$AE125=1,清单台账!$U125,""),"")</f>
        <v/>
      </c>
      <c r="V124" s="38" t="str">
        <f>IFERROR(IF(清单台账!$AE125=1,清单台账!$V125,""),"")</f>
        <v/>
      </c>
      <c r="W124" s="40" t="str">
        <f>IFERROR(IF(清单台账!$AE125=1,清单台账!$W125,""),"")</f>
        <v/>
      </c>
      <c r="X124" s="46" t="str">
        <f>IF($F124&lt;&gt;"",IFERROR(MAX($X$5:$X123),0)+1,"")</f>
        <v/>
      </c>
    </row>
    <row r="125" spans="1:24">
      <c r="A125" s="36" t="str">
        <f>IFERROR(IF(清单台账!$AE126=1,清单台账!$A126,""),"")</f>
        <v/>
      </c>
      <c r="B125" s="37" t="str">
        <f>IFERROR(IF(清单台账!$AE126=1,清单台账!$AA126,""),"")</f>
        <v/>
      </c>
      <c r="C125" s="38" t="str">
        <f>IFERROR(IF(清单台账!$AE126=1,清单台账!$AB126,""),"")</f>
        <v/>
      </c>
      <c r="D125" s="37" t="str">
        <f>IFERROR(IF(清单台账!$AE126=1,清单台账!$AC126,""),"")</f>
        <v/>
      </c>
      <c r="E125" s="37" t="str">
        <f>IFERROR(IF(清单台账!$AE126=1,清单台账!$AD126,""),"")</f>
        <v/>
      </c>
      <c r="F125" s="37" t="str">
        <f>IFERROR(IF(清单台账!$AE126=1,清单台账!$F126,""),"")</f>
        <v/>
      </c>
      <c r="G125" s="37" t="str">
        <f>IFERROR(IF(清单台账!$AE126=1,清单台账!$G126,""),"")</f>
        <v/>
      </c>
      <c r="H125" s="37" t="str">
        <f>IFERROR(IF(清单台账!$AE126=1,清单台账!$H126,""),"")</f>
        <v/>
      </c>
      <c r="I125" s="37" t="str">
        <f>IFERROR(IF(清单台账!$AE126=1,清单台账!$I126,""),"")</f>
        <v/>
      </c>
      <c r="J125" s="37" t="str">
        <f>IFERROR(IF(清单台账!$AE126=1,清单台账!$J126,""),"")</f>
        <v/>
      </c>
      <c r="K125" s="37" t="str">
        <f>IFERROR(IF(清单台账!$AE126=1,清单台账!$K126,""),"")</f>
        <v/>
      </c>
      <c r="L125" s="37" t="str">
        <f>IFERROR(IF(清单台账!$AE126=1,清单台账!$L126,""),"")</f>
        <v/>
      </c>
      <c r="M125" s="37" t="str">
        <f>IFERROR(IF(清单台账!$AE126=1,清单台账!$M126,""),"")</f>
        <v/>
      </c>
      <c r="N125" s="37" t="str">
        <f>IFERROR(IF(清单台账!$AE126=1,清单台账!$N126,""),"")</f>
        <v/>
      </c>
      <c r="O125" s="37" t="str">
        <f>IFERROR(IF(清单台账!$AE126=1,清单台账!$O126,""),"")</f>
        <v/>
      </c>
      <c r="P125" s="39" t="str">
        <f>IFERROR(IF(清单台账!$AE126=1,清单台账!$P126,""),"")</f>
        <v/>
      </c>
      <c r="Q125" s="39" t="str">
        <f>IFERROR(IF(清单台账!$AE126=1,清单台账!$Q126,""),"")</f>
        <v/>
      </c>
      <c r="R125" s="39" t="str">
        <f>IFERROR(IF(清单台账!$AE126=1,清单台账!$R126,""),"")</f>
        <v/>
      </c>
      <c r="S125" s="37" t="str">
        <f>IFERROR(IF(清单台账!$AE126=1,清单台账!$S126,""),"")</f>
        <v/>
      </c>
      <c r="T125" s="37" t="str">
        <f>IFERROR(IF(清单台账!$AE126=1,清单台账!$T126,""),"")</f>
        <v/>
      </c>
      <c r="U125" s="37" t="str">
        <f>IFERROR(IF(清单台账!$AE126=1,清单台账!$U126,""),"")</f>
        <v/>
      </c>
      <c r="V125" s="38" t="str">
        <f>IFERROR(IF(清单台账!$AE126=1,清单台账!$V126,""),"")</f>
        <v/>
      </c>
      <c r="W125" s="40" t="str">
        <f>IFERROR(IF(清单台账!$AE126=1,清单台账!$W126,""),"")</f>
        <v/>
      </c>
      <c r="X125" s="46" t="str">
        <f>IF($F125&lt;&gt;"",IFERROR(MAX($X$5:$X124),0)+1,"")</f>
        <v/>
      </c>
    </row>
    <row r="126" spans="1:24">
      <c r="A126" s="36" t="str">
        <f>IFERROR(IF(清单台账!$AE127=1,清单台账!$A127,""),"")</f>
        <v/>
      </c>
      <c r="B126" s="37" t="str">
        <f>IFERROR(IF(清单台账!$AE127=1,清单台账!$AA127,""),"")</f>
        <v/>
      </c>
      <c r="C126" s="38" t="str">
        <f>IFERROR(IF(清单台账!$AE127=1,清单台账!$AB127,""),"")</f>
        <v/>
      </c>
      <c r="D126" s="37" t="str">
        <f>IFERROR(IF(清单台账!$AE127=1,清单台账!$AC127,""),"")</f>
        <v/>
      </c>
      <c r="E126" s="37" t="str">
        <f>IFERROR(IF(清单台账!$AE127=1,清单台账!$AD127,""),"")</f>
        <v/>
      </c>
      <c r="F126" s="37" t="str">
        <f>IFERROR(IF(清单台账!$AE127=1,清单台账!$F127,""),"")</f>
        <v/>
      </c>
      <c r="G126" s="37" t="str">
        <f>IFERROR(IF(清单台账!$AE127=1,清单台账!$G127,""),"")</f>
        <v/>
      </c>
      <c r="H126" s="37" t="str">
        <f>IFERROR(IF(清单台账!$AE127=1,清单台账!$H127,""),"")</f>
        <v/>
      </c>
      <c r="I126" s="37" t="str">
        <f>IFERROR(IF(清单台账!$AE127=1,清单台账!$I127,""),"")</f>
        <v/>
      </c>
      <c r="J126" s="37" t="str">
        <f>IFERROR(IF(清单台账!$AE127=1,清单台账!$J127,""),"")</f>
        <v/>
      </c>
      <c r="K126" s="37" t="str">
        <f>IFERROR(IF(清单台账!$AE127=1,清单台账!$K127,""),"")</f>
        <v/>
      </c>
      <c r="L126" s="37" t="str">
        <f>IFERROR(IF(清单台账!$AE127=1,清单台账!$L127,""),"")</f>
        <v/>
      </c>
      <c r="M126" s="37" t="str">
        <f>IFERROR(IF(清单台账!$AE127=1,清单台账!$M127,""),"")</f>
        <v/>
      </c>
      <c r="N126" s="37" t="str">
        <f>IFERROR(IF(清单台账!$AE127=1,清单台账!$N127,""),"")</f>
        <v/>
      </c>
      <c r="O126" s="37" t="str">
        <f>IFERROR(IF(清单台账!$AE127=1,清单台账!$O127,""),"")</f>
        <v/>
      </c>
      <c r="P126" s="39" t="str">
        <f>IFERROR(IF(清单台账!$AE127=1,清单台账!$P127,""),"")</f>
        <v/>
      </c>
      <c r="Q126" s="39" t="str">
        <f>IFERROR(IF(清单台账!$AE127=1,清单台账!$Q127,""),"")</f>
        <v/>
      </c>
      <c r="R126" s="39" t="str">
        <f>IFERROR(IF(清单台账!$AE127=1,清单台账!$R127,""),"")</f>
        <v/>
      </c>
      <c r="S126" s="37" t="str">
        <f>IFERROR(IF(清单台账!$AE127=1,清单台账!$S127,""),"")</f>
        <v/>
      </c>
      <c r="T126" s="37" t="str">
        <f>IFERROR(IF(清单台账!$AE127=1,清单台账!$T127,""),"")</f>
        <v/>
      </c>
      <c r="U126" s="37" t="str">
        <f>IFERROR(IF(清单台账!$AE127=1,清单台账!$U127,""),"")</f>
        <v/>
      </c>
      <c r="V126" s="38" t="str">
        <f>IFERROR(IF(清单台账!$AE127=1,清单台账!$V127,""),"")</f>
        <v/>
      </c>
      <c r="W126" s="40" t="str">
        <f>IFERROR(IF(清单台账!$AE127=1,清单台账!$W127,""),"")</f>
        <v/>
      </c>
      <c r="X126" s="46" t="str">
        <f>IF($F126&lt;&gt;"",IFERROR(MAX($X$5:$X125),0)+1,"")</f>
        <v/>
      </c>
    </row>
    <row r="127" spans="1:24">
      <c r="A127" s="36" t="str">
        <f>IFERROR(IF(清单台账!$AE128=1,清单台账!$A128,""),"")</f>
        <v/>
      </c>
      <c r="B127" s="37" t="str">
        <f>IFERROR(IF(清单台账!$AE128=1,清单台账!$AA128,""),"")</f>
        <v/>
      </c>
      <c r="C127" s="38" t="str">
        <f>IFERROR(IF(清单台账!$AE128=1,清单台账!$AB128,""),"")</f>
        <v/>
      </c>
      <c r="D127" s="37" t="str">
        <f>IFERROR(IF(清单台账!$AE128=1,清单台账!$AC128,""),"")</f>
        <v/>
      </c>
      <c r="E127" s="37" t="str">
        <f>IFERROR(IF(清单台账!$AE128=1,清单台账!$AD128,""),"")</f>
        <v/>
      </c>
      <c r="F127" s="37" t="str">
        <f>IFERROR(IF(清单台账!$AE128=1,清单台账!$F128,""),"")</f>
        <v/>
      </c>
      <c r="G127" s="37" t="str">
        <f>IFERROR(IF(清单台账!$AE128=1,清单台账!$G128,""),"")</f>
        <v/>
      </c>
      <c r="H127" s="37" t="str">
        <f>IFERROR(IF(清单台账!$AE128=1,清单台账!$H128,""),"")</f>
        <v/>
      </c>
      <c r="I127" s="37" t="str">
        <f>IFERROR(IF(清单台账!$AE128=1,清单台账!$I128,""),"")</f>
        <v/>
      </c>
      <c r="J127" s="37" t="str">
        <f>IFERROR(IF(清单台账!$AE128=1,清单台账!$J128,""),"")</f>
        <v/>
      </c>
      <c r="K127" s="37" t="str">
        <f>IFERROR(IF(清单台账!$AE128=1,清单台账!$K128,""),"")</f>
        <v/>
      </c>
      <c r="L127" s="37" t="str">
        <f>IFERROR(IF(清单台账!$AE128=1,清单台账!$L128,""),"")</f>
        <v/>
      </c>
      <c r="M127" s="37" t="str">
        <f>IFERROR(IF(清单台账!$AE128=1,清单台账!$M128,""),"")</f>
        <v/>
      </c>
      <c r="N127" s="37" t="str">
        <f>IFERROR(IF(清单台账!$AE128=1,清单台账!$N128,""),"")</f>
        <v/>
      </c>
      <c r="O127" s="37" t="str">
        <f>IFERROR(IF(清单台账!$AE128=1,清单台账!$O128,""),"")</f>
        <v/>
      </c>
      <c r="P127" s="39" t="str">
        <f>IFERROR(IF(清单台账!$AE128=1,清单台账!$P128,""),"")</f>
        <v/>
      </c>
      <c r="Q127" s="39" t="str">
        <f>IFERROR(IF(清单台账!$AE128=1,清单台账!$Q128,""),"")</f>
        <v/>
      </c>
      <c r="R127" s="39" t="str">
        <f>IFERROR(IF(清单台账!$AE128=1,清单台账!$R128,""),"")</f>
        <v/>
      </c>
      <c r="S127" s="37" t="str">
        <f>IFERROR(IF(清单台账!$AE128=1,清单台账!$S128,""),"")</f>
        <v/>
      </c>
      <c r="T127" s="37" t="str">
        <f>IFERROR(IF(清单台账!$AE128=1,清单台账!$T128,""),"")</f>
        <v/>
      </c>
      <c r="U127" s="37" t="str">
        <f>IFERROR(IF(清单台账!$AE128=1,清单台账!$U128,""),"")</f>
        <v/>
      </c>
      <c r="V127" s="38" t="str">
        <f>IFERROR(IF(清单台账!$AE128=1,清单台账!$V128,""),"")</f>
        <v/>
      </c>
      <c r="W127" s="40" t="str">
        <f>IFERROR(IF(清单台账!$AE128=1,清单台账!$W128,""),"")</f>
        <v/>
      </c>
      <c r="X127" s="46" t="str">
        <f>IF($F127&lt;&gt;"",IFERROR(MAX($X$5:$X126),0)+1,"")</f>
        <v/>
      </c>
    </row>
    <row r="128" spans="1:24">
      <c r="A128" s="36" t="str">
        <f>IFERROR(IF(清单台账!$AE129=1,清单台账!$A129,""),"")</f>
        <v/>
      </c>
      <c r="B128" s="37" t="str">
        <f>IFERROR(IF(清单台账!$AE129=1,清单台账!$AA129,""),"")</f>
        <v/>
      </c>
      <c r="C128" s="38" t="str">
        <f>IFERROR(IF(清单台账!$AE129=1,清单台账!$AB129,""),"")</f>
        <v/>
      </c>
      <c r="D128" s="37" t="str">
        <f>IFERROR(IF(清单台账!$AE129=1,清单台账!$AC129,""),"")</f>
        <v/>
      </c>
      <c r="E128" s="37" t="str">
        <f>IFERROR(IF(清单台账!$AE129=1,清单台账!$AD129,""),"")</f>
        <v/>
      </c>
      <c r="F128" s="37" t="str">
        <f>IFERROR(IF(清单台账!$AE129=1,清单台账!$F129,""),"")</f>
        <v/>
      </c>
      <c r="G128" s="37" t="str">
        <f>IFERROR(IF(清单台账!$AE129=1,清单台账!$G129,""),"")</f>
        <v/>
      </c>
      <c r="H128" s="37" t="str">
        <f>IFERROR(IF(清单台账!$AE129=1,清单台账!$H129,""),"")</f>
        <v/>
      </c>
      <c r="I128" s="37" t="str">
        <f>IFERROR(IF(清单台账!$AE129=1,清单台账!$I129,""),"")</f>
        <v/>
      </c>
      <c r="J128" s="37" t="str">
        <f>IFERROR(IF(清单台账!$AE129=1,清单台账!$J129,""),"")</f>
        <v/>
      </c>
      <c r="K128" s="37" t="str">
        <f>IFERROR(IF(清单台账!$AE129=1,清单台账!$K129,""),"")</f>
        <v/>
      </c>
      <c r="L128" s="37" t="str">
        <f>IFERROR(IF(清单台账!$AE129=1,清单台账!$L129,""),"")</f>
        <v/>
      </c>
      <c r="M128" s="37" t="str">
        <f>IFERROR(IF(清单台账!$AE129=1,清单台账!$M129,""),"")</f>
        <v/>
      </c>
      <c r="N128" s="37" t="str">
        <f>IFERROR(IF(清单台账!$AE129=1,清单台账!$N129,""),"")</f>
        <v/>
      </c>
      <c r="O128" s="37" t="str">
        <f>IFERROR(IF(清单台账!$AE129=1,清单台账!$O129,""),"")</f>
        <v/>
      </c>
      <c r="P128" s="39" t="str">
        <f>IFERROR(IF(清单台账!$AE129=1,清单台账!$P129,""),"")</f>
        <v/>
      </c>
      <c r="Q128" s="39" t="str">
        <f>IFERROR(IF(清单台账!$AE129=1,清单台账!$Q129,""),"")</f>
        <v/>
      </c>
      <c r="R128" s="39" t="str">
        <f>IFERROR(IF(清单台账!$AE129=1,清单台账!$R129,""),"")</f>
        <v/>
      </c>
      <c r="S128" s="37" t="str">
        <f>IFERROR(IF(清单台账!$AE129=1,清单台账!$S129,""),"")</f>
        <v/>
      </c>
      <c r="T128" s="37" t="str">
        <f>IFERROR(IF(清单台账!$AE129=1,清单台账!$T129,""),"")</f>
        <v/>
      </c>
      <c r="U128" s="37" t="str">
        <f>IFERROR(IF(清单台账!$AE129=1,清单台账!$U129,""),"")</f>
        <v/>
      </c>
      <c r="V128" s="38" t="str">
        <f>IFERROR(IF(清单台账!$AE129=1,清单台账!$V129,""),"")</f>
        <v/>
      </c>
      <c r="W128" s="40" t="str">
        <f>IFERROR(IF(清单台账!$AE129=1,清单台账!$W129,""),"")</f>
        <v/>
      </c>
      <c r="X128" s="46" t="str">
        <f>IF($F128&lt;&gt;"",IFERROR(MAX($X$5:$X127),0)+1,"")</f>
        <v/>
      </c>
    </row>
    <row r="129" spans="1:24">
      <c r="A129" s="36" t="str">
        <f>IFERROR(IF(清单台账!$AE130=1,清单台账!$A130,""),"")</f>
        <v/>
      </c>
      <c r="B129" s="37" t="str">
        <f>IFERROR(IF(清单台账!$AE130=1,清单台账!$AA130,""),"")</f>
        <v/>
      </c>
      <c r="C129" s="38" t="str">
        <f>IFERROR(IF(清单台账!$AE130=1,清单台账!$AB130,""),"")</f>
        <v/>
      </c>
      <c r="D129" s="37" t="str">
        <f>IFERROR(IF(清单台账!$AE130=1,清单台账!$AC130,""),"")</f>
        <v/>
      </c>
      <c r="E129" s="37" t="str">
        <f>IFERROR(IF(清单台账!$AE130=1,清单台账!$AD130,""),"")</f>
        <v/>
      </c>
      <c r="F129" s="37" t="str">
        <f>IFERROR(IF(清单台账!$AE130=1,清单台账!$F130,""),"")</f>
        <v/>
      </c>
      <c r="G129" s="37" t="str">
        <f>IFERROR(IF(清单台账!$AE130=1,清单台账!$G130,""),"")</f>
        <v/>
      </c>
      <c r="H129" s="37" t="str">
        <f>IFERROR(IF(清单台账!$AE130=1,清单台账!$H130,""),"")</f>
        <v/>
      </c>
      <c r="I129" s="37" t="str">
        <f>IFERROR(IF(清单台账!$AE130=1,清单台账!$I130,""),"")</f>
        <v/>
      </c>
      <c r="J129" s="37" t="str">
        <f>IFERROR(IF(清单台账!$AE130=1,清单台账!$J130,""),"")</f>
        <v/>
      </c>
      <c r="K129" s="37" t="str">
        <f>IFERROR(IF(清单台账!$AE130=1,清单台账!$K130,""),"")</f>
        <v/>
      </c>
      <c r="L129" s="37" t="str">
        <f>IFERROR(IF(清单台账!$AE130=1,清单台账!$L130,""),"")</f>
        <v/>
      </c>
      <c r="M129" s="37" t="str">
        <f>IFERROR(IF(清单台账!$AE130=1,清单台账!$M130,""),"")</f>
        <v/>
      </c>
      <c r="N129" s="37" t="str">
        <f>IFERROR(IF(清单台账!$AE130=1,清单台账!$N130,""),"")</f>
        <v/>
      </c>
      <c r="O129" s="37" t="str">
        <f>IFERROR(IF(清单台账!$AE130=1,清单台账!$O130,""),"")</f>
        <v/>
      </c>
      <c r="P129" s="39" t="str">
        <f>IFERROR(IF(清单台账!$AE130=1,清单台账!$P130,""),"")</f>
        <v/>
      </c>
      <c r="Q129" s="39" t="str">
        <f>IFERROR(IF(清单台账!$AE130=1,清单台账!$Q130,""),"")</f>
        <v/>
      </c>
      <c r="R129" s="39" t="str">
        <f>IFERROR(IF(清单台账!$AE130=1,清单台账!$R130,""),"")</f>
        <v/>
      </c>
      <c r="S129" s="37" t="str">
        <f>IFERROR(IF(清单台账!$AE130=1,清单台账!$S130,""),"")</f>
        <v/>
      </c>
      <c r="T129" s="37" t="str">
        <f>IFERROR(IF(清单台账!$AE130=1,清单台账!$T130,""),"")</f>
        <v/>
      </c>
      <c r="U129" s="37" t="str">
        <f>IFERROR(IF(清单台账!$AE130=1,清单台账!$U130,""),"")</f>
        <v/>
      </c>
      <c r="V129" s="38" t="str">
        <f>IFERROR(IF(清单台账!$AE130=1,清单台账!$V130,""),"")</f>
        <v/>
      </c>
      <c r="W129" s="40" t="str">
        <f>IFERROR(IF(清单台账!$AE130=1,清单台账!$W130,""),"")</f>
        <v/>
      </c>
      <c r="X129" s="46" t="str">
        <f>IF($F129&lt;&gt;"",IFERROR(MAX($X$5:$X128),0)+1,"")</f>
        <v/>
      </c>
    </row>
    <row r="130" spans="1:24">
      <c r="A130" s="36" t="str">
        <f>IFERROR(IF(清单台账!$AE131=1,清单台账!$A131,""),"")</f>
        <v/>
      </c>
      <c r="B130" s="37" t="str">
        <f>IFERROR(IF(清单台账!$AE131=1,清单台账!$AA131,""),"")</f>
        <v/>
      </c>
      <c r="C130" s="38" t="str">
        <f>IFERROR(IF(清单台账!$AE131=1,清单台账!$AB131,""),"")</f>
        <v/>
      </c>
      <c r="D130" s="37" t="str">
        <f>IFERROR(IF(清单台账!$AE131=1,清单台账!$AC131,""),"")</f>
        <v/>
      </c>
      <c r="E130" s="37" t="str">
        <f>IFERROR(IF(清单台账!$AE131=1,清单台账!$AD131,""),"")</f>
        <v/>
      </c>
      <c r="F130" s="37" t="str">
        <f>IFERROR(IF(清单台账!$AE131=1,清单台账!$F131,""),"")</f>
        <v/>
      </c>
      <c r="G130" s="37" t="str">
        <f>IFERROR(IF(清单台账!$AE131=1,清单台账!$G131,""),"")</f>
        <v/>
      </c>
      <c r="H130" s="37" t="str">
        <f>IFERROR(IF(清单台账!$AE131=1,清单台账!$H131,""),"")</f>
        <v/>
      </c>
      <c r="I130" s="37" t="str">
        <f>IFERROR(IF(清单台账!$AE131=1,清单台账!$I131,""),"")</f>
        <v/>
      </c>
      <c r="J130" s="37" t="str">
        <f>IFERROR(IF(清单台账!$AE131=1,清单台账!$J131,""),"")</f>
        <v/>
      </c>
      <c r="K130" s="37" t="str">
        <f>IFERROR(IF(清单台账!$AE131=1,清单台账!$K131,""),"")</f>
        <v/>
      </c>
      <c r="L130" s="37" t="str">
        <f>IFERROR(IF(清单台账!$AE131=1,清单台账!$L131,""),"")</f>
        <v/>
      </c>
      <c r="M130" s="37" t="str">
        <f>IFERROR(IF(清单台账!$AE131=1,清单台账!$M131,""),"")</f>
        <v/>
      </c>
      <c r="N130" s="37" t="str">
        <f>IFERROR(IF(清单台账!$AE131=1,清单台账!$N131,""),"")</f>
        <v/>
      </c>
      <c r="O130" s="37" t="str">
        <f>IFERROR(IF(清单台账!$AE131=1,清单台账!$O131,""),"")</f>
        <v/>
      </c>
      <c r="P130" s="39" t="str">
        <f>IFERROR(IF(清单台账!$AE131=1,清单台账!$P131,""),"")</f>
        <v/>
      </c>
      <c r="Q130" s="39" t="str">
        <f>IFERROR(IF(清单台账!$AE131=1,清单台账!$Q131,""),"")</f>
        <v/>
      </c>
      <c r="R130" s="39" t="str">
        <f>IFERROR(IF(清单台账!$AE131=1,清单台账!$R131,""),"")</f>
        <v/>
      </c>
      <c r="S130" s="37" t="str">
        <f>IFERROR(IF(清单台账!$AE131=1,清单台账!$S131,""),"")</f>
        <v/>
      </c>
      <c r="T130" s="37" t="str">
        <f>IFERROR(IF(清单台账!$AE131=1,清单台账!$T131,""),"")</f>
        <v/>
      </c>
      <c r="U130" s="37" t="str">
        <f>IFERROR(IF(清单台账!$AE131=1,清单台账!$U131,""),"")</f>
        <v/>
      </c>
      <c r="V130" s="38" t="str">
        <f>IFERROR(IF(清单台账!$AE131=1,清单台账!$V131,""),"")</f>
        <v/>
      </c>
      <c r="W130" s="40" t="str">
        <f>IFERROR(IF(清单台账!$AE131=1,清单台账!$W131,""),"")</f>
        <v/>
      </c>
      <c r="X130" s="46" t="str">
        <f>IF($F130&lt;&gt;"",IFERROR(MAX($X$5:$X129),0)+1,"")</f>
        <v/>
      </c>
    </row>
    <row r="131" spans="1:24">
      <c r="A131" s="36" t="str">
        <f>IFERROR(IF(清单台账!$AE132=1,清单台账!$A132,""),"")</f>
        <v/>
      </c>
      <c r="B131" s="37" t="str">
        <f>IFERROR(IF(清单台账!$AE132=1,清单台账!$AA132,""),"")</f>
        <v/>
      </c>
      <c r="C131" s="38" t="str">
        <f>IFERROR(IF(清单台账!$AE132=1,清单台账!$AB132,""),"")</f>
        <v/>
      </c>
      <c r="D131" s="37" t="str">
        <f>IFERROR(IF(清单台账!$AE132=1,清单台账!$AC132,""),"")</f>
        <v/>
      </c>
      <c r="E131" s="37" t="str">
        <f>IFERROR(IF(清单台账!$AE132=1,清单台账!$AD132,""),"")</f>
        <v/>
      </c>
      <c r="F131" s="37" t="str">
        <f>IFERROR(IF(清单台账!$AE132=1,清单台账!$F132,""),"")</f>
        <v/>
      </c>
      <c r="G131" s="37" t="str">
        <f>IFERROR(IF(清单台账!$AE132=1,清单台账!$G132,""),"")</f>
        <v/>
      </c>
      <c r="H131" s="37" t="str">
        <f>IFERROR(IF(清单台账!$AE132=1,清单台账!$H132,""),"")</f>
        <v/>
      </c>
      <c r="I131" s="37" t="str">
        <f>IFERROR(IF(清单台账!$AE132=1,清单台账!$I132,""),"")</f>
        <v/>
      </c>
      <c r="J131" s="37" t="str">
        <f>IFERROR(IF(清单台账!$AE132=1,清单台账!$J132,""),"")</f>
        <v/>
      </c>
      <c r="K131" s="37" t="str">
        <f>IFERROR(IF(清单台账!$AE132=1,清单台账!$K132,""),"")</f>
        <v/>
      </c>
      <c r="L131" s="37" t="str">
        <f>IFERROR(IF(清单台账!$AE132=1,清单台账!$L132,""),"")</f>
        <v/>
      </c>
      <c r="M131" s="37" t="str">
        <f>IFERROR(IF(清单台账!$AE132=1,清单台账!$M132,""),"")</f>
        <v/>
      </c>
      <c r="N131" s="37" t="str">
        <f>IFERROR(IF(清单台账!$AE132=1,清单台账!$N132,""),"")</f>
        <v/>
      </c>
      <c r="O131" s="37" t="str">
        <f>IFERROR(IF(清单台账!$AE132=1,清单台账!$O132,""),"")</f>
        <v/>
      </c>
      <c r="P131" s="39" t="str">
        <f>IFERROR(IF(清单台账!$AE132=1,清单台账!$P132,""),"")</f>
        <v/>
      </c>
      <c r="Q131" s="39" t="str">
        <f>IFERROR(IF(清单台账!$AE132=1,清单台账!$Q132,""),"")</f>
        <v/>
      </c>
      <c r="R131" s="39" t="str">
        <f>IFERROR(IF(清单台账!$AE132=1,清单台账!$R132,""),"")</f>
        <v/>
      </c>
      <c r="S131" s="37" t="str">
        <f>IFERROR(IF(清单台账!$AE132=1,清单台账!$S132,""),"")</f>
        <v/>
      </c>
      <c r="T131" s="37" t="str">
        <f>IFERROR(IF(清单台账!$AE132=1,清单台账!$T132,""),"")</f>
        <v/>
      </c>
      <c r="U131" s="37" t="str">
        <f>IFERROR(IF(清单台账!$AE132=1,清单台账!$U132,""),"")</f>
        <v/>
      </c>
      <c r="V131" s="38" t="str">
        <f>IFERROR(IF(清单台账!$AE132=1,清单台账!$V132,""),"")</f>
        <v/>
      </c>
      <c r="W131" s="40" t="str">
        <f>IFERROR(IF(清单台账!$AE132=1,清单台账!$W132,""),"")</f>
        <v/>
      </c>
      <c r="X131" s="46" t="str">
        <f>IF($F131&lt;&gt;"",IFERROR(MAX($X$5:$X130),0)+1,"")</f>
        <v/>
      </c>
    </row>
    <row r="132" spans="1:24">
      <c r="A132" s="36" t="str">
        <f>IFERROR(IF(清单台账!$AE133=1,清单台账!$A133,""),"")</f>
        <v/>
      </c>
      <c r="B132" s="37" t="str">
        <f>IFERROR(IF(清单台账!$AE133=1,清单台账!$AA133,""),"")</f>
        <v/>
      </c>
      <c r="C132" s="38" t="str">
        <f>IFERROR(IF(清单台账!$AE133=1,清单台账!$AB133,""),"")</f>
        <v/>
      </c>
      <c r="D132" s="37" t="str">
        <f>IFERROR(IF(清单台账!$AE133=1,清单台账!$AC133,""),"")</f>
        <v/>
      </c>
      <c r="E132" s="37" t="str">
        <f>IFERROR(IF(清单台账!$AE133=1,清单台账!$AD133,""),"")</f>
        <v/>
      </c>
      <c r="F132" s="37" t="str">
        <f>IFERROR(IF(清单台账!$AE133=1,清单台账!$F133,""),"")</f>
        <v/>
      </c>
      <c r="G132" s="37" t="str">
        <f>IFERROR(IF(清单台账!$AE133=1,清单台账!$G133,""),"")</f>
        <v/>
      </c>
      <c r="H132" s="37" t="str">
        <f>IFERROR(IF(清单台账!$AE133=1,清单台账!$H133,""),"")</f>
        <v/>
      </c>
      <c r="I132" s="37" t="str">
        <f>IFERROR(IF(清单台账!$AE133=1,清单台账!$I133,""),"")</f>
        <v/>
      </c>
      <c r="J132" s="37" t="str">
        <f>IFERROR(IF(清单台账!$AE133=1,清单台账!$J133,""),"")</f>
        <v/>
      </c>
      <c r="K132" s="37" t="str">
        <f>IFERROR(IF(清单台账!$AE133=1,清单台账!$K133,""),"")</f>
        <v/>
      </c>
      <c r="L132" s="37" t="str">
        <f>IFERROR(IF(清单台账!$AE133=1,清单台账!$L133,""),"")</f>
        <v/>
      </c>
      <c r="M132" s="37" t="str">
        <f>IFERROR(IF(清单台账!$AE133=1,清单台账!$M133,""),"")</f>
        <v/>
      </c>
      <c r="N132" s="37" t="str">
        <f>IFERROR(IF(清单台账!$AE133=1,清单台账!$N133,""),"")</f>
        <v/>
      </c>
      <c r="O132" s="37" t="str">
        <f>IFERROR(IF(清单台账!$AE133=1,清单台账!$O133,""),"")</f>
        <v/>
      </c>
      <c r="P132" s="39" t="str">
        <f>IFERROR(IF(清单台账!$AE133=1,清单台账!$P133,""),"")</f>
        <v/>
      </c>
      <c r="Q132" s="39" t="str">
        <f>IFERROR(IF(清单台账!$AE133=1,清单台账!$Q133,""),"")</f>
        <v/>
      </c>
      <c r="R132" s="39" t="str">
        <f>IFERROR(IF(清单台账!$AE133=1,清单台账!$R133,""),"")</f>
        <v/>
      </c>
      <c r="S132" s="37" t="str">
        <f>IFERROR(IF(清单台账!$AE133=1,清单台账!$S133,""),"")</f>
        <v/>
      </c>
      <c r="T132" s="37" t="str">
        <f>IFERROR(IF(清单台账!$AE133=1,清单台账!$T133,""),"")</f>
        <v/>
      </c>
      <c r="U132" s="37" t="str">
        <f>IFERROR(IF(清单台账!$AE133=1,清单台账!$U133,""),"")</f>
        <v/>
      </c>
      <c r="V132" s="38" t="str">
        <f>IFERROR(IF(清单台账!$AE133=1,清单台账!$V133,""),"")</f>
        <v/>
      </c>
      <c r="W132" s="40" t="str">
        <f>IFERROR(IF(清单台账!$AE133=1,清单台账!$W133,""),"")</f>
        <v/>
      </c>
      <c r="X132" s="46" t="str">
        <f>IF($F132&lt;&gt;"",IFERROR(MAX($X$5:$X131),0)+1,"")</f>
        <v/>
      </c>
    </row>
    <row r="133" spans="1:24">
      <c r="A133" s="36" t="str">
        <f>IFERROR(IF(清单台账!$AE134=1,清单台账!$A134,""),"")</f>
        <v/>
      </c>
      <c r="B133" s="37" t="str">
        <f>IFERROR(IF(清单台账!$AE134=1,清单台账!$AA134,""),"")</f>
        <v/>
      </c>
      <c r="C133" s="38" t="str">
        <f>IFERROR(IF(清单台账!$AE134=1,清单台账!$AB134,""),"")</f>
        <v/>
      </c>
      <c r="D133" s="37" t="str">
        <f>IFERROR(IF(清单台账!$AE134=1,清单台账!$AC134,""),"")</f>
        <v/>
      </c>
      <c r="E133" s="37" t="str">
        <f>IFERROR(IF(清单台账!$AE134=1,清单台账!$AD134,""),"")</f>
        <v/>
      </c>
      <c r="F133" s="37" t="str">
        <f>IFERROR(IF(清单台账!$AE134=1,清单台账!$F134,""),"")</f>
        <v/>
      </c>
      <c r="G133" s="37" t="str">
        <f>IFERROR(IF(清单台账!$AE134=1,清单台账!$G134,""),"")</f>
        <v/>
      </c>
      <c r="H133" s="37" t="str">
        <f>IFERROR(IF(清单台账!$AE134=1,清单台账!$H134,""),"")</f>
        <v/>
      </c>
      <c r="I133" s="37" t="str">
        <f>IFERROR(IF(清单台账!$AE134=1,清单台账!$I134,""),"")</f>
        <v/>
      </c>
      <c r="J133" s="37" t="str">
        <f>IFERROR(IF(清单台账!$AE134=1,清单台账!$J134,""),"")</f>
        <v/>
      </c>
      <c r="K133" s="37" t="str">
        <f>IFERROR(IF(清单台账!$AE134=1,清单台账!$K134,""),"")</f>
        <v/>
      </c>
      <c r="L133" s="37" t="str">
        <f>IFERROR(IF(清单台账!$AE134=1,清单台账!$L134,""),"")</f>
        <v/>
      </c>
      <c r="M133" s="37" t="str">
        <f>IFERROR(IF(清单台账!$AE134=1,清单台账!$M134,""),"")</f>
        <v/>
      </c>
      <c r="N133" s="37" t="str">
        <f>IFERROR(IF(清单台账!$AE134=1,清单台账!$N134,""),"")</f>
        <v/>
      </c>
      <c r="O133" s="37" t="str">
        <f>IFERROR(IF(清单台账!$AE134=1,清单台账!$O134,""),"")</f>
        <v/>
      </c>
      <c r="P133" s="39" t="str">
        <f>IFERROR(IF(清单台账!$AE134=1,清单台账!$P134,""),"")</f>
        <v/>
      </c>
      <c r="Q133" s="39" t="str">
        <f>IFERROR(IF(清单台账!$AE134=1,清单台账!$Q134,""),"")</f>
        <v/>
      </c>
      <c r="R133" s="39" t="str">
        <f>IFERROR(IF(清单台账!$AE134=1,清单台账!$R134,""),"")</f>
        <v/>
      </c>
      <c r="S133" s="37" t="str">
        <f>IFERROR(IF(清单台账!$AE134=1,清单台账!$S134,""),"")</f>
        <v/>
      </c>
      <c r="T133" s="37" t="str">
        <f>IFERROR(IF(清单台账!$AE134=1,清单台账!$T134,""),"")</f>
        <v/>
      </c>
      <c r="U133" s="37" t="str">
        <f>IFERROR(IF(清单台账!$AE134=1,清单台账!$U134,""),"")</f>
        <v/>
      </c>
      <c r="V133" s="38" t="str">
        <f>IFERROR(IF(清单台账!$AE134=1,清单台账!$V134,""),"")</f>
        <v/>
      </c>
      <c r="W133" s="40" t="str">
        <f>IFERROR(IF(清单台账!$AE134=1,清单台账!$W134,""),"")</f>
        <v/>
      </c>
      <c r="X133" s="46" t="str">
        <f>IF($F133&lt;&gt;"",IFERROR(MAX($X$5:$X132),0)+1,"")</f>
        <v/>
      </c>
    </row>
    <row r="134" spans="1:24">
      <c r="A134" s="36" t="str">
        <f>IFERROR(IF(清单台账!$AE135=1,清单台账!$A135,""),"")</f>
        <v/>
      </c>
      <c r="B134" s="37" t="str">
        <f>IFERROR(IF(清单台账!$AE135=1,清单台账!$AA135,""),"")</f>
        <v/>
      </c>
      <c r="C134" s="38" t="str">
        <f>IFERROR(IF(清单台账!$AE135=1,清单台账!$AB135,""),"")</f>
        <v/>
      </c>
      <c r="D134" s="37" t="str">
        <f>IFERROR(IF(清单台账!$AE135=1,清单台账!$AC135,""),"")</f>
        <v/>
      </c>
      <c r="E134" s="37" t="str">
        <f>IFERROR(IF(清单台账!$AE135=1,清单台账!$AD135,""),"")</f>
        <v/>
      </c>
      <c r="F134" s="37" t="str">
        <f>IFERROR(IF(清单台账!$AE135=1,清单台账!$F135,""),"")</f>
        <v/>
      </c>
      <c r="G134" s="37" t="str">
        <f>IFERROR(IF(清单台账!$AE135=1,清单台账!$G135,""),"")</f>
        <v/>
      </c>
      <c r="H134" s="37" t="str">
        <f>IFERROR(IF(清单台账!$AE135=1,清单台账!$H135,""),"")</f>
        <v/>
      </c>
      <c r="I134" s="37" t="str">
        <f>IFERROR(IF(清单台账!$AE135=1,清单台账!$I135,""),"")</f>
        <v/>
      </c>
      <c r="J134" s="37" t="str">
        <f>IFERROR(IF(清单台账!$AE135=1,清单台账!$J135,""),"")</f>
        <v/>
      </c>
      <c r="K134" s="37" t="str">
        <f>IFERROR(IF(清单台账!$AE135=1,清单台账!$K135,""),"")</f>
        <v/>
      </c>
      <c r="L134" s="37" t="str">
        <f>IFERROR(IF(清单台账!$AE135=1,清单台账!$L135,""),"")</f>
        <v/>
      </c>
      <c r="M134" s="37" t="str">
        <f>IFERROR(IF(清单台账!$AE135=1,清单台账!$M135,""),"")</f>
        <v/>
      </c>
      <c r="N134" s="37" t="str">
        <f>IFERROR(IF(清单台账!$AE135=1,清单台账!$N135,""),"")</f>
        <v/>
      </c>
      <c r="O134" s="37" t="str">
        <f>IFERROR(IF(清单台账!$AE135=1,清单台账!$O135,""),"")</f>
        <v/>
      </c>
      <c r="P134" s="39" t="str">
        <f>IFERROR(IF(清单台账!$AE135=1,清单台账!$P135,""),"")</f>
        <v/>
      </c>
      <c r="Q134" s="39" t="str">
        <f>IFERROR(IF(清单台账!$AE135=1,清单台账!$Q135,""),"")</f>
        <v/>
      </c>
      <c r="R134" s="39" t="str">
        <f>IFERROR(IF(清单台账!$AE135=1,清单台账!$R135,""),"")</f>
        <v/>
      </c>
      <c r="S134" s="37" t="str">
        <f>IFERROR(IF(清单台账!$AE135=1,清单台账!$S135,""),"")</f>
        <v/>
      </c>
      <c r="T134" s="37" t="str">
        <f>IFERROR(IF(清单台账!$AE135=1,清单台账!$T135,""),"")</f>
        <v/>
      </c>
      <c r="U134" s="37" t="str">
        <f>IFERROR(IF(清单台账!$AE135=1,清单台账!$U135,""),"")</f>
        <v/>
      </c>
      <c r="V134" s="38" t="str">
        <f>IFERROR(IF(清单台账!$AE135=1,清单台账!$V135,""),"")</f>
        <v/>
      </c>
      <c r="W134" s="40" t="str">
        <f>IFERROR(IF(清单台账!$AE135=1,清单台账!$W135,""),"")</f>
        <v/>
      </c>
      <c r="X134" s="46" t="str">
        <f>IF($F134&lt;&gt;"",IFERROR(MAX($X$5:$X133),0)+1,"")</f>
        <v/>
      </c>
    </row>
    <row r="135" spans="1:24">
      <c r="A135" s="36" t="str">
        <f>IFERROR(IF(清单台账!$AE136=1,清单台账!$A136,""),"")</f>
        <v/>
      </c>
      <c r="B135" s="37" t="str">
        <f>IFERROR(IF(清单台账!$AE136=1,清单台账!$AA136,""),"")</f>
        <v/>
      </c>
      <c r="C135" s="38" t="str">
        <f>IFERROR(IF(清单台账!$AE136=1,清单台账!$AB136,""),"")</f>
        <v/>
      </c>
      <c r="D135" s="37" t="str">
        <f>IFERROR(IF(清单台账!$AE136=1,清单台账!$AC136,""),"")</f>
        <v/>
      </c>
      <c r="E135" s="37" t="str">
        <f>IFERROR(IF(清单台账!$AE136=1,清单台账!$AD136,""),"")</f>
        <v/>
      </c>
      <c r="F135" s="37" t="str">
        <f>IFERROR(IF(清单台账!$AE136=1,清单台账!$F136,""),"")</f>
        <v/>
      </c>
      <c r="G135" s="37" t="str">
        <f>IFERROR(IF(清单台账!$AE136=1,清单台账!$G136,""),"")</f>
        <v/>
      </c>
      <c r="H135" s="37" t="str">
        <f>IFERROR(IF(清单台账!$AE136=1,清单台账!$H136,""),"")</f>
        <v/>
      </c>
      <c r="I135" s="37" t="str">
        <f>IFERROR(IF(清单台账!$AE136=1,清单台账!$I136,""),"")</f>
        <v/>
      </c>
      <c r="J135" s="37" t="str">
        <f>IFERROR(IF(清单台账!$AE136=1,清单台账!$J136,""),"")</f>
        <v/>
      </c>
      <c r="K135" s="37" t="str">
        <f>IFERROR(IF(清单台账!$AE136=1,清单台账!$K136,""),"")</f>
        <v/>
      </c>
      <c r="L135" s="37" t="str">
        <f>IFERROR(IF(清单台账!$AE136=1,清单台账!$L136,""),"")</f>
        <v/>
      </c>
      <c r="M135" s="37" t="str">
        <f>IFERROR(IF(清单台账!$AE136=1,清单台账!$M136,""),"")</f>
        <v/>
      </c>
      <c r="N135" s="37" t="str">
        <f>IFERROR(IF(清单台账!$AE136=1,清单台账!$N136,""),"")</f>
        <v/>
      </c>
      <c r="O135" s="37" t="str">
        <f>IFERROR(IF(清单台账!$AE136=1,清单台账!$O136,""),"")</f>
        <v/>
      </c>
      <c r="P135" s="39" t="str">
        <f>IFERROR(IF(清单台账!$AE136=1,清单台账!$P136,""),"")</f>
        <v/>
      </c>
      <c r="Q135" s="39" t="str">
        <f>IFERROR(IF(清单台账!$AE136=1,清单台账!$Q136,""),"")</f>
        <v/>
      </c>
      <c r="R135" s="39" t="str">
        <f>IFERROR(IF(清单台账!$AE136=1,清单台账!$R136,""),"")</f>
        <v/>
      </c>
      <c r="S135" s="37" t="str">
        <f>IFERROR(IF(清单台账!$AE136=1,清单台账!$S136,""),"")</f>
        <v/>
      </c>
      <c r="T135" s="37" t="str">
        <f>IFERROR(IF(清单台账!$AE136=1,清单台账!$T136,""),"")</f>
        <v/>
      </c>
      <c r="U135" s="37" t="str">
        <f>IFERROR(IF(清单台账!$AE136=1,清单台账!$U136,""),"")</f>
        <v/>
      </c>
      <c r="V135" s="38" t="str">
        <f>IFERROR(IF(清单台账!$AE136=1,清单台账!$V136,""),"")</f>
        <v/>
      </c>
      <c r="W135" s="40" t="str">
        <f>IFERROR(IF(清单台账!$AE136=1,清单台账!$W136,""),"")</f>
        <v/>
      </c>
      <c r="X135" s="46" t="str">
        <f>IF($F135&lt;&gt;"",IFERROR(MAX($X$5:$X134),0)+1,"")</f>
        <v/>
      </c>
    </row>
    <row r="136" spans="1:24">
      <c r="A136" s="36" t="str">
        <f>IFERROR(IF(清单台账!$AE137=1,清单台账!$A137,""),"")</f>
        <v/>
      </c>
      <c r="B136" s="37" t="str">
        <f>IFERROR(IF(清单台账!$AE137=1,清单台账!$AA137,""),"")</f>
        <v/>
      </c>
      <c r="C136" s="38" t="str">
        <f>IFERROR(IF(清单台账!$AE137=1,清单台账!$AB137,""),"")</f>
        <v/>
      </c>
      <c r="D136" s="37" t="str">
        <f>IFERROR(IF(清单台账!$AE137=1,清单台账!$AC137,""),"")</f>
        <v/>
      </c>
      <c r="E136" s="37" t="str">
        <f>IFERROR(IF(清单台账!$AE137=1,清单台账!$AD137,""),"")</f>
        <v/>
      </c>
      <c r="F136" s="37" t="str">
        <f>IFERROR(IF(清单台账!$AE137=1,清单台账!$F137,""),"")</f>
        <v/>
      </c>
      <c r="G136" s="37" t="str">
        <f>IFERROR(IF(清单台账!$AE137=1,清单台账!$G137,""),"")</f>
        <v/>
      </c>
      <c r="H136" s="37" t="str">
        <f>IFERROR(IF(清单台账!$AE137=1,清单台账!$H137,""),"")</f>
        <v/>
      </c>
      <c r="I136" s="37" t="str">
        <f>IFERROR(IF(清单台账!$AE137=1,清单台账!$I137,""),"")</f>
        <v/>
      </c>
      <c r="J136" s="37" t="str">
        <f>IFERROR(IF(清单台账!$AE137=1,清单台账!$J137,""),"")</f>
        <v/>
      </c>
      <c r="K136" s="37" t="str">
        <f>IFERROR(IF(清单台账!$AE137=1,清单台账!$K137,""),"")</f>
        <v/>
      </c>
      <c r="L136" s="37" t="str">
        <f>IFERROR(IF(清单台账!$AE137=1,清单台账!$L137,""),"")</f>
        <v/>
      </c>
      <c r="M136" s="37" t="str">
        <f>IFERROR(IF(清单台账!$AE137=1,清单台账!$M137,""),"")</f>
        <v/>
      </c>
      <c r="N136" s="37" t="str">
        <f>IFERROR(IF(清单台账!$AE137=1,清单台账!$N137,""),"")</f>
        <v/>
      </c>
      <c r="O136" s="37" t="str">
        <f>IFERROR(IF(清单台账!$AE137=1,清单台账!$O137,""),"")</f>
        <v/>
      </c>
      <c r="P136" s="39" t="str">
        <f>IFERROR(IF(清单台账!$AE137=1,清单台账!$P137,""),"")</f>
        <v/>
      </c>
      <c r="Q136" s="39" t="str">
        <f>IFERROR(IF(清单台账!$AE137=1,清单台账!$Q137,""),"")</f>
        <v/>
      </c>
      <c r="R136" s="39" t="str">
        <f>IFERROR(IF(清单台账!$AE137=1,清单台账!$R137,""),"")</f>
        <v/>
      </c>
      <c r="S136" s="37" t="str">
        <f>IFERROR(IF(清单台账!$AE137=1,清单台账!$S137,""),"")</f>
        <v/>
      </c>
      <c r="T136" s="37" t="str">
        <f>IFERROR(IF(清单台账!$AE137=1,清单台账!$T137,""),"")</f>
        <v/>
      </c>
      <c r="U136" s="37" t="str">
        <f>IFERROR(IF(清单台账!$AE137=1,清单台账!$U137,""),"")</f>
        <v/>
      </c>
      <c r="V136" s="38" t="str">
        <f>IFERROR(IF(清单台账!$AE137=1,清单台账!$V137,""),"")</f>
        <v/>
      </c>
      <c r="W136" s="40" t="str">
        <f>IFERROR(IF(清单台账!$AE137=1,清单台账!$W137,""),"")</f>
        <v/>
      </c>
      <c r="X136" s="46" t="str">
        <f>IF($F136&lt;&gt;"",IFERROR(MAX($X$5:$X135),0)+1,"")</f>
        <v/>
      </c>
    </row>
    <row r="137" spans="1:24">
      <c r="A137" s="36" t="str">
        <f>IFERROR(IF(清单台账!$AE138=1,清单台账!$A138,""),"")</f>
        <v/>
      </c>
      <c r="B137" s="37" t="str">
        <f>IFERROR(IF(清单台账!$AE138=1,清单台账!$AA138,""),"")</f>
        <v/>
      </c>
      <c r="C137" s="38" t="str">
        <f>IFERROR(IF(清单台账!$AE138=1,清单台账!$AB138,""),"")</f>
        <v/>
      </c>
      <c r="D137" s="37" t="str">
        <f>IFERROR(IF(清单台账!$AE138=1,清单台账!$AC138,""),"")</f>
        <v/>
      </c>
      <c r="E137" s="37" t="str">
        <f>IFERROR(IF(清单台账!$AE138=1,清单台账!$AD138,""),"")</f>
        <v/>
      </c>
      <c r="F137" s="37" t="str">
        <f>IFERROR(IF(清单台账!$AE138=1,清单台账!$F138,""),"")</f>
        <v/>
      </c>
      <c r="G137" s="37" t="str">
        <f>IFERROR(IF(清单台账!$AE138=1,清单台账!$G138,""),"")</f>
        <v/>
      </c>
      <c r="H137" s="37" t="str">
        <f>IFERROR(IF(清单台账!$AE138=1,清单台账!$H138,""),"")</f>
        <v/>
      </c>
      <c r="I137" s="37" t="str">
        <f>IFERROR(IF(清单台账!$AE138=1,清单台账!$I138,""),"")</f>
        <v/>
      </c>
      <c r="J137" s="37" t="str">
        <f>IFERROR(IF(清单台账!$AE138=1,清单台账!$J138,""),"")</f>
        <v/>
      </c>
      <c r="K137" s="37" t="str">
        <f>IFERROR(IF(清单台账!$AE138=1,清单台账!$K138,""),"")</f>
        <v/>
      </c>
      <c r="L137" s="37" t="str">
        <f>IFERROR(IF(清单台账!$AE138=1,清单台账!$L138,""),"")</f>
        <v/>
      </c>
      <c r="M137" s="37" t="str">
        <f>IFERROR(IF(清单台账!$AE138=1,清单台账!$M138,""),"")</f>
        <v/>
      </c>
      <c r="N137" s="37" t="str">
        <f>IFERROR(IF(清单台账!$AE138=1,清单台账!$N138,""),"")</f>
        <v/>
      </c>
      <c r="O137" s="37" t="str">
        <f>IFERROR(IF(清单台账!$AE138=1,清单台账!$O138,""),"")</f>
        <v/>
      </c>
      <c r="P137" s="39" t="str">
        <f>IFERROR(IF(清单台账!$AE138=1,清单台账!$P138,""),"")</f>
        <v/>
      </c>
      <c r="Q137" s="39" t="str">
        <f>IFERROR(IF(清单台账!$AE138=1,清单台账!$Q138,""),"")</f>
        <v/>
      </c>
      <c r="R137" s="39" t="str">
        <f>IFERROR(IF(清单台账!$AE138=1,清单台账!$R138,""),"")</f>
        <v/>
      </c>
      <c r="S137" s="37" t="str">
        <f>IFERROR(IF(清单台账!$AE138=1,清单台账!$S138,""),"")</f>
        <v/>
      </c>
      <c r="T137" s="37" t="str">
        <f>IFERROR(IF(清单台账!$AE138=1,清单台账!$T138,""),"")</f>
        <v/>
      </c>
      <c r="U137" s="37" t="str">
        <f>IFERROR(IF(清单台账!$AE138=1,清单台账!$U138,""),"")</f>
        <v/>
      </c>
      <c r="V137" s="38" t="str">
        <f>IFERROR(IF(清单台账!$AE138=1,清单台账!$V138,""),"")</f>
        <v/>
      </c>
      <c r="W137" s="40" t="str">
        <f>IFERROR(IF(清单台账!$AE138=1,清单台账!$W138,""),"")</f>
        <v/>
      </c>
      <c r="X137" s="46" t="str">
        <f>IF($F137&lt;&gt;"",IFERROR(MAX($X$5:$X136),0)+1,"")</f>
        <v/>
      </c>
    </row>
    <row r="138" spans="1:24">
      <c r="A138" s="36" t="str">
        <f>IFERROR(IF(清单台账!$AE139=1,清单台账!$A139,""),"")</f>
        <v/>
      </c>
      <c r="B138" s="37" t="str">
        <f>IFERROR(IF(清单台账!$AE139=1,清单台账!$AA139,""),"")</f>
        <v/>
      </c>
      <c r="C138" s="38" t="str">
        <f>IFERROR(IF(清单台账!$AE139=1,清单台账!$AB139,""),"")</f>
        <v/>
      </c>
      <c r="D138" s="37" t="str">
        <f>IFERROR(IF(清单台账!$AE139=1,清单台账!$AC139,""),"")</f>
        <v/>
      </c>
      <c r="E138" s="37" t="str">
        <f>IFERROR(IF(清单台账!$AE139=1,清单台账!$AD139,""),"")</f>
        <v/>
      </c>
      <c r="F138" s="37" t="str">
        <f>IFERROR(IF(清单台账!$AE139=1,清单台账!$F139,""),"")</f>
        <v/>
      </c>
      <c r="G138" s="37" t="str">
        <f>IFERROR(IF(清单台账!$AE139=1,清单台账!$G139,""),"")</f>
        <v/>
      </c>
      <c r="H138" s="37" t="str">
        <f>IFERROR(IF(清单台账!$AE139=1,清单台账!$H139,""),"")</f>
        <v/>
      </c>
      <c r="I138" s="37" t="str">
        <f>IFERROR(IF(清单台账!$AE139=1,清单台账!$I139,""),"")</f>
        <v/>
      </c>
      <c r="J138" s="37" t="str">
        <f>IFERROR(IF(清单台账!$AE139=1,清单台账!$J139,""),"")</f>
        <v/>
      </c>
      <c r="K138" s="37" t="str">
        <f>IFERROR(IF(清单台账!$AE139=1,清单台账!$K139,""),"")</f>
        <v/>
      </c>
      <c r="L138" s="37" t="str">
        <f>IFERROR(IF(清单台账!$AE139=1,清单台账!$L139,""),"")</f>
        <v/>
      </c>
      <c r="M138" s="37" t="str">
        <f>IFERROR(IF(清单台账!$AE139=1,清单台账!$M139,""),"")</f>
        <v/>
      </c>
      <c r="N138" s="37" t="str">
        <f>IFERROR(IF(清单台账!$AE139=1,清单台账!$N139,""),"")</f>
        <v/>
      </c>
      <c r="O138" s="37" t="str">
        <f>IFERROR(IF(清单台账!$AE139=1,清单台账!$O139,""),"")</f>
        <v/>
      </c>
      <c r="P138" s="39" t="str">
        <f>IFERROR(IF(清单台账!$AE139=1,清单台账!$P139,""),"")</f>
        <v/>
      </c>
      <c r="Q138" s="39" t="str">
        <f>IFERROR(IF(清单台账!$AE139=1,清单台账!$Q139,""),"")</f>
        <v/>
      </c>
      <c r="R138" s="39" t="str">
        <f>IFERROR(IF(清单台账!$AE139=1,清单台账!$R139,""),"")</f>
        <v/>
      </c>
      <c r="S138" s="37" t="str">
        <f>IFERROR(IF(清单台账!$AE139=1,清单台账!$S139,""),"")</f>
        <v/>
      </c>
      <c r="T138" s="37" t="str">
        <f>IFERROR(IF(清单台账!$AE139=1,清单台账!$T139,""),"")</f>
        <v/>
      </c>
      <c r="U138" s="37" t="str">
        <f>IFERROR(IF(清单台账!$AE139=1,清单台账!$U139,""),"")</f>
        <v/>
      </c>
      <c r="V138" s="38" t="str">
        <f>IFERROR(IF(清单台账!$AE139=1,清单台账!$V139,""),"")</f>
        <v/>
      </c>
      <c r="W138" s="40" t="str">
        <f>IFERROR(IF(清单台账!$AE139=1,清单台账!$W139,""),"")</f>
        <v/>
      </c>
      <c r="X138" s="46" t="str">
        <f>IF($F138&lt;&gt;"",IFERROR(MAX($X$5:$X137),0)+1,"")</f>
        <v/>
      </c>
    </row>
    <row r="139" spans="1:24">
      <c r="A139" s="36" t="str">
        <f>IFERROR(IF(清单台账!$AE140=1,清单台账!$A140,""),"")</f>
        <v/>
      </c>
      <c r="B139" s="37" t="str">
        <f>IFERROR(IF(清单台账!$AE140=1,清单台账!$AA140,""),"")</f>
        <v/>
      </c>
      <c r="C139" s="38" t="str">
        <f>IFERROR(IF(清单台账!$AE140=1,清单台账!$AB140,""),"")</f>
        <v/>
      </c>
      <c r="D139" s="37" t="str">
        <f>IFERROR(IF(清单台账!$AE140=1,清单台账!$AC140,""),"")</f>
        <v/>
      </c>
      <c r="E139" s="37" t="str">
        <f>IFERROR(IF(清单台账!$AE140=1,清单台账!$AD140,""),"")</f>
        <v/>
      </c>
      <c r="F139" s="37" t="str">
        <f>IFERROR(IF(清单台账!$AE140=1,清单台账!$F140,""),"")</f>
        <v/>
      </c>
      <c r="G139" s="37" t="str">
        <f>IFERROR(IF(清单台账!$AE140=1,清单台账!$G140,""),"")</f>
        <v/>
      </c>
      <c r="H139" s="37" t="str">
        <f>IFERROR(IF(清单台账!$AE140=1,清单台账!$H140,""),"")</f>
        <v/>
      </c>
      <c r="I139" s="37" t="str">
        <f>IFERROR(IF(清单台账!$AE140=1,清单台账!$I140,""),"")</f>
        <v/>
      </c>
      <c r="J139" s="37" t="str">
        <f>IFERROR(IF(清单台账!$AE140=1,清单台账!$J140,""),"")</f>
        <v/>
      </c>
      <c r="K139" s="37" t="str">
        <f>IFERROR(IF(清单台账!$AE140=1,清单台账!$K140,""),"")</f>
        <v/>
      </c>
      <c r="L139" s="37" t="str">
        <f>IFERROR(IF(清单台账!$AE140=1,清单台账!$L140,""),"")</f>
        <v/>
      </c>
      <c r="M139" s="37" t="str">
        <f>IFERROR(IF(清单台账!$AE140=1,清单台账!$M140,""),"")</f>
        <v/>
      </c>
      <c r="N139" s="37" t="str">
        <f>IFERROR(IF(清单台账!$AE140=1,清单台账!$N140,""),"")</f>
        <v/>
      </c>
      <c r="O139" s="37" t="str">
        <f>IFERROR(IF(清单台账!$AE140=1,清单台账!$O140,""),"")</f>
        <v/>
      </c>
      <c r="P139" s="39" t="str">
        <f>IFERROR(IF(清单台账!$AE140=1,清单台账!$P140,""),"")</f>
        <v/>
      </c>
      <c r="Q139" s="39" t="str">
        <f>IFERROR(IF(清单台账!$AE140=1,清单台账!$Q140,""),"")</f>
        <v/>
      </c>
      <c r="R139" s="39" t="str">
        <f>IFERROR(IF(清单台账!$AE140=1,清单台账!$R140,""),"")</f>
        <v/>
      </c>
      <c r="S139" s="37" t="str">
        <f>IFERROR(IF(清单台账!$AE140=1,清单台账!$S140,""),"")</f>
        <v/>
      </c>
      <c r="T139" s="37" t="str">
        <f>IFERROR(IF(清单台账!$AE140=1,清单台账!$T140,""),"")</f>
        <v/>
      </c>
      <c r="U139" s="37" t="str">
        <f>IFERROR(IF(清单台账!$AE140=1,清单台账!$U140,""),"")</f>
        <v/>
      </c>
      <c r="V139" s="38" t="str">
        <f>IFERROR(IF(清单台账!$AE140=1,清单台账!$V140,""),"")</f>
        <v/>
      </c>
      <c r="W139" s="40" t="str">
        <f>IFERROR(IF(清单台账!$AE140=1,清单台账!$W140,""),"")</f>
        <v/>
      </c>
      <c r="X139" s="46" t="str">
        <f>IF($F139&lt;&gt;"",IFERROR(MAX($X$5:$X138),0)+1,"")</f>
        <v/>
      </c>
    </row>
    <row r="140" spans="1:24">
      <c r="A140" s="36" t="str">
        <f>IFERROR(IF(清单台账!$AE141=1,清单台账!$A141,""),"")</f>
        <v/>
      </c>
      <c r="B140" s="37" t="str">
        <f>IFERROR(IF(清单台账!$AE141=1,清单台账!$AA141,""),"")</f>
        <v/>
      </c>
      <c r="C140" s="38" t="str">
        <f>IFERROR(IF(清单台账!$AE141=1,清单台账!$AB141,""),"")</f>
        <v/>
      </c>
      <c r="D140" s="37" t="str">
        <f>IFERROR(IF(清单台账!$AE141=1,清单台账!$AC141,""),"")</f>
        <v/>
      </c>
      <c r="E140" s="37" t="str">
        <f>IFERROR(IF(清单台账!$AE141=1,清单台账!$AD141,""),"")</f>
        <v/>
      </c>
      <c r="F140" s="37" t="str">
        <f>IFERROR(IF(清单台账!$AE141=1,清单台账!$F141,""),"")</f>
        <v/>
      </c>
      <c r="G140" s="37" t="str">
        <f>IFERROR(IF(清单台账!$AE141=1,清单台账!$G141,""),"")</f>
        <v/>
      </c>
      <c r="H140" s="37" t="str">
        <f>IFERROR(IF(清单台账!$AE141=1,清单台账!$H141,""),"")</f>
        <v/>
      </c>
      <c r="I140" s="37" t="str">
        <f>IFERROR(IF(清单台账!$AE141=1,清单台账!$I141,""),"")</f>
        <v/>
      </c>
      <c r="J140" s="37" t="str">
        <f>IFERROR(IF(清单台账!$AE141=1,清单台账!$J141,""),"")</f>
        <v/>
      </c>
      <c r="K140" s="37" t="str">
        <f>IFERROR(IF(清单台账!$AE141=1,清单台账!$K141,""),"")</f>
        <v/>
      </c>
      <c r="L140" s="37" t="str">
        <f>IFERROR(IF(清单台账!$AE141=1,清单台账!$L141,""),"")</f>
        <v/>
      </c>
      <c r="M140" s="37" t="str">
        <f>IFERROR(IF(清单台账!$AE141=1,清单台账!$M141,""),"")</f>
        <v/>
      </c>
      <c r="N140" s="37" t="str">
        <f>IFERROR(IF(清单台账!$AE141=1,清单台账!$N141,""),"")</f>
        <v/>
      </c>
      <c r="O140" s="37" t="str">
        <f>IFERROR(IF(清单台账!$AE141=1,清单台账!$O141,""),"")</f>
        <v/>
      </c>
      <c r="P140" s="39" t="str">
        <f>IFERROR(IF(清单台账!$AE141=1,清单台账!$P141,""),"")</f>
        <v/>
      </c>
      <c r="Q140" s="39" t="str">
        <f>IFERROR(IF(清单台账!$AE141=1,清单台账!$Q141,""),"")</f>
        <v/>
      </c>
      <c r="R140" s="39" t="str">
        <f>IFERROR(IF(清单台账!$AE141=1,清单台账!$R141,""),"")</f>
        <v/>
      </c>
      <c r="S140" s="37" t="str">
        <f>IFERROR(IF(清单台账!$AE141=1,清单台账!$S141,""),"")</f>
        <v/>
      </c>
      <c r="T140" s="37" t="str">
        <f>IFERROR(IF(清单台账!$AE141=1,清单台账!$T141,""),"")</f>
        <v/>
      </c>
      <c r="U140" s="37" t="str">
        <f>IFERROR(IF(清单台账!$AE141=1,清单台账!$U141,""),"")</f>
        <v/>
      </c>
      <c r="V140" s="38" t="str">
        <f>IFERROR(IF(清单台账!$AE141=1,清单台账!$V141,""),"")</f>
        <v/>
      </c>
      <c r="W140" s="40" t="str">
        <f>IFERROR(IF(清单台账!$AE141=1,清单台账!$W141,""),"")</f>
        <v/>
      </c>
      <c r="X140" s="46" t="str">
        <f>IF($F140&lt;&gt;"",IFERROR(MAX($X$5:$X139),0)+1,"")</f>
        <v/>
      </c>
    </row>
    <row r="141" spans="1:24">
      <c r="A141" s="36" t="str">
        <f>IFERROR(IF(清单台账!$AE142=1,清单台账!$A142,""),"")</f>
        <v/>
      </c>
      <c r="B141" s="37" t="str">
        <f>IFERROR(IF(清单台账!$AE142=1,清单台账!$AA142,""),"")</f>
        <v/>
      </c>
      <c r="C141" s="38" t="str">
        <f>IFERROR(IF(清单台账!$AE142=1,清单台账!$AB142,""),"")</f>
        <v/>
      </c>
      <c r="D141" s="37" t="str">
        <f>IFERROR(IF(清单台账!$AE142=1,清单台账!$AC142,""),"")</f>
        <v/>
      </c>
      <c r="E141" s="37" t="str">
        <f>IFERROR(IF(清单台账!$AE142=1,清单台账!$AD142,""),"")</f>
        <v/>
      </c>
      <c r="F141" s="37" t="str">
        <f>IFERROR(IF(清单台账!$AE142=1,清单台账!$F142,""),"")</f>
        <v/>
      </c>
      <c r="G141" s="37" t="str">
        <f>IFERROR(IF(清单台账!$AE142=1,清单台账!$G142,""),"")</f>
        <v/>
      </c>
      <c r="H141" s="37" t="str">
        <f>IFERROR(IF(清单台账!$AE142=1,清单台账!$H142,""),"")</f>
        <v/>
      </c>
      <c r="I141" s="37" t="str">
        <f>IFERROR(IF(清单台账!$AE142=1,清单台账!$I142,""),"")</f>
        <v/>
      </c>
      <c r="J141" s="37" t="str">
        <f>IFERROR(IF(清单台账!$AE142=1,清单台账!$J142,""),"")</f>
        <v/>
      </c>
      <c r="K141" s="37" t="str">
        <f>IFERROR(IF(清单台账!$AE142=1,清单台账!$K142,""),"")</f>
        <v/>
      </c>
      <c r="L141" s="37" t="str">
        <f>IFERROR(IF(清单台账!$AE142=1,清单台账!$L142,""),"")</f>
        <v/>
      </c>
      <c r="M141" s="37" t="str">
        <f>IFERROR(IF(清单台账!$AE142=1,清单台账!$M142,""),"")</f>
        <v/>
      </c>
      <c r="N141" s="37" t="str">
        <f>IFERROR(IF(清单台账!$AE142=1,清单台账!$N142,""),"")</f>
        <v/>
      </c>
      <c r="O141" s="37" t="str">
        <f>IFERROR(IF(清单台账!$AE142=1,清单台账!$O142,""),"")</f>
        <v/>
      </c>
      <c r="P141" s="39" t="str">
        <f>IFERROR(IF(清单台账!$AE142=1,清单台账!$P142,""),"")</f>
        <v/>
      </c>
      <c r="Q141" s="39" t="str">
        <f>IFERROR(IF(清单台账!$AE142=1,清单台账!$Q142,""),"")</f>
        <v/>
      </c>
      <c r="R141" s="39" t="str">
        <f>IFERROR(IF(清单台账!$AE142=1,清单台账!$R142,""),"")</f>
        <v/>
      </c>
      <c r="S141" s="37" t="str">
        <f>IFERROR(IF(清单台账!$AE142=1,清单台账!$S142,""),"")</f>
        <v/>
      </c>
      <c r="T141" s="37" t="str">
        <f>IFERROR(IF(清单台账!$AE142=1,清单台账!$T142,""),"")</f>
        <v/>
      </c>
      <c r="U141" s="37" t="str">
        <f>IFERROR(IF(清单台账!$AE142=1,清单台账!$U142,""),"")</f>
        <v/>
      </c>
      <c r="V141" s="38" t="str">
        <f>IFERROR(IF(清单台账!$AE142=1,清单台账!$V142,""),"")</f>
        <v/>
      </c>
      <c r="W141" s="40" t="str">
        <f>IFERROR(IF(清单台账!$AE142=1,清单台账!$W142,""),"")</f>
        <v/>
      </c>
      <c r="X141" s="46" t="str">
        <f>IF($F141&lt;&gt;"",IFERROR(MAX($X$5:$X140),0)+1,"")</f>
        <v/>
      </c>
    </row>
    <row r="142" spans="1:24">
      <c r="A142" s="36" t="str">
        <f>IFERROR(IF(清单台账!$AE143=1,清单台账!$A143,""),"")</f>
        <v/>
      </c>
      <c r="B142" s="37" t="str">
        <f>IFERROR(IF(清单台账!$AE143=1,清单台账!$AA143,""),"")</f>
        <v/>
      </c>
      <c r="C142" s="38" t="str">
        <f>IFERROR(IF(清单台账!$AE143=1,清单台账!$AB143,""),"")</f>
        <v/>
      </c>
      <c r="D142" s="37" t="str">
        <f>IFERROR(IF(清单台账!$AE143=1,清单台账!$AC143,""),"")</f>
        <v/>
      </c>
      <c r="E142" s="37" t="str">
        <f>IFERROR(IF(清单台账!$AE143=1,清单台账!$AD143,""),"")</f>
        <v/>
      </c>
      <c r="F142" s="37" t="str">
        <f>IFERROR(IF(清单台账!$AE143=1,清单台账!$F143,""),"")</f>
        <v/>
      </c>
      <c r="G142" s="37" t="str">
        <f>IFERROR(IF(清单台账!$AE143=1,清单台账!$G143,""),"")</f>
        <v/>
      </c>
      <c r="H142" s="37" t="str">
        <f>IFERROR(IF(清单台账!$AE143=1,清单台账!$H143,""),"")</f>
        <v/>
      </c>
      <c r="I142" s="37" t="str">
        <f>IFERROR(IF(清单台账!$AE143=1,清单台账!$I143,""),"")</f>
        <v/>
      </c>
      <c r="J142" s="37" t="str">
        <f>IFERROR(IF(清单台账!$AE143=1,清单台账!$J143,""),"")</f>
        <v/>
      </c>
      <c r="K142" s="37" t="str">
        <f>IFERROR(IF(清单台账!$AE143=1,清单台账!$K143,""),"")</f>
        <v/>
      </c>
      <c r="L142" s="37" t="str">
        <f>IFERROR(IF(清单台账!$AE143=1,清单台账!$L143,""),"")</f>
        <v/>
      </c>
      <c r="M142" s="37" t="str">
        <f>IFERROR(IF(清单台账!$AE143=1,清单台账!$M143,""),"")</f>
        <v/>
      </c>
      <c r="N142" s="37" t="str">
        <f>IFERROR(IF(清单台账!$AE143=1,清单台账!$N143,""),"")</f>
        <v/>
      </c>
      <c r="O142" s="37" t="str">
        <f>IFERROR(IF(清单台账!$AE143=1,清单台账!$O143,""),"")</f>
        <v/>
      </c>
      <c r="P142" s="39" t="str">
        <f>IFERROR(IF(清单台账!$AE143=1,清单台账!$P143,""),"")</f>
        <v/>
      </c>
      <c r="Q142" s="39" t="str">
        <f>IFERROR(IF(清单台账!$AE143=1,清单台账!$Q143,""),"")</f>
        <v/>
      </c>
      <c r="R142" s="39" t="str">
        <f>IFERROR(IF(清单台账!$AE143=1,清单台账!$R143,""),"")</f>
        <v/>
      </c>
      <c r="S142" s="37" t="str">
        <f>IFERROR(IF(清单台账!$AE143=1,清单台账!$S143,""),"")</f>
        <v/>
      </c>
      <c r="T142" s="37" t="str">
        <f>IFERROR(IF(清单台账!$AE143=1,清单台账!$T143,""),"")</f>
        <v/>
      </c>
      <c r="U142" s="37" t="str">
        <f>IFERROR(IF(清单台账!$AE143=1,清单台账!$U143,""),"")</f>
        <v/>
      </c>
      <c r="V142" s="38" t="str">
        <f>IFERROR(IF(清单台账!$AE143=1,清单台账!$V143,""),"")</f>
        <v/>
      </c>
      <c r="W142" s="40" t="str">
        <f>IFERROR(IF(清单台账!$AE143=1,清单台账!$W143,""),"")</f>
        <v/>
      </c>
      <c r="X142" s="46" t="str">
        <f>IF($F142&lt;&gt;"",IFERROR(MAX($X$5:$X141),0)+1,"")</f>
        <v/>
      </c>
    </row>
    <row r="143" spans="1:24">
      <c r="A143" s="36" t="str">
        <f>IFERROR(IF(清单台账!$AE144=1,清单台账!$A144,""),"")</f>
        <v/>
      </c>
      <c r="B143" s="37" t="str">
        <f>IFERROR(IF(清单台账!$AE144=1,清单台账!$AA144,""),"")</f>
        <v/>
      </c>
      <c r="C143" s="38" t="str">
        <f>IFERROR(IF(清单台账!$AE144=1,清单台账!$AB144,""),"")</f>
        <v/>
      </c>
      <c r="D143" s="37" t="str">
        <f>IFERROR(IF(清单台账!$AE144=1,清单台账!$AC144,""),"")</f>
        <v/>
      </c>
      <c r="E143" s="37" t="str">
        <f>IFERROR(IF(清单台账!$AE144=1,清单台账!$AD144,""),"")</f>
        <v/>
      </c>
      <c r="F143" s="37" t="str">
        <f>IFERROR(IF(清单台账!$AE144=1,清单台账!$F144,""),"")</f>
        <v/>
      </c>
      <c r="G143" s="37" t="str">
        <f>IFERROR(IF(清单台账!$AE144=1,清单台账!$G144,""),"")</f>
        <v/>
      </c>
      <c r="H143" s="37" t="str">
        <f>IFERROR(IF(清单台账!$AE144=1,清单台账!$H144,""),"")</f>
        <v/>
      </c>
      <c r="I143" s="37" t="str">
        <f>IFERROR(IF(清单台账!$AE144=1,清单台账!$I144,""),"")</f>
        <v/>
      </c>
      <c r="J143" s="37" t="str">
        <f>IFERROR(IF(清单台账!$AE144=1,清单台账!$J144,""),"")</f>
        <v/>
      </c>
      <c r="K143" s="37" t="str">
        <f>IFERROR(IF(清单台账!$AE144=1,清单台账!$K144,""),"")</f>
        <v/>
      </c>
      <c r="L143" s="37" t="str">
        <f>IFERROR(IF(清单台账!$AE144=1,清单台账!$L144,""),"")</f>
        <v/>
      </c>
      <c r="M143" s="37" t="str">
        <f>IFERROR(IF(清单台账!$AE144=1,清单台账!$M144,""),"")</f>
        <v/>
      </c>
      <c r="N143" s="37" t="str">
        <f>IFERROR(IF(清单台账!$AE144=1,清单台账!$N144,""),"")</f>
        <v/>
      </c>
      <c r="O143" s="37" t="str">
        <f>IFERROR(IF(清单台账!$AE144=1,清单台账!$O144,""),"")</f>
        <v/>
      </c>
      <c r="P143" s="39" t="str">
        <f>IFERROR(IF(清单台账!$AE144=1,清单台账!$P144,""),"")</f>
        <v/>
      </c>
      <c r="Q143" s="39" t="str">
        <f>IFERROR(IF(清单台账!$AE144=1,清单台账!$Q144,""),"")</f>
        <v/>
      </c>
      <c r="R143" s="39" t="str">
        <f>IFERROR(IF(清单台账!$AE144=1,清单台账!$R144,""),"")</f>
        <v/>
      </c>
      <c r="S143" s="37" t="str">
        <f>IFERROR(IF(清单台账!$AE144=1,清单台账!$S144,""),"")</f>
        <v/>
      </c>
      <c r="T143" s="37" t="str">
        <f>IFERROR(IF(清单台账!$AE144=1,清单台账!$T144,""),"")</f>
        <v/>
      </c>
      <c r="U143" s="37" t="str">
        <f>IFERROR(IF(清单台账!$AE144=1,清单台账!$U144,""),"")</f>
        <v/>
      </c>
      <c r="V143" s="38" t="str">
        <f>IFERROR(IF(清单台账!$AE144=1,清单台账!$V144,""),"")</f>
        <v/>
      </c>
      <c r="W143" s="40" t="str">
        <f>IFERROR(IF(清单台账!$AE144=1,清单台账!$W144,""),"")</f>
        <v/>
      </c>
      <c r="X143" s="46" t="str">
        <f>IF($F143&lt;&gt;"",IFERROR(MAX($X$5:$X142),0)+1,"")</f>
        <v/>
      </c>
    </row>
    <row r="144" spans="1:24">
      <c r="A144" s="36" t="str">
        <f>IFERROR(IF(清单台账!$AE145=1,清单台账!$A145,""),"")</f>
        <v/>
      </c>
      <c r="B144" s="37" t="str">
        <f>IFERROR(IF(清单台账!$AE145=1,清单台账!$AA145,""),"")</f>
        <v/>
      </c>
      <c r="C144" s="38" t="str">
        <f>IFERROR(IF(清单台账!$AE145=1,清单台账!$AB145,""),"")</f>
        <v/>
      </c>
      <c r="D144" s="37" t="str">
        <f>IFERROR(IF(清单台账!$AE145=1,清单台账!$AC145,""),"")</f>
        <v/>
      </c>
      <c r="E144" s="37" t="str">
        <f>IFERROR(IF(清单台账!$AE145=1,清单台账!$AD145,""),"")</f>
        <v/>
      </c>
      <c r="F144" s="37" t="str">
        <f>IFERROR(IF(清单台账!$AE145=1,清单台账!$F145,""),"")</f>
        <v/>
      </c>
      <c r="G144" s="37" t="str">
        <f>IFERROR(IF(清单台账!$AE145=1,清单台账!$G145,""),"")</f>
        <v/>
      </c>
      <c r="H144" s="37" t="str">
        <f>IFERROR(IF(清单台账!$AE145=1,清单台账!$H145,""),"")</f>
        <v/>
      </c>
      <c r="I144" s="37" t="str">
        <f>IFERROR(IF(清单台账!$AE145=1,清单台账!$I145,""),"")</f>
        <v/>
      </c>
      <c r="J144" s="37" t="str">
        <f>IFERROR(IF(清单台账!$AE145=1,清单台账!$J145,""),"")</f>
        <v/>
      </c>
      <c r="K144" s="37" t="str">
        <f>IFERROR(IF(清单台账!$AE145=1,清单台账!$K145,""),"")</f>
        <v/>
      </c>
      <c r="L144" s="37" t="str">
        <f>IFERROR(IF(清单台账!$AE145=1,清单台账!$L145,""),"")</f>
        <v/>
      </c>
      <c r="M144" s="37" t="str">
        <f>IFERROR(IF(清单台账!$AE145=1,清单台账!$M145,""),"")</f>
        <v/>
      </c>
      <c r="N144" s="37" t="str">
        <f>IFERROR(IF(清单台账!$AE145=1,清单台账!$N145,""),"")</f>
        <v/>
      </c>
      <c r="O144" s="37" t="str">
        <f>IFERROR(IF(清单台账!$AE145=1,清单台账!$O145,""),"")</f>
        <v/>
      </c>
      <c r="P144" s="39" t="str">
        <f>IFERROR(IF(清单台账!$AE145=1,清单台账!$P145,""),"")</f>
        <v/>
      </c>
      <c r="Q144" s="39" t="str">
        <f>IFERROR(IF(清单台账!$AE145=1,清单台账!$Q145,""),"")</f>
        <v/>
      </c>
      <c r="R144" s="39" t="str">
        <f>IFERROR(IF(清单台账!$AE145=1,清单台账!$R145,""),"")</f>
        <v/>
      </c>
      <c r="S144" s="37" t="str">
        <f>IFERROR(IF(清单台账!$AE145=1,清单台账!$S145,""),"")</f>
        <v/>
      </c>
      <c r="T144" s="37" t="str">
        <f>IFERROR(IF(清单台账!$AE145=1,清单台账!$T145,""),"")</f>
        <v/>
      </c>
      <c r="U144" s="37" t="str">
        <f>IFERROR(IF(清单台账!$AE145=1,清单台账!$U145,""),"")</f>
        <v/>
      </c>
      <c r="V144" s="38" t="str">
        <f>IFERROR(IF(清单台账!$AE145=1,清单台账!$V145,""),"")</f>
        <v/>
      </c>
      <c r="W144" s="40" t="str">
        <f>IFERROR(IF(清单台账!$AE145=1,清单台账!$W145,""),"")</f>
        <v/>
      </c>
      <c r="X144" s="46" t="str">
        <f>IF($F144&lt;&gt;"",IFERROR(MAX($X$5:$X143),0)+1,"")</f>
        <v/>
      </c>
    </row>
    <row r="145" spans="1:24">
      <c r="A145" s="36" t="str">
        <f>IFERROR(IF(清单台账!$AE146=1,清单台账!$A146,""),"")</f>
        <v/>
      </c>
      <c r="B145" s="37" t="str">
        <f>IFERROR(IF(清单台账!$AE146=1,清单台账!$AA146,""),"")</f>
        <v/>
      </c>
      <c r="C145" s="38" t="str">
        <f>IFERROR(IF(清单台账!$AE146=1,清单台账!$AB146,""),"")</f>
        <v/>
      </c>
      <c r="D145" s="37" t="str">
        <f>IFERROR(IF(清单台账!$AE146=1,清单台账!$AC146,""),"")</f>
        <v/>
      </c>
      <c r="E145" s="37" t="str">
        <f>IFERROR(IF(清单台账!$AE146=1,清单台账!$AD146,""),"")</f>
        <v/>
      </c>
      <c r="F145" s="37" t="str">
        <f>IFERROR(IF(清单台账!$AE146=1,清单台账!$F146,""),"")</f>
        <v/>
      </c>
      <c r="G145" s="37" t="str">
        <f>IFERROR(IF(清单台账!$AE146=1,清单台账!$G146,""),"")</f>
        <v/>
      </c>
      <c r="H145" s="37" t="str">
        <f>IFERROR(IF(清单台账!$AE146=1,清单台账!$H146,""),"")</f>
        <v/>
      </c>
      <c r="I145" s="37" t="str">
        <f>IFERROR(IF(清单台账!$AE146=1,清单台账!$I146,""),"")</f>
        <v/>
      </c>
      <c r="J145" s="37" t="str">
        <f>IFERROR(IF(清单台账!$AE146=1,清单台账!$J146,""),"")</f>
        <v/>
      </c>
      <c r="K145" s="37" t="str">
        <f>IFERROR(IF(清单台账!$AE146=1,清单台账!$K146,""),"")</f>
        <v/>
      </c>
      <c r="L145" s="37" t="str">
        <f>IFERROR(IF(清单台账!$AE146=1,清单台账!$L146,""),"")</f>
        <v/>
      </c>
      <c r="M145" s="37" t="str">
        <f>IFERROR(IF(清单台账!$AE146=1,清单台账!$M146,""),"")</f>
        <v/>
      </c>
      <c r="N145" s="37" t="str">
        <f>IFERROR(IF(清单台账!$AE146=1,清单台账!$N146,""),"")</f>
        <v/>
      </c>
      <c r="O145" s="37" t="str">
        <f>IFERROR(IF(清单台账!$AE146=1,清单台账!$O146,""),"")</f>
        <v/>
      </c>
      <c r="P145" s="39" t="str">
        <f>IFERROR(IF(清单台账!$AE146=1,清单台账!$P146,""),"")</f>
        <v/>
      </c>
      <c r="Q145" s="39" t="str">
        <f>IFERROR(IF(清单台账!$AE146=1,清单台账!$Q146,""),"")</f>
        <v/>
      </c>
      <c r="R145" s="39" t="str">
        <f>IFERROR(IF(清单台账!$AE146=1,清单台账!$R146,""),"")</f>
        <v/>
      </c>
      <c r="S145" s="37" t="str">
        <f>IFERROR(IF(清单台账!$AE146=1,清单台账!$S146,""),"")</f>
        <v/>
      </c>
      <c r="T145" s="37" t="str">
        <f>IFERROR(IF(清单台账!$AE146=1,清单台账!$T146,""),"")</f>
        <v/>
      </c>
      <c r="U145" s="37" t="str">
        <f>IFERROR(IF(清单台账!$AE146=1,清单台账!$U146,""),"")</f>
        <v/>
      </c>
      <c r="V145" s="38" t="str">
        <f>IFERROR(IF(清单台账!$AE146=1,清单台账!$V146,""),"")</f>
        <v/>
      </c>
      <c r="W145" s="40" t="str">
        <f>IFERROR(IF(清单台账!$AE146=1,清单台账!$W146,""),"")</f>
        <v/>
      </c>
      <c r="X145" s="46" t="str">
        <f>IF($F145&lt;&gt;"",IFERROR(MAX($X$5:$X144),0)+1,"")</f>
        <v/>
      </c>
    </row>
    <row r="146" spans="1:24">
      <c r="A146" s="36" t="str">
        <f>IFERROR(IF(清单台账!$AE147=1,清单台账!$A147,""),"")</f>
        <v/>
      </c>
      <c r="B146" s="37" t="str">
        <f>IFERROR(IF(清单台账!$AE147=1,清单台账!$AA147,""),"")</f>
        <v/>
      </c>
      <c r="C146" s="38" t="str">
        <f>IFERROR(IF(清单台账!$AE147=1,清单台账!$AB147,""),"")</f>
        <v/>
      </c>
      <c r="D146" s="37" t="str">
        <f>IFERROR(IF(清单台账!$AE147=1,清单台账!$AC147,""),"")</f>
        <v/>
      </c>
      <c r="E146" s="37" t="str">
        <f>IFERROR(IF(清单台账!$AE147=1,清单台账!$AD147,""),"")</f>
        <v/>
      </c>
      <c r="F146" s="37" t="str">
        <f>IFERROR(IF(清单台账!$AE147=1,清单台账!$F147,""),"")</f>
        <v/>
      </c>
      <c r="G146" s="37" t="str">
        <f>IFERROR(IF(清单台账!$AE147=1,清单台账!$G147,""),"")</f>
        <v/>
      </c>
      <c r="H146" s="37" t="str">
        <f>IFERROR(IF(清单台账!$AE147=1,清单台账!$H147,""),"")</f>
        <v/>
      </c>
      <c r="I146" s="37" t="str">
        <f>IFERROR(IF(清单台账!$AE147=1,清单台账!$I147,""),"")</f>
        <v/>
      </c>
      <c r="J146" s="37" t="str">
        <f>IFERROR(IF(清单台账!$AE147=1,清单台账!$J147,""),"")</f>
        <v/>
      </c>
      <c r="K146" s="37" t="str">
        <f>IFERROR(IF(清单台账!$AE147=1,清单台账!$K147,""),"")</f>
        <v/>
      </c>
      <c r="L146" s="37" t="str">
        <f>IFERROR(IF(清单台账!$AE147=1,清单台账!$L147,""),"")</f>
        <v/>
      </c>
      <c r="M146" s="37" t="str">
        <f>IFERROR(IF(清单台账!$AE147=1,清单台账!$M147,""),"")</f>
        <v/>
      </c>
      <c r="N146" s="37" t="str">
        <f>IFERROR(IF(清单台账!$AE147=1,清单台账!$N147,""),"")</f>
        <v/>
      </c>
      <c r="O146" s="37" t="str">
        <f>IFERROR(IF(清单台账!$AE147=1,清单台账!$O147,""),"")</f>
        <v/>
      </c>
      <c r="P146" s="39" t="str">
        <f>IFERROR(IF(清单台账!$AE147=1,清单台账!$P147,""),"")</f>
        <v/>
      </c>
      <c r="Q146" s="39" t="str">
        <f>IFERROR(IF(清单台账!$AE147=1,清单台账!$Q147,""),"")</f>
        <v/>
      </c>
      <c r="R146" s="39" t="str">
        <f>IFERROR(IF(清单台账!$AE147=1,清单台账!$R147,""),"")</f>
        <v/>
      </c>
      <c r="S146" s="37" t="str">
        <f>IFERROR(IF(清单台账!$AE147=1,清单台账!$S147,""),"")</f>
        <v/>
      </c>
      <c r="T146" s="37" t="str">
        <f>IFERROR(IF(清单台账!$AE147=1,清单台账!$T147,""),"")</f>
        <v/>
      </c>
      <c r="U146" s="37" t="str">
        <f>IFERROR(IF(清单台账!$AE147=1,清单台账!$U147,""),"")</f>
        <v/>
      </c>
      <c r="V146" s="38" t="str">
        <f>IFERROR(IF(清单台账!$AE147=1,清单台账!$V147,""),"")</f>
        <v/>
      </c>
      <c r="W146" s="40" t="str">
        <f>IFERROR(IF(清单台账!$AE147=1,清单台账!$W147,""),"")</f>
        <v/>
      </c>
      <c r="X146" s="46" t="str">
        <f>IF($F146&lt;&gt;"",IFERROR(MAX($X$5:$X145),0)+1,"")</f>
        <v/>
      </c>
    </row>
    <row r="147" spans="1:24">
      <c r="A147" s="36" t="str">
        <f>IFERROR(IF(清单台账!$AE148=1,清单台账!$A148,""),"")</f>
        <v/>
      </c>
      <c r="B147" s="37" t="str">
        <f>IFERROR(IF(清单台账!$AE148=1,清单台账!$AA148,""),"")</f>
        <v/>
      </c>
      <c r="C147" s="38" t="str">
        <f>IFERROR(IF(清单台账!$AE148=1,清单台账!$AB148,""),"")</f>
        <v/>
      </c>
      <c r="D147" s="37" t="str">
        <f>IFERROR(IF(清单台账!$AE148=1,清单台账!$AC148,""),"")</f>
        <v/>
      </c>
      <c r="E147" s="37" t="str">
        <f>IFERROR(IF(清单台账!$AE148=1,清单台账!$AD148,""),"")</f>
        <v/>
      </c>
      <c r="F147" s="37" t="str">
        <f>IFERROR(IF(清单台账!$AE148=1,清单台账!$F148,""),"")</f>
        <v/>
      </c>
      <c r="G147" s="37" t="str">
        <f>IFERROR(IF(清单台账!$AE148=1,清单台账!$G148,""),"")</f>
        <v/>
      </c>
      <c r="H147" s="37" t="str">
        <f>IFERROR(IF(清单台账!$AE148=1,清单台账!$H148,""),"")</f>
        <v/>
      </c>
      <c r="I147" s="37" t="str">
        <f>IFERROR(IF(清单台账!$AE148=1,清单台账!$I148,""),"")</f>
        <v/>
      </c>
      <c r="J147" s="37" t="str">
        <f>IFERROR(IF(清单台账!$AE148=1,清单台账!$J148,""),"")</f>
        <v/>
      </c>
      <c r="K147" s="37" t="str">
        <f>IFERROR(IF(清单台账!$AE148=1,清单台账!$K148,""),"")</f>
        <v/>
      </c>
      <c r="L147" s="37" t="str">
        <f>IFERROR(IF(清单台账!$AE148=1,清单台账!$L148,""),"")</f>
        <v/>
      </c>
      <c r="M147" s="37" t="str">
        <f>IFERROR(IF(清单台账!$AE148=1,清单台账!$M148,""),"")</f>
        <v/>
      </c>
      <c r="N147" s="37" t="str">
        <f>IFERROR(IF(清单台账!$AE148=1,清单台账!$N148,""),"")</f>
        <v/>
      </c>
      <c r="O147" s="37" t="str">
        <f>IFERROR(IF(清单台账!$AE148=1,清单台账!$O148,""),"")</f>
        <v/>
      </c>
      <c r="P147" s="39" t="str">
        <f>IFERROR(IF(清单台账!$AE148=1,清单台账!$P148,""),"")</f>
        <v/>
      </c>
      <c r="Q147" s="39" t="str">
        <f>IFERROR(IF(清单台账!$AE148=1,清单台账!$Q148,""),"")</f>
        <v/>
      </c>
      <c r="R147" s="39" t="str">
        <f>IFERROR(IF(清单台账!$AE148=1,清单台账!$R148,""),"")</f>
        <v/>
      </c>
      <c r="S147" s="37" t="str">
        <f>IFERROR(IF(清单台账!$AE148=1,清单台账!$S148,""),"")</f>
        <v/>
      </c>
      <c r="T147" s="37" t="str">
        <f>IFERROR(IF(清单台账!$AE148=1,清单台账!$T148,""),"")</f>
        <v/>
      </c>
      <c r="U147" s="37" t="str">
        <f>IFERROR(IF(清单台账!$AE148=1,清单台账!$U148,""),"")</f>
        <v/>
      </c>
      <c r="V147" s="38" t="str">
        <f>IFERROR(IF(清单台账!$AE148=1,清单台账!$V148,""),"")</f>
        <v/>
      </c>
      <c r="W147" s="40" t="str">
        <f>IFERROR(IF(清单台账!$AE148=1,清单台账!$W148,""),"")</f>
        <v/>
      </c>
      <c r="X147" s="46" t="str">
        <f>IF($F147&lt;&gt;"",IFERROR(MAX($X$5:$X146),0)+1,"")</f>
        <v/>
      </c>
    </row>
    <row r="148" spans="1:24">
      <c r="A148" s="36" t="str">
        <f>IFERROR(IF(清单台账!$AE149=1,清单台账!$A149,""),"")</f>
        <v/>
      </c>
      <c r="B148" s="37" t="str">
        <f>IFERROR(IF(清单台账!$AE149=1,清单台账!$AA149,""),"")</f>
        <v/>
      </c>
      <c r="C148" s="38" t="str">
        <f>IFERROR(IF(清单台账!$AE149=1,清单台账!$AB149,""),"")</f>
        <v/>
      </c>
      <c r="D148" s="37" t="str">
        <f>IFERROR(IF(清单台账!$AE149=1,清单台账!$AC149,""),"")</f>
        <v/>
      </c>
      <c r="E148" s="37" t="str">
        <f>IFERROR(IF(清单台账!$AE149=1,清单台账!$AD149,""),"")</f>
        <v/>
      </c>
      <c r="F148" s="37" t="str">
        <f>IFERROR(IF(清单台账!$AE149=1,清单台账!$F149,""),"")</f>
        <v/>
      </c>
      <c r="G148" s="37" t="str">
        <f>IFERROR(IF(清单台账!$AE149=1,清单台账!$G149,""),"")</f>
        <v/>
      </c>
      <c r="H148" s="37" t="str">
        <f>IFERROR(IF(清单台账!$AE149=1,清单台账!$H149,""),"")</f>
        <v/>
      </c>
      <c r="I148" s="37" t="str">
        <f>IFERROR(IF(清单台账!$AE149=1,清单台账!$I149,""),"")</f>
        <v/>
      </c>
      <c r="J148" s="37" t="str">
        <f>IFERROR(IF(清单台账!$AE149=1,清单台账!$J149,""),"")</f>
        <v/>
      </c>
      <c r="K148" s="37" t="str">
        <f>IFERROR(IF(清单台账!$AE149=1,清单台账!$K149,""),"")</f>
        <v/>
      </c>
      <c r="L148" s="37" t="str">
        <f>IFERROR(IF(清单台账!$AE149=1,清单台账!$L149,""),"")</f>
        <v/>
      </c>
      <c r="M148" s="37" t="str">
        <f>IFERROR(IF(清单台账!$AE149=1,清单台账!$M149,""),"")</f>
        <v/>
      </c>
      <c r="N148" s="37" t="str">
        <f>IFERROR(IF(清单台账!$AE149=1,清单台账!$N149,""),"")</f>
        <v/>
      </c>
      <c r="O148" s="37" t="str">
        <f>IFERROR(IF(清单台账!$AE149=1,清单台账!$O149,""),"")</f>
        <v/>
      </c>
      <c r="P148" s="39" t="str">
        <f>IFERROR(IF(清单台账!$AE149=1,清单台账!$P149,""),"")</f>
        <v/>
      </c>
      <c r="Q148" s="39" t="str">
        <f>IFERROR(IF(清单台账!$AE149=1,清单台账!$Q149,""),"")</f>
        <v/>
      </c>
      <c r="R148" s="39" t="str">
        <f>IFERROR(IF(清单台账!$AE149=1,清单台账!$R149,""),"")</f>
        <v/>
      </c>
      <c r="S148" s="37" t="str">
        <f>IFERROR(IF(清单台账!$AE149=1,清单台账!$S149,""),"")</f>
        <v/>
      </c>
      <c r="T148" s="37" t="str">
        <f>IFERROR(IF(清单台账!$AE149=1,清单台账!$T149,""),"")</f>
        <v/>
      </c>
      <c r="U148" s="37" t="str">
        <f>IFERROR(IF(清单台账!$AE149=1,清单台账!$U149,""),"")</f>
        <v/>
      </c>
      <c r="V148" s="38" t="str">
        <f>IFERROR(IF(清单台账!$AE149=1,清单台账!$V149,""),"")</f>
        <v/>
      </c>
      <c r="W148" s="40" t="str">
        <f>IFERROR(IF(清单台账!$AE149=1,清单台账!$W149,""),"")</f>
        <v/>
      </c>
      <c r="X148" s="46" t="str">
        <f>IF($F148&lt;&gt;"",IFERROR(MAX($X$5:$X147),0)+1,"")</f>
        <v/>
      </c>
    </row>
    <row r="149" spans="1:24">
      <c r="A149" s="36" t="str">
        <f>IFERROR(IF(清单台账!$AE150=1,清单台账!$A150,""),"")</f>
        <v/>
      </c>
      <c r="B149" s="37" t="str">
        <f>IFERROR(IF(清单台账!$AE150=1,清单台账!$AA150,""),"")</f>
        <v/>
      </c>
      <c r="C149" s="38" t="str">
        <f>IFERROR(IF(清单台账!$AE150=1,清单台账!$AB150,""),"")</f>
        <v/>
      </c>
      <c r="D149" s="37" t="str">
        <f>IFERROR(IF(清单台账!$AE150=1,清单台账!$AC150,""),"")</f>
        <v/>
      </c>
      <c r="E149" s="37" t="str">
        <f>IFERROR(IF(清单台账!$AE150=1,清单台账!$AD150,""),"")</f>
        <v/>
      </c>
      <c r="F149" s="37" t="str">
        <f>IFERROR(IF(清单台账!$AE150=1,清单台账!$F150,""),"")</f>
        <v/>
      </c>
      <c r="G149" s="37" t="str">
        <f>IFERROR(IF(清单台账!$AE150=1,清单台账!$G150,""),"")</f>
        <v/>
      </c>
      <c r="H149" s="37" t="str">
        <f>IFERROR(IF(清单台账!$AE150=1,清单台账!$H150,""),"")</f>
        <v/>
      </c>
      <c r="I149" s="37" t="str">
        <f>IFERROR(IF(清单台账!$AE150=1,清单台账!$I150,""),"")</f>
        <v/>
      </c>
      <c r="J149" s="37" t="str">
        <f>IFERROR(IF(清单台账!$AE150=1,清单台账!$J150,""),"")</f>
        <v/>
      </c>
      <c r="K149" s="37" t="str">
        <f>IFERROR(IF(清单台账!$AE150=1,清单台账!$K150,""),"")</f>
        <v/>
      </c>
      <c r="L149" s="37" t="str">
        <f>IFERROR(IF(清单台账!$AE150=1,清单台账!$L150,""),"")</f>
        <v/>
      </c>
      <c r="M149" s="37" t="str">
        <f>IFERROR(IF(清单台账!$AE150=1,清单台账!$M150,""),"")</f>
        <v/>
      </c>
      <c r="N149" s="37" t="str">
        <f>IFERROR(IF(清单台账!$AE150=1,清单台账!$N150,""),"")</f>
        <v/>
      </c>
      <c r="O149" s="37" t="str">
        <f>IFERROR(IF(清单台账!$AE150=1,清单台账!$O150,""),"")</f>
        <v/>
      </c>
      <c r="P149" s="39" t="str">
        <f>IFERROR(IF(清单台账!$AE150=1,清单台账!$P150,""),"")</f>
        <v/>
      </c>
      <c r="Q149" s="39" t="str">
        <f>IFERROR(IF(清单台账!$AE150=1,清单台账!$Q150,""),"")</f>
        <v/>
      </c>
      <c r="R149" s="39" t="str">
        <f>IFERROR(IF(清单台账!$AE150=1,清单台账!$R150,""),"")</f>
        <v/>
      </c>
      <c r="S149" s="37" t="str">
        <f>IFERROR(IF(清单台账!$AE150=1,清单台账!$S150,""),"")</f>
        <v/>
      </c>
      <c r="T149" s="37" t="str">
        <f>IFERROR(IF(清单台账!$AE150=1,清单台账!$T150,""),"")</f>
        <v/>
      </c>
      <c r="U149" s="37" t="str">
        <f>IFERROR(IF(清单台账!$AE150=1,清单台账!$U150,""),"")</f>
        <v/>
      </c>
      <c r="V149" s="38" t="str">
        <f>IFERROR(IF(清单台账!$AE150=1,清单台账!$V150,""),"")</f>
        <v/>
      </c>
      <c r="W149" s="40" t="str">
        <f>IFERROR(IF(清单台账!$AE150=1,清单台账!$W150,""),"")</f>
        <v/>
      </c>
      <c r="X149" s="46" t="str">
        <f>IF($F149&lt;&gt;"",IFERROR(MAX($X$5:$X148),0)+1,"")</f>
        <v/>
      </c>
    </row>
    <row r="150" spans="1:24">
      <c r="A150" s="36" t="str">
        <f>IFERROR(IF(清单台账!$AE151=1,清单台账!$A151,""),"")</f>
        <v/>
      </c>
      <c r="B150" s="37" t="str">
        <f>IFERROR(IF(清单台账!$AE151=1,清单台账!$AA151,""),"")</f>
        <v/>
      </c>
      <c r="C150" s="38" t="str">
        <f>IFERROR(IF(清单台账!$AE151=1,清单台账!$AB151,""),"")</f>
        <v/>
      </c>
      <c r="D150" s="37" t="str">
        <f>IFERROR(IF(清单台账!$AE151=1,清单台账!$AC151,""),"")</f>
        <v/>
      </c>
      <c r="E150" s="37" t="str">
        <f>IFERROR(IF(清单台账!$AE151=1,清单台账!$AD151,""),"")</f>
        <v/>
      </c>
      <c r="F150" s="37" t="str">
        <f>IFERROR(IF(清单台账!$AE151=1,清单台账!$F151,""),"")</f>
        <v/>
      </c>
      <c r="G150" s="37" t="str">
        <f>IFERROR(IF(清单台账!$AE151=1,清单台账!$G151,""),"")</f>
        <v/>
      </c>
      <c r="H150" s="37" t="str">
        <f>IFERROR(IF(清单台账!$AE151=1,清单台账!$H151,""),"")</f>
        <v/>
      </c>
      <c r="I150" s="37" t="str">
        <f>IFERROR(IF(清单台账!$AE151=1,清单台账!$I151,""),"")</f>
        <v/>
      </c>
      <c r="J150" s="37" t="str">
        <f>IFERROR(IF(清单台账!$AE151=1,清单台账!$J151,""),"")</f>
        <v/>
      </c>
      <c r="K150" s="37" t="str">
        <f>IFERROR(IF(清单台账!$AE151=1,清单台账!$K151,""),"")</f>
        <v/>
      </c>
      <c r="L150" s="37" t="str">
        <f>IFERROR(IF(清单台账!$AE151=1,清单台账!$L151,""),"")</f>
        <v/>
      </c>
      <c r="M150" s="37" t="str">
        <f>IFERROR(IF(清单台账!$AE151=1,清单台账!$M151,""),"")</f>
        <v/>
      </c>
      <c r="N150" s="37" t="str">
        <f>IFERROR(IF(清单台账!$AE151=1,清单台账!$N151,""),"")</f>
        <v/>
      </c>
      <c r="O150" s="37" t="str">
        <f>IFERROR(IF(清单台账!$AE151=1,清单台账!$O151,""),"")</f>
        <v/>
      </c>
      <c r="P150" s="39" t="str">
        <f>IFERROR(IF(清单台账!$AE151=1,清单台账!$P151,""),"")</f>
        <v/>
      </c>
      <c r="Q150" s="39" t="str">
        <f>IFERROR(IF(清单台账!$AE151=1,清单台账!$Q151,""),"")</f>
        <v/>
      </c>
      <c r="R150" s="39" t="str">
        <f>IFERROR(IF(清单台账!$AE151=1,清单台账!$R151,""),"")</f>
        <v/>
      </c>
      <c r="S150" s="37" t="str">
        <f>IFERROR(IF(清单台账!$AE151=1,清单台账!$S151,""),"")</f>
        <v/>
      </c>
      <c r="T150" s="37" t="str">
        <f>IFERROR(IF(清单台账!$AE151=1,清单台账!$T151,""),"")</f>
        <v/>
      </c>
      <c r="U150" s="37" t="str">
        <f>IFERROR(IF(清单台账!$AE151=1,清单台账!$U151,""),"")</f>
        <v/>
      </c>
      <c r="V150" s="38" t="str">
        <f>IFERROR(IF(清单台账!$AE151=1,清单台账!$V151,""),"")</f>
        <v/>
      </c>
      <c r="W150" s="40" t="str">
        <f>IFERROR(IF(清单台账!$AE151=1,清单台账!$W151,""),"")</f>
        <v/>
      </c>
      <c r="X150" s="46" t="str">
        <f>IF($F150&lt;&gt;"",IFERROR(MAX($X$5:$X149),0)+1,"")</f>
        <v/>
      </c>
    </row>
    <row r="151" spans="1:24">
      <c r="A151" s="36" t="str">
        <f>IFERROR(IF(清单台账!$AE152=1,清单台账!$A152,""),"")</f>
        <v/>
      </c>
      <c r="B151" s="37" t="str">
        <f>IFERROR(IF(清单台账!$AE152=1,清单台账!$AA152,""),"")</f>
        <v/>
      </c>
      <c r="C151" s="38" t="str">
        <f>IFERROR(IF(清单台账!$AE152=1,清单台账!$AB152,""),"")</f>
        <v/>
      </c>
      <c r="D151" s="37" t="str">
        <f>IFERROR(IF(清单台账!$AE152=1,清单台账!$AC152,""),"")</f>
        <v/>
      </c>
      <c r="E151" s="37" t="str">
        <f>IFERROR(IF(清单台账!$AE152=1,清单台账!$AD152,""),"")</f>
        <v/>
      </c>
      <c r="F151" s="37" t="str">
        <f>IFERROR(IF(清单台账!$AE152=1,清单台账!$F152,""),"")</f>
        <v/>
      </c>
      <c r="G151" s="37" t="str">
        <f>IFERROR(IF(清单台账!$AE152=1,清单台账!$G152,""),"")</f>
        <v/>
      </c>
      <c r="H151" s="37" t="str">
        <f>IFERROR(IF(清单台账!$AE152=1,清单台账!$H152,""),"")</f>
        <v/>
      </c>
      <c r="I151" s="37" t="str">
        <f>IFERROR(IF(清单台账!$AE152=1,清单台账!$I152,""),"")</f>
        <v/>
      </c>
      <c r="J151" s="37" t="str">
        <f>IFERROR(IF(清单台账!$AE152=1,清单台账!$J152,""),"")</f>
        <v/>
      </c>
      <c r="K151" s="37" t="str">
        <f>IFERROR(IF(清单台账!$AE152=1,清单台账!$K152,""),"")</f>
        <v/>
      </c>
      <c r="L151" s="37" t="str">
        <f>IFERROR(IF(清单台账!$AE152=1,清单台账!$L152,""),"")</f>
        <v/>
      </c>
      <c r="M151" s="37" t="str">
        <f>IFERROR(IF(清单台账!$AE152=1,清单台账!$M152,""),"")</f>
        <v/>
      </c>
      <c r="N151" s="37" t="str">
        <f>IFERROR(IF(清单台账!$AE152=1,清单台账!$N152,""),"")</f>
        <v/>
      </c>
      <c r="O151" s="37" t="str">
        <f>IFERROR(IF(清单台账!$AE152=1,清单台账!$O152,""),"")</f>
        <v/>
      </c>
      <c r="P151" s="39" t="str">
        <f>IFERROR(IF(清单台账!$AE152=1,清单台账!$P152,""),"")</f>
        <v/>
      </c>
      <c r="Q151" s="39" t="str">
        <f>IFERROR(IF(清单台账!$AE152=1,清单台账!$Q152,""),"")</f>
        <v/>
      </c>
      <c r="R151" s="39" t="str">
        <f>IFERROR(IF(清单台账!$AE152=1,清单台账!$R152,""),"")</f>
        <v/>
      </c>
      <c r="S151" s="37" t="str">
        <f>IFERROR(IF(清单台账!$AE152=1,清单台账!$S152,""),"")</f>
        <v/>
      </c>
      <c r="T151" s="37" t="str">
        <f>IFERROR(IF(清单台账!$AE152=1,清单台账!$T152,""),"")</f>
        <v/>
      </c>
      <c r="U151" s="37" t="str">
        <f>IFERROR(IF(清单台账!$AE152=1,清单台账!$U152,""),"")</f>
        <v/>
      </c>
      <c r="V151" s="38" t="str">
        <f>IFERROR(IF(清单台账!$AE152=1,清单台账!$V152,""),"")</f>
        <v/>
      </c>
      <c r="W151" s="40" t="str">
        <f>IFERROR(IF(清单台账!$AE152=1,清单台账!$W152,""),"")</f>
        <v/>
      </c>
      <c r="X151" s="46" t="str">
        <f>IF($F151&lt;&gt;"",IFERROR(MAX($X$5:$X150),0)+1,"")</f>
        <v/>
      </c>
    </row>
    <row r="152" spans="1:24">
      <c r="A152" s="36" t="str">
        <f>IFERROR(IF(清单台账!$AE153=1,清单台账!$A153,""),"")</f>
        <v/>
      </c>
      <c r="B152" s="37" t="str">
        <f>IFERROR(IF(清单台账!$AE153=1,清单台账!$AA153,""),"")</f>
        <v/>
      </c>
      <c r="C152" s="38" t="str">
        <f>IFERROR(IF(清单台账!$AE153=1,清单台账!$AB153,""),"")</f>
        <v/>
      </c>
      <c r="D152" s="37" t="str">
        <f>IFERROR(IF(清单台账!$AE153=1,清单台账!$AC153,""),"")</f>
        <v/>
      </c>
      <c r="E152" s="37" t="str">
        <f>IFERROR(IF(清单台账!$AE153=1,清单台账!$AD153,""),"")</f>
        <v/>
      </c>
      <c r="F152" s="37" t="str">
        <f>IFERROR(IF(清单台账!$AE153=1,清单台账!$F153,""),"")</f>
        <v/>
      </c>
      <c r="G152" s="37" t="str">
        <f>IFERROR(IF(清单台账!$AE153=1,清单台账!$G153,""),"")</f>
        <v/>
      </c>
      <c r="H152" s="37" t="str">
        <f>IFERROR(IF(清单台账!$AE153=1,清单台账!$H153,""),"")</f>
        <v/>
      </c>
      <c r="I152" s="37" t="str">
        <f>IFERROR(IF(清单台账!$AE153=1,清单台账!$I153,""),"")</f>
        <v/>
      </c>
      <c r="J152" s="37" t="str">
        <f>IFERROR(IF(清单台账!$AE153=1,清单台账!$J153,""),"")</f>
        <v/>
      </c>
      <c r="K152" s="37" t="str">
        <f>IFERROR(IF(清单台账!$AE153=1,清单台账!$K153,""),"")</f>
        <v/>
      </c>
      <c r="L152" s="37" t="str">
        <f>IFERROR(IF(清单台账!$AE153=1,清单台账!$L153,""),"")</f>
        <v/>
      </c>
      <c r="M152" s="37" t="str">
        <f>IFERROR(IF(清单台账!$AE153=1,清单台账!$M153,""),"")</f>
        <v/>
      </c>
      <c r="N152" s="37" t="str">
        <f>IFERROR(IF(清单台账!$AE153=1,清单台账!$N153,""),"")</f>
        <v/>
      </c>
      <c r="O152" s="37" t="str">
        <f>IFERROR(IF(清单台账!$AE153=1,清单台账!$O153,""),"")</f>
        <v/>
      </c>
      <c r="P152" s="39" t="str">
        <f>IFERROR(IF(清单台账!$AE153=1,清单台账!$P153,""),"")</f>
        <v/>
      </c>
      <c r="Q152" s="39" t="str">
        <f>IFERROR(IF(清单台账!$AE153=1,清单台账!$Q153,""),"")</f>
        <v/>
      </c>
      <c r="R152" s="39" t="str">
        <f>IFERROR(IF(清单台账!$AE153=1,清单台账!$R153,""),"")</f>
        <v/>
      </c>
      <c r="S152" s="37" t="str">
        <f>IFERROR(IF(清单台账!$AE153=1,清单台账!$S153,""),"")</f>
        <v/>
      </c>
      <c r="T152" s="37" t="str">
        <f>IFERROR(IF(清单台账!$AE153=1,清单台账!$T153,""),"")</f>
        <v/>
      </c>
      <c r="U152" s="37" t="str">
        <f>IFERROR(IF(清单台账!$AE153=1,清单台账!$U153,""),"")</f>
        <v/>
      </c>
      <c r="V152" s="38" t="str">
        <f>IFERROR(IF(清单台账!$AE153=1,清单台账!$V153,""),"")</f>
        <v/>
      </c>
      <c r="W152" s="40" t="str">
        <f>IFERROR(IF(清单台账!$AE153=1,清单台账!$W153,""),"")</f>
        <v/>
      </c>
      <c r="X152" s="46" t="str">
        <f>IF($F152&lt;&gt;"",IFERROR(MAX($X$5:$X151),0)+1,"")</f>
        <v/>
      </c>
    </row>
    <row r="153" spans="1:24">
      <c r="A153" s="36" t="str">
        <f>IFERROR(IF(清单台账!$AE154=1,清单台账!$A154,""),"")</f>
        <v/>
      </c>
      <c r="B153" s="37" t="str">
        <f>IFERROR(IF(清单台账!$AE154=1,清单台账!$AA154,""),"")</f>
        <v/>
      </c>
      <c r="C153" s="38" t="str">
        <f>IFERROR(IF(清单台账!$AE154=1,清单台账!$AB154,""),"")</f>
        <v/>
      </c>
      <c r="D153" s="37" t="str">
        <f>IFERROR(IF(清单台账!$AE154=1,清单台账!$AC154,""),"")</f>
        <v/>
      </c>
      <c r="E153" s="37" t="str">
        <f>IFERROR(IF(清单台账!$AE154=1,清单台账!$AD154,""),"")</f>
        <v/>
      </c>
      <c r="F153" s="37" t="str">
        <f>IFERROR(IF(清单台账!$AE154=1,清单台账!$F154,""),"")</f>
        <v/>
      </c>
      <c r="G153" s="37" t="str">
        <f>IFERROR(IF(清单台账!$AE154=1,清单台账!$G154,""),"")</f>
        <v/>
      </c>
      <c r="H153" s="37" t="str">
        <f>IFERROR(IF(清单台账!$AE154=1,清单台账!$H154,""),"")</f>
        <v/>
      </c>
      <c r="I153" s="37" t="str">
        <f>IFERROR(IF(清单台账!$AE154=1,清单台账!$I154,""),"")</f>
        <v/>
      </c>
      <c r="J153" s="37" t="str">
        <f>IFERROR(IF(清单台账!$AE154=1,清单台账!$J154,""),"")</f>
        <v/>
      </c>
      <c r="K153" s="37" t="str">
        <f>IFERROR(IF(清单台账!$AE154=1,清单台账!$K154,""),"")</f>
        <v/>
      </c>
      <c r="L153" s="37" t="str">
        <f>IFERROR(IF(清单台账!$AE154=1,清单台账!$L154,""),"")</f>
        <v/>
      </c>
      <c r="M153" s="37" t="str">
        <f>IFERROR(IF(清单台账!$AE154=1,清单台账!$M154,""),"")</f>
        <v/>
      </c>
      <c r="N153" s="37" t="str">
        <f>IFERROR(IF(清单台账!$AE154=1,清单台账!$N154,""),"")</f>
        <v/>
      </c>
      <c r="O153" s="37" t="str">
        <f>IFERROR(IF(清单台账!$AE154=1,清单台账!$O154,""),"")</f>
        <v/>
      </c>
      <c r="P153" s="39" t="str">
        <f>IFERROR(IF(清单台账!$AE154=1,清单台账!$P154,""),"")</f>
        <v/>
      </c>
      <c r="Q153" s="39" t="str">
        <f>IFERROR(IF(清单台账!$AE154=1,清单台账!$Q154,""),"")</f>
        <v/>
      </c>
      <c r="R153" s="39" t="str">
        <f>IFERROR(IF(清单台账!$AE154=1,清单台账!$R154,""),"")</f>
        <v/>
      </c>
      <c r="S153" s="37" t="str">
        <f>IFERROR(IF(清单台账!$AE154=1,清单台账!$S154,""),"")</f>
        <v/>
      </c>
      <c r="T153" s="37" t="str">
        <f>IFERROR(IF(清单台账!$AE154=1,清单台账!$T154,""),"")</f>
        <v/>
      </c>
      <c r="U153" s="37" t="str">
        <f>IFERROR(IF(清单台账!$AE154=1,清单台账!$U154,""),"")</f>
        <v/>
      </c>
      <c r="V153" s="38" t="str">
        <f>IFERROR(IF(清单台账!$AE154=1,清单台账!$V154,""),"")</f>
        <v/>
      </c>
      <c r="W153" s="40" t="str">
        <f>IFERROR(IF(清单台账!$AE154=1,清单台账!$W154,""),"")</f>
        <v/>
      </c>
      <c r="X153" s="46" t="str">
        <f>IF($F153&lt;&gt;"",IFERROR(MAX($X$5:$X152),0)+1,"")</f>
        <v/>
      </c>
    </row>
    <row r="154" spans="1:24">
      <c r="A154" s="36" t="str">
        <f>IFERROR(IF(清单台账!$AE155=1,清单台账!$A155,""),"")</f>
        <v/>
      </c>
      <c r="B154" s="37" t="str">
        <f>IFERROR(IF(清单台账!$AE155=1,清单台账!$AA155,""),"")</f>
        <v/>
      </c>
      <c r="C154" s="38" t="str">
        <f>IFERROR(IF(清单台账!$AE155=1,清单台账!$AB155,""),"")</f>
        <v/>
      </c>
      <c r="D154" s="37" t="str">
        <f>IFERROR(IF(清单台账!$AE155=1,清单台账!$AC155,""),"")</f>
        <v/>
      </c>
      <c r="E154" s="37" t="str">
        <f>IFERROR(IF(清单台账!$AE155=1,清单台账!$AD155,""),"")</f>
        <v/>
      </c>
      <c r="F154" s="37" t="str">
        <f>IFERROR(IF(清单台账!$AE155=1,清单台账!$F155,""),"")</f>
        <v/>
      </c>
      <c r="G154" s="37" t="str">
        <f>IFERROR(IF(清单台账!$AE155=1,清单台账!$G155,""),"")</f>
        <v/>
      </c>
      <c r="H154" s="37" t="str">
        <f>IFERROR(IF(清单台账!$AE155=1,清单台账!$H155,""),"")</f>
        <v/>
      </c>
      <c r="I154" s="37" t="str">
        <f>IFERROR(IF(清单台账!$AE155=1,清单台账!$I155,""),"")</f>
        <v/>
      </c>
      <c r="J154" s="37" t="str">
        <f>IFERROR(IF(清单台账!$AE155=1,清单台账!$J155,""),"")</f>
        <v/>
      </c>
      <c r="K154" s="37" t="str">
        <f>IFERROR(IF(清单台账!$AE155=1,清单台账!$K155,""),"")</f>
        <v/>
      </c>
      <c r="L154" s="37" t="str">
        <f>IFERROR(IF(清单台账!$AE155=1,清单台账!$L155,""),"")</f>
        <v/>
      </c>
      <c r="M154" s="37" t="str">
        <f>IFERROR(IF(清单台账!$AE155=1,清单台账!$M155,""),"")</f>
        <v/>
      </c>
      <c r="N154" s="37" t="str">
        <f>IFERROR(IF(清单台账!$AE155=1,清单台账!$N155,""),"")</f>
        <v/>
      </c>
      <c r="O154" s="37" t="str">
        <f>IFERROR(IF(清单台账!$AE155=1,清单台账!$O155,""),"")</f>
        <v/>
      </c>
      <c r="P154" s="39" t="str">
        <f>IFERROR(IF(清单台账!$AE155=1,清单台账!$P155,""),"")</f>
        <v/>
      </c>
      <c r="Q154" s="39" t="str">
        <f>IFERROR(IF(清单台账!$AE155=1,清单台账!$Q155,""),"")</f>
        <v/>
      </c>
      <c r="R154" s="39" t="str">
        <f>IFERROR(IF(清单台账!$AE155=1,清单台账!$R155,""),"")</f>
        <v/>
      </c>
      <c r="S154" s="37" t="str">
        <f>IFERROR(IF(清单台账!$AE155=1,清单台账!$S155,""),"")</f>
        <v/>
      </c>
      <c r="T154" s="37" t="str">
        <f>IFERROR(IF(清单台账!$AE155=1,清单台账!$T155,""),"")</f>
        <v/>
      </c>
      <c r="U154" s="37" t="str">
        <f>IFERROR(IF(清单台账!$AE155=1,清单台账!$U155,""),"")</f>
        <v/>
      </c>
      <c r="V154" s="38" t="str">
        <f>IFERROR(IF(清单台账!$AE155=1,清单台账!$V155,""),"")</f>
        <v/>
      </c>
      <c r="W154" s="40" t="str">
        <f>IFERROR(IF(清单台账!$AE155=1,清单台账!$W155,""),"")</f>
        <v/>
      </c>
      <c r="X154" s="46" t="str">
        <f>IF($F154&lt;&gt;"",IFERROR(MAX($X$5:$X153),0)+1,"")</f>
        <v/>
      </c>
    </row>
    <row r="155" spans="1:24">
      <c r="A155" s="36" t="str">
        <f>IFERROR(IF(清单台账!$AE156=1,清单台账!$A156,""),"")</f>
        <v/>
      </c>
      <c r="B155" s="37" t="str">
        <f>IFERROR(IF(清单台账!$AE156=1,清单台账!$AA156,""),"")</f>
        <v/>
      </c>
      <c r="C155" s="38" t="str">
        <f>IFERROR(IF(清单台账!$AE156=1,清单台账!$AB156,""),"")</f>
        <v/>
      </c>
      <c r="D155" s="37" t="str">
        <f>IFERROR(IF(清单台账!$AE156=1,清单台账!$AC156,""),"")</f>
        <v/>
      </c>
      <c r="E155" s="37" t="str">
        <f>IFERROR(IF(清单台账!$AE156=1,清单台账!$AD156,""),"")</f>
        <v/>
      </c>
      <c r="F155" s="37" t="str">
        <f>IFERROR(IF(清单台账!$AE156=1,清单台账!$F156,""),"")</f>
        <v/>
      </c>
      <c r="G155" s="37" t="str">
        <f>IFERROR(IF(清单台账!$AE156=1,清单台账!$G156,""),"")</f>
        <v/>
      </c>
      <c r="H155" s="37" t="str">
        <f>IFERROR(IF(清单台账!$AE156=1,清单台账!$H156,""),"")</f>
        <v/>
      </c>
      <c r="I155" s="37" t="str">
        <f>IFERROR(IF(清单台账!$AE156=1,清单台账!$I156,""),"")</f>
        <v/>
      </c>
      <c r="J155" s="37" t="str">
        <f>IFERROR(IF(清单台账!$AE156=1,清单台账!$J156,""),"")</f>
        <v/>
      </c>
      <c r="K155" s="37" t="str">
        <f>IFERROR(IF(清单台账!$AE156=1,清单台账!$K156,""),"")</f>
        <v/>
      </c>
      <c r="L155" s="37" t="str">
        <f>IFERROR(IF(清单台账!$AE156=1,清单台账!$L156,""),"")</f>
        <v/>
      </c>
      <c r="M155" s="37" t="str">
        <f>IFERROR(IF(清单台账!$AE156=1,清单台账!$M156,""),"")</f>
        <v/>
      </c>
      <c r="N155" s="37" t="str">
        <f>IFERROR(IF(清单台账!$AE156=1,清单台账!$N156,""),"")</f>
        <v/>
      </c>
      <c r="O155" s="37" t="str">
        <f>IFERROR(IF(清单台账!$AE156=1,清单台账!$O156,""),"")</f>
        <v/>
      </c>
      <c r="P155" s="39" t="str">
        <f>IFERROR(IF(清单台账!$AE156=1,清单台账!$P156,""),"")</f>
        <v/>
      </c>
      <c r="Q155" s="39" t="str">
        <f>IFERROR(IF(清单台账!$AE156=1,清单台账!$Q156,""),"")</f>
        <v/>
      </c>
      <c r="R155" s="39" t="str">
        <f>IFERROR(IF(清单台账!$AE156=1,清单台账!$R156,""),"")</f>
        <v/>
      </c>
      <c r="S155" s="37" t="str">
        <f>IFERROR(IF(清单台账!$AE156=1,清单台账!$S156,""),"")</f>
        <v/>
      </c>
      <c r="T155" s="37" t="str">
        <f>IFERROR(IF(清单台账!$AE156=1,清单台账!$T156,""),"")</f>
        <v/>
      </c>
      <c r="U155" s="37" t="str">
        <f>IFERROR(IF(清单台账!$AE156=1,清单台账!$U156,""),"")</f>
        <v/>
      </c>
      <c r="V155" s="38" t="str">
        <f>IFERROR(IF(清单台账!$AE156=1,清单台账!$V156,""),"")</f>
        <v/>
      </c>
      <c r="W155" s="40" t="str">
        <f>IFERROR(IF(清单台账!$AE156=1,清单台账!$W156,""),"")</f>
        <v/>
      </c>
      <c r="X155" s="46" t="str">
        <f>IF($F155&lt;&gt;"",IFERROR(MAX($X$5:$X154),0)+1,"")</f>
        <v/>
      </c>
    </row>
    <row r="156" spans="1:24">
      <c r="A156" s="36" t="str">
        <f>IFERROR(IF(清单台账!$AE157=1,清单台账!$A157,""),"")</f>
        <v/>
      </c>
      <c r="B156" s="37" t="str">
        <f>IFERROR(IF(清单台账!$AE157=1,清单台账!$AA157,""),"")</f>
        <v/>
      </c>
      <c r="C156" s="38" t="str">
        <f>IFERROR(IF(清单台账!$AE157=1,清单台账!$AB157,""),"")</f>
        <v/>
      </c>
      <c r="D156" s="37" t="str">
        <f>IFERROR(IF(清单台账!$AE157=1,清单台账!$AC157,""),"")</f>
        <v/>
      </c>
      <c r="E156" s="37" t="str">
        <f>IFERROR(IF(清单台账!$AE157=1,清单台账!$AD157,""),"")</f>
        <v/>
      </c>
      <c r="F156" s="37" t="str">
        <f>IFERROR(IF(清单台账!$AE157=1,清单台账!$F157,""),"")</f>
        <v/>
      </c>
      <c r="G156" s="37" t="str">
        <f>IFERROR(IF(清单台账!$AE157=1,清单台账!$G157,""),"")</f>
        <v/>
      </c>
      <c r="H156" s="37" t="str">
        <f>IFERROR(IF(清单台账!$AE157=1,清单台账!$H157,""),"")</f>
        <v/>
      </c>
      <c r="I156" s="37" t="str">
        <f>IFERROR(IF(清单台账!$AE157=1,清单台账!$I157,""),"")</f>
        <v/>
      </c>
      <c r="J156" s="37" t="str">
        <f>IFERROR(IF(清单台账!$AE157=1,清单台账!$J157,""),"")</f>
        <v/>
      </c>
      <c r="K156" s="37" t="str">
        <f>IFERROR(IF(清单台账!$AE157=1,清单台账!$K157,""),"")</f>
        <v/>
      </c>
      <c r="L156" s="37" t="str">
        <f>IFERROR(IF(清单台账!$AE157=1,清单台账!$L157,""),"")</f>
        <v/>
      </c>
      <c r="M156" s="37" t="str">
        <f>IFERROR(IF(清单台账!$AE157=1,清单台账!$M157,""),"")</f>
        <v/>
      </c>
      <c r="N156" s="37" t="str">
        <f>IFERROR(IF(清单台账!$AE157=1,清单台账!$N157,""),"")</f>
        <v/>
      </c>
      <c r="O156" s="37" t="str">
        <f>IFERROR(IF(清单台账!$AE157=1,清单台账!$O157,""),"")</f>
        <v/>
      </c>
      <c r="P156" s="39" t="str">
        <f>IFERROR(IF(清单台账!$AE157=1,清单台账!$P157,""),"")</f>
        <v/>
      </c>
      <c r="Q156" s="39" t="str">
        <f>IFERROR(IF(清单台账!$AE157=1,清单台账!$Q157,""),"")</f>
        <v/>
      </c>
      <c r="R156" s="39" t="str">
        <f>IFERROR(IF(清单台账!$AE157=1,清单台账!$R157,""),"")</f>
        <v/>
      </c>
      <c r="S156" s="37" t="str">
        <f>IFERROR(IF(清单台账!$AE157=1,清单台账!$S157,""),"")</f>
        <v/>
      </c>
      <c r="T156" s="37" t="str">
        <f>IFERROR(IF(清单台账!$AE157=1,清单台账!$T157,""),"")</f>
        <v/>
      </c>
      <c r="U156" s="37" t="str">
        <f>IFERROR(IF(清单台账!$AE157=1,清单台账!$U157,""),"")</f>
        <v/>
      </c>
      <c r="V156" s="38" t="str">
        <f>IFERROR(IF(清单台账!$AE157=1,清单台账!$V157,""),"")</f>
        <v/>
      </c>
      <c r="W156" s="40" t="str">
        <f>IFERROR(IF(清单台账!$AE157=1,清单台账!$W157,""),"")</f>
        <v/>
      </c>
      <c r="X156" s="46" t="str">
        <f>IF($F156&lt;&gt;"",IFERROR(MAX($X$5:$X155),0)+1,"")</f>
        <v/>
      </c>
    </row>
    <row r="157" spans="1:24">
      <c r="A157" s="36" t="str">
        <f>IFERROR(IF(清单台账!$AE158=1,清单台账!$A158,""),"")</f>
        <v/>
      </c>
      <c r="B157" s="37" t="str">
        <f>IFERROR(IF(清单台账!$AE158=1,清单台账!$AA158,""),"")</f>
        <v/>
      </c>
      <c r="C157" s="38" t="str">
        <f>IFERROR(IF(清单台账!$AE158=1,清单台账!$AB158,""),"")</f>
        <v/>
      </c>
      <c r="D157" s="37" t="str">
        <f>IFERROR(IF(清单台账!$AE158=1,清单台账!$AC158,""),"")</f>
        <v/>
      </c>
      <c r="E157" s="37" t="str">
        <f>IFERROR(IF(清单台账!$AE158=1,清单台账!$AD158,""),"")</f>
        <v/>
      </c>
      <c r="F157" s="37" t="str">
        <f>IFERROR(IF(清单台账!$AE158=1,清单台账!$F158,""),"")</f>
        <v/>
      </c>
      <c r="G157" s="37" t="str">
        <f>IFERROR(IF(清单台账!$AE158=1,清单台账!$G158,""),"")</f>
        <v/>
      </c>
      <c r="H157" s="37" t="str">
        <f>IFERROR(IF(清单台账!$AE158=1,清单台账!$H158,""),"")</f>
        <v/>
      </c>
      <c r="I157" s="37" t="str">
        <f>IFERROR(IF(清单台账!$AE158=1,清单台账!$I158,""),"")</f>
        <v/>
      </c>
      <c r="J157" s="37" t="str">
        <f>IFERROR(IF(清单台账!$AE158=1,清单台账!$J158,""),"")</f>
        <v/>
      </c>
      <c r="K157" s="37" t="str">
        <f>IFERROR(IF(清单台账!$AE158=1,清单台账!$K158,""),"")</f>
        <v/>
      </c>
      <c r="L157" s="37" t="str">
        <f>IFERROR(IF(清单台账!$AE158=1,清单台账!$L158,""),"")</f>
        <v/>
      </c>
      <c r="M157" s="37" t="str">
        <f>IFERROR(IF(清单台账!$AE158=1,清单台账!$M158,""),"")</f>
        <v/>
      </c>
      <c r="N157" s="37" t="str">
        <f>IFERROR(IF(清单台账!$AE158=1,清单台账!$N158,""),"")</f>
        <v/>
      </c>
      <c r="O157" s="37" t="str">
        <f>IFERROR(IF(清单台账!$AE158=1,清单台账!$O158,""),"")</f>
        <v/>
      </c>
      <c r="P157" s="39" t="str">
        <f>IFERROR(IF(清单台账!$AE158=1,清单台账!$P158,""),"")</f>
        <v/>
      </c>
      <c r="Q157" s="39" t="str">
        <f>IFERROR(IF(清单台账!$AE158=1,清单台账!$Q158,""),"")</f>
        <v/>
      </c>
      <c r="R157" s="39" t="str">
        <f>IFERROR(IF(清单台账!$AE158=1,清单台账!$R158,""),"")</f>
        <v/>
      </c>
      <c r="S157" s="37" t="str">
        <f>IFERROR(IF(清单台账!$AE158=1,清单台账!$S158,""),"")</f>
        <v/>
      </c>
      <c r="T157" s="37" t="str">
        <f>IFERROR(IF(清单台账!$AE158=1,清单台账!$T158,""),"")</f>
        <v/>
      </c>
      <c r="U157" s="37" t="str">
        <f>IFERROR(IF(清单台账!$AE158=1,清单台账!$U158,""),"")</f>
        <v/>
      </c>
      <c r="V157" s="38" t="str">
        <f>IFERROR(IF(清单台账!$AE158=1,清单台账!$V158,""),"")</f>
        <v/>
      </c>
      <c r="W157" s="40" t="str">
        <f>IFERROR(IF(清单台账!$AE158=1,清单台账!$W158,""),"")</f>
        <v/>
      </c>
      <c r="X157" s="46" t="str">
        <f>IF($F157&lt;&gt;"",IFERROR(MAX($X$5:$X156),0)+1,"")</f>
        <v/>
      </c>
    </row>
    <row r="158" spans="1:24">
      <c r="A158" s="36" t="str">
        <f>IFERROR(IF(清单台账!$AE159=1,清单台账!$A159,""),"")</f>
        <v/>
      </c>
      <c r="B158" s="37" t="str">
        <f>IFERROR(IF(清单台账!$AE159=1,清单台账!$AA159,""),"")</f>
        <v/>
      </c>
      <c r="C158" s="38" t="str">
        <f>IFERROR(IF(清单台账!$AE159=1,清单台账!$AB159,""),"")</f>
        <v/>
      </c>
      <c r="D158" s="37" t="str">
        <f>IFERROR(IF(清单台账!$AE159=1,清单台账!$AC159,""),"")</f>
        <v/>
      </c>
      <c r="E158" s="37" t="str">
        <f>IFERROR(IF(清单台账!$AE159=1,清单台账!$AD159,""),"")</f>
        <v/>
      </c>
      <c r="F158" s="37" t="str">
        <f>IFERROR(IF(清单台账!$AE159=1,清单台账!$F159,""),"")</f>
        <v/>
      </c>
      <c r="G158" s="37" t="str">
        <f>IFERROR(IF(清单台账!$AE159=1,清单台账!$G159,""),"")</f>
        <v/>
      </c>
      <c r="H158" s="37" t="str">
        <f>IFERROR(IF(清单台账!$AE159=1,清单台账!$H159,""),"")</f>
        <v/>
      </c>
      <c r="I158" s="37" t="str">
        <f>IFERROR(IF(清单台账!$AE159=1,清单台账!$I159,""),"")</f>
        <v/>
      </c>
      <c r="J158" s="37" t="str">
        <f>IFERROR(IF(清单台账!$AE159=1,清单台账!$J159,""),"")</f>
        <v/>
      </c>
      <c r="K158" s="37" t="str">
        <f>IFERROR(IF(清单台账!$AE159=1,清单台账!$K159,""),"")</f>
        <v/>
      </c>
      <c r="L158" s="37" t="str">
        <f>IFERROR(IF(清单台账!$AE159=1,清单台账!$L159,""),"")</f>
        <v/>
      </c>
      <c r="M158" s="37" t="str">
        <f>IFERROR(IF(清单台账!$AE159=1,清单台账!$M159,""),"")</f>
        <v/>
      </c>
      <c r="N158" s="37" t="str">
        <f>IFERROR(IF(清单台账!$AE159=1,清单台账!$N159,""),"")</f>
        <v/>
      </c>
      <c r="O158" s="37" t="str">
        <f>IFERROR(IF(清单台账!$AE159=1,清单台账!$O159,""),"")</f>
        <v/>
      </c>
      <c r="P158" s="39" t="str">
        <f>IFERROR(IF(清单台账!$AE159=1,清单台账!$P159,""),"")</f>
        <v/>
      </c>
      <c r="Q158" s="39" t="str">
        <f>IFERROR(IF(清单台账!$AE159=1,清单台账!$Q159,""),"")</f>
        <v/>
      </c>
      <c r="R158" s="39" t="str">
        <f>IFERROR(IF(清单台账!$AE159=1,清单台账!$R159,""),"")</f>
        <v/>
      </c>
      <c r="S158" s="37" t="str">
        <f>IFERROR(IF(清单台账!$AE159=1,清单台账!$S159,""),"")</f>
        <v/>
      </c>
      <c r="T158" s="37" t="str">
        <f>IFERROR(IF(清单台账!$AE159=1,清单台账!$T159,""),"")</f>
        <v/>
      </c>
      <c r="U158" s="37" t="str">
        <f>IFERROR(IF(清单台账!$AE159=1,清单台账!$U159,""),"")</f>
        <v/>
      </c>
      <c r="V158" s="38" t="str">
        <f>IFERROR(IF(清单台账!$AE159=1,清单台账!$V159,""),"")</f>
        <v/>
      </c>
      <c r="W158" s="40" t="str">
        <f>IFERROR(IF(清单台账!$AE159=1,清单台账!$W159,""),"")</f>
        <v/>
      </c>
      <c r="X158" s="46" t="str">
        <f>IF($F158&lt;&gt;"",IFERROR(MAX($X$5:$X157),0)+1,"")</f>
        <v/>
      </c>
    </row>
    <row r="159" spans="1:24">
      <c r="A159" s="36" t="str">
        <f>IFERROR(IF(清单台账!$AE160=1,清单台账!$A160,""),"")</f>
        <v/>
      </c>
      <c r="B159" s="37" t="str">
        <f>IFERROR(IF(清单台账!$AE160=1,清单台账!$AA160,""),"")</f>
        <v/>
      </c>
      <c r="C159" s="38" t="str">
        <f>IFERROR(IF(清单台账!$AE160=1,清单台账!$AB160,""),"")</f>
        <v/>
      </c>
      <c r="D159" s="37" t="str">
        <f>IFERROR(IF(清单台账!$AE160=1,清单台账!$AC160,""),"")</f>
        <v/>
      </c>
      <c r="E159" s="37" t="str">
        <f>IFERROR(IF(清单台账!$AE160=1,清单台账!$AD160,""),"")</f>
        <v/>
      </c>
      <c r="F159" s="37" t="str">
        <f>IFERROR(IF(清单台账!$AE160=1,清单台账!$F160,""),"")</f>
        <v/>
      </c>
      <c r="G159" s="37" t="str">
        <f>IFERROR(IF(清单台账!$AE160=1,清单台账!$G160,""),"")</f>
        <v/>
      </c>
      <c r="H159" s="37" t="str">
        <f>IFERROR(IF(清单台账!$AE160=1,清单台账!$H160,""),"")</f>
        <v/>
      </c>
      <c r="I159" s="37" t="str">
        <f>IFERROR(IF(清单台账!$AE160=1,清单台账!$I160,""),"")</f>
        <v/>
      </c>
      <c r="J159" s="37" t="str">
        <f>IFERROR(IF(清单台账!$AE160=1,清单台账!$J160,""),"")</f>
        <v/>
      </c>
      <c r="K159" s="37" t="str">
        <f>IFERROR(IF(清单台账!$AE160=1,清单台账!$K160,""),"")</f>
        <v/>
      </c>
      <c r="L159" s="37" t="str">
        <f>IFERROR(IF(清单台账!$AE160=1,清单台账!$L160,""),"")</f>
        <v/>
      </c>
      <c r="M159" s="37" t="str">
        <f>IFERROR(IF(清单台账!$AE160=1,清单台账!$M160,""),"")</f>
        <v/>
      </c>
      <c r="N159" s="37" t="str">
        <f>IFERROR(IF(清单台账!$AE160=1,清单台账!$N160,""),"")</f>
        <v/>
      </c>
      <c r="O159" s="37" t="str">
        <f>IFERROR(IF(清单台账!$AE160=1,清单台账!$O160,""),"")</f>
        <v/>
      </c>
      <c r="P159" s="39" t="str">
        <f>IFERROR(IF(清单台账!$AE160=1,清单台账!$P160,""),"")</f>
        <v/>
      </c>
      <c r="Q159" s="39" t="str">
        <f>IFERROR(IF(清单台账!$AE160=1,清单台账!$Q160,""),"")</f>
        <v/>
      </c>
      <c r="R159" s="39" t="str">
        <f>IFERROR(IF(清单台账!$AE160=1,清单台账!$R160,""),"")</f>
        <v/>
      </c>
      <c r="S159" s="37" t="str">
        <f>IFERROR(IF(清单台账!$AE160=1,清单台账!$S160,""),"")</f>
        <v/>
      </c>
      <c r="T159" s="37" t="str">
        <f>IFERROR(IF(清单台账!$AE160=1,清单台账!$T160,""),"")</f>
        <v/>
      </c>
      <c r="U159" s="37" t="str">
        <f>IFERROR(IF(清单台账!$AE160=1,清单台账!$U160,""),"")</f>
        <v/>
      </c>
      <c r="V159" s="38" t="str">
        <f>IFERROR(IF(清单台账!$AE160=1,清单台账!$V160,""),"")</f>
        <v/>
      </c>
      <c r="W159" s="40" t="str">
        <f>IFERROR(IF(清单台账!$AE160=1,清单台账!$W160,""),"")</f>
        <v/>
      </c>
      <c r="X159" s="46" t="str">
        <f>IF($F159&lt;&gt;"",IFERROR(MAX($X$5:$X158),0)+1,"")</f>
        <v/>
      </c>
    </row>
    <row r="160" spans="1:24">
      <c r="A160" s="36" t="str">
        <f>IFERROR(IF(清单台账!$AE161=1,清单台账!$A161,""),"")</f>
        <v/>
      </c>
      <c r="B160" s="37" t="str">
        <f>IFERROR(IF(清单台账!$AE161=1,清单台账!$AA161,""),"")</f>
        <v/>
      </c>
      <c r="C160" s="38" t="str">
        <f>IFERROR(IF(清单台账!$AE161=1,清单台账!$AB161,""),"")</f>
        <v/>
      </c>
      <c r="D160" s="37" t="str">
        <f>IFERROR(IF(清单台账!$AE161=1,清单台账!$AC161,""),"")</f>
        <v/>
      </c>
      <c r="E160" s="37" t="str">
        <f>IFERROR(IF(清单台账!$AE161=1,清单台账!$AD161,""),"")</f>
        <v/>
      </c>
      <c r="F160" s="37" t="str">
        <f>IFERROR(IF(清单台账!$AE161=1,清单台账!$F161,""),"")</f>
        <v/>
      </c>
      <c r="G160" s="37" t="str">
        <f>IFERROR(IF(清单台账!$AE161=1,清单台账!$G161,""),"")</f>
        <v/>
      </c>
      <c r="H160" s="37" t="str">
        <f>IFERROR(IF(清单台账!$AE161=1,清单台账!$H161,""),"")</f>
        <v/>
      </c>
      <c r="I160" s="37" t="str">
        <f>IFERROR(IF(清单台账!$AE161=1,清单台账!$I161,""),"")</f>
        <v/>
      </c>
      <c r="J160" s="37" t="str">
        <f>IFERROR(IF(清单台账!$AE161=1,清单台账!$J161,""),"")</f>
        <v/>
      </c>
      <c r="K160" s="37" t="str">
        <f>IFERROR(IF(清单台账!$AE161=1,清单台账!$K161,""),"")</f>
        <v/>
      </c>
      <c r="L160" s="37" t="str">
        <f>IFERROR(IF(清单台账!$AE161=1,清单台账!$L161,""),"")</f>
        <v/>
      </c>
      <c r="M160" s="37" t="str">
        <f>IFERROR(IF(清单台账!$AE161=1,清单台账!$M161,""),"")</f>
        <v/>
      </c>
      <c r="N160" s="37" t="str">
        <f>IFERROR(IF(清单台账!$AE161=1,清单台账!$N161,""),"")</f>
        <v/>
      </c>
      <c r="O160" s="37" t="str">
        <f>IFERROR(IF(清单台账!$AE161=1,清单台账!$O161,""),"")</f>
        <v/>
      </c>
      <c r="P160" s="39" t="str">
        <f>IFERROR(IF(清单台账!$AE161=1,清单台账!$P161,""),"")</f>
        <v/>
      </c>
      <c r="Q160" s="39" t="str">
        <f>IFERROR(IF(清单台账!$AE161=1,清单台账!$Q161,""),"")</f>
        <v/>
      </c>
      <c r="R160" s="39" t="str">
        <f>IFERROR(IF(清单台账!$AE161=1,清单台账!$R161,""),"")</f>
        <v/>
      </c>
      <c r="S160" s="37" t="str">
        <f>IFERROR(IF(清单台账!$AE161=1,清单台账!$S161,""),"")</f>
        <v/>
      </c>
      <c r="T160" s="37" t="str">
        <f>IFERROR(IF(清单台账!$AE161=1,清单台账!$T161,""),"")</f>
        <v/>
      </c>
      <c r="U160" s="37" t="str">
        <f>IFERROR(IF(清单台账!$AE161=1,清单台账!$U161,""),"")</f>
        <v/>
      </c>
      <c r="V160" s="38" t="str">
        <f>IFERROR(IF(清单台账!$AE161=1,清单台账!$V161,""),"")</f>
        <v/>
      </c>
      <c r="W160" s="40" t="str">
        <f>IFERROR(IF(清单台账!$AE161=1,清单台账!$W161,""),"")</f>
        <v/>
      </c>
      <c r="X160" s="46" t="str">
        <f>IF($F160&lt;&gt;"",IFERROR(MAX($X$5:$X159),0)+1,"")</f>
        <v/>
      </c>
    </row>
    <row r="161" spans="1:24">
      <c r="A161" s="36" t="str">
        <f>IFERROR(IF(清单台账!$AE162=1,清单台账!$A162,""),"")</f>
        <v/>
      </c>
      <c r="B161" s="37" t="str">
        <f>IFERROR(IF(清单台账!$AE162=1,清单台账!$AA162,""),"")</f>
        <v/>
      </c>
      <c r="C161" s="38" t="str">
        <f>IFERROR(IF(清单台账!$AE162=1,清单台账!$AB162,""),"")</f>
        <v/>
      </c>
      <c r="D161" s="37" t="str">
        <f>IFERROR(IF(清单台账!$AE162=1,清单台账!$AC162,""),"")</f>
        <v/>
      </c>
      <c r="E161" s="37" t="str">
        <f>IFERROR(IF(清单台账!$AE162=1,清单台账!$AD162,""),"")</f>
        <v/>
      </c>
      <c r="F161" s="37" t="str">
        <f>IFERROR(IF(清单台账!$AE162=1,清单台账!$F162,""),"")</f>
        <v/>
      </c>
      <c r="G161" s="37" t="str">
        <f>IFERROR(IF(清单台账!$AE162=1,清单台账!$G162,""),"")</f>
        <v/>
      </c>
      <c r="H161" s="37" t="str">
        <f>IFERROR(IF(清单台账!$AE162=1,清单台账!$H162,""),"")</f>
        <v/>
      </c>
      <c r="I161" s="37" t="str">
        <f>IFERROR(IF(清单台账!$AE162=1,清单台账!$I162,""),"")</f>
        <v/>
      </c>
      <c r="J161" s="37" t="str">
        <f>IFERROR(IF(清单台账!$AE162=1,清单台账!$J162,""),"")</f>
        <v/>
      </c>
      <c r="K161" s="37" t="str">
        <f>IFERROR(IF(清单台账!$AE162=1,清单台账!$K162,""),"")</f>
        <v/>
      </c>
      <c r="L161" s="37" t="str">
        <f>IFERROR(IF(清单台账!$AE162=1,清单台账!$L162,""),"")</f>
        <v/>
      </c>
      <c r="M161" s="37" t="str">
        <f>IFERROR(IF(清单台账!$AE162=1,清单台账!$M162,""),"")</f>
        <v/>
      </c>
      <c r="N161" s="37" t="str">
        <f>IFERROR(IF(清单台账!$AE162=1,清单台账!$N162,""),"")</f>
        <v/>
      </c>
      <c r="O161" s="37" t="str">
        <f>IFERROR(IF(清单台账!$AE162=1,清单台账!$O162,""),"")</f>
        <v/>
      </c>
      <c r="P161" s="39" t="str">
        <f>IFERROR(IF(清单台账!$AE162=1,清单台账!$P162,""),"")</f>
        <v/>
      </c>
      <c r="Q161" s="39" t="str">
        <f>IFERROR(IF(清单台账!$AE162=1,清单台账!$Q162,""),"")</f>
        <v/>
      </c>
      <c r="R161" s="39" t="str">
        <f>IFERROR(IF(清单台账!$AE162=1,清单台账!$R162,""),"")</f>
        <v/>
      </c>
      <c r="S161" s="37" t="str">
        <f>IFERROR(IF(清单台账!$AE162=1,清单台账!$S162,""),"")</f>
        <v/>
      </c>
      <c r="T161" s="37" t="str">
        <f>IFERROR(IF(清单台账!$AE162=1,清单台账!$T162,""),"")</f>
        <v/>
      </c>
      <c r="U161" s="37" t="str">
        <f>IFERROR(IF(清单台账!$AE162=1,清单台账!$U162,""),"")</f>
        <v/>
      </c>
      <c r="V161" s="38" t="str">
        <f>IFERROR(IF(清单台账!$AE162=1,清单台账!$V162,""),"")</f>
        <v/>
      </c>
      <c r="W161" s="40" t="str">
        <f>IFERROR(IF(清单台账!$AE162=1,清单台账!$W162,""),"")</f>
        <v/>
      </c>
      <c r="X161" s="46" t="str">
        <f>IF($F161&lt;&gt;"",IFERROR(MAX($X$5:$X160),0)+1,"")</f>
        <v/>
      </c>
    </row>
    <row r="162" spans="1:24">
      <c r="A162" s="36" t="str">
        <f>IFERROR(IF(清单台账!$AE163=1,清单台账!$A163,""),"")</f>
        <v/>
      </c>
      <c r="B162" s="37" t="str">
        <f>IFERROR(IF(清单台账!$AE163=1,清单台账!$AA163,""),"")</f>
        <v/>
      </c>
      <c r="C162" s="38" t="str">
        <f>IFERROR(IF(清单台账!$AE163=1,清单台账!$AB163,""),"")</f>
        <v/>
      </c>
      <c r="D162" s="37" t="str">
        <f>IFERROR(IF(清单台账!$AE163=1,清单台账!$AC163,""),"")</f>
        <v/>
      </c>
      <c r="E162" s="37" t="str">
        <f>IFERROR(IF(清单台账!$AE163=1,清单台账!$AD163,""),"")</f>
        <v/>
      </c>
      <c r="F162" s="37" t="str">
        <f>IFERROR(IF(清单台账!$AE163=1,清单台账!$F163,""),"")</f>
        <v/>
      </c>
      <c r="G162" s="37" t="str">
        <f>IFERROR(IF(清单台账!$AE163=1,清单台账!$G163,""),"")</f>
        <v/>
      </c>
      <c r="H162" s="37" t="str">
        <f>IFERROR(IF(清单台账!$AE163=1,清单台账!$H163,""),"")</f>
        <v/>
      </c>
      <c r="I162" s="37" t="str">
        <f>IFERROR(IF(清单台账!$AE163=1,清单台账!$I163,""),"")</f>
        <v/>
      </c>
      <c r="J162" s="37" t="str">
        <f>IFERROR(IF(清单台账!$AE163=1,清单台账!$J163,""),"")</f>
        <v/>
      </c>
      <c r="K162" s="37" t="str">
        <f>IFERROR(IF(清单台账!$AE163=1,清单台账!$K163,""),"")</f>
        <v/>
      </c>
      <c r="L162" s="37" t="str">
        <f>IFERROR(IF(清单台账!$AE163=1,清单台账!$L163,""),"")</f>
        <v/>
      </c>
      <c r="M162" s="37" t="str">
        <f>IFERROR(IF(清单台账!$AE163=1,清单台账!$M163,""),"")</f>
        <v/>
      </c>
      <c r="N162" s="37" t="str">
        <f>IFERROR(IF(清单台账!$AE163=1,清单台账!$N163,""),"")</f>
        <v/>
      </c>
      <c r="O162" s="37" t="str">
        <f>IFERROR(IF(清单台账!$AE163=1,清单台账!$O163,""),"")</f>
        <v/>
      </c>
      <c r="P162" s="39" t="str">
        <f>IFERROR(IF(清单台账!$AE163=1,清单台账!$P163,""),"")</f>
        <v/>
      </c>
      <c r="Q162" s="39" t="str">
        <f>IFERROR(IF(清单台账!$AE163=1,清单台账!$Q163,""),"")</f>
        <v/>
      </c>
      <c r="R162" s="39" t="str">
        <f>IFERROR(IF(清单台账!$AE163=1,清单台账!$R163,""),"")</f>
        <v/>
      </c>
      <c r="S162" s="37" t="str">
        <f>IFERROR(IF(清单台账!$AE163=1,清单台账!$S163,""),"")</f>
        <v/>
      </c>
      <c r="T162" s="37" t="str">
        <f>IFERROR(IF(清单台账!$AE163=1,清单台账!$T163,""),"")</f>
        <v/>
      </c>
      <c r="U162" s="37" t="str">
        <f>IFERROR(IF(清单台账!$AE163=1,清单台账!$U163,""),"")</f>
        <v/>
      </c>
      <c r="V162" s="38" t="str">
        <f>IFERROR(IF(清单台账!$AE163=1,清单台账!$V163,""),"")</f>
        <v/>
      </c>
      <c r="W162" s="40" t="str">
        <f>IFERROR(IF(清单台账!$AE163=1,清单台账!$W163,""),"")</f>
        <v/>
      </c>
      <c r="X162" s="46" t="str">
        <f>IF($F162&lt;&gt;"",IFERROR(MAX($X$5:$X161),0)+1,"")</f>
        <v/>
      </c>
    </row>
    <row r="163" spans="1:24">
      <c r="A163" s="36" t="str">
        <f>IFERROR(IF(清单台账!$AE164=1,清单台账!$A164,""),"")</f>
        <v/>
      </c>
      <c r="B163" s="37" t="str">
        <f>IFERROR(IF(清单台账!$AE164=1,清单台账!$AA164,""),"")</f>
        <v/>
      </c>
      <c r="C163" s="38" t="str">
        <f>IFERROR(IF(清单台账!$AE164=1,清单台账!$AB164,""),"")</f>
        <v/>
      </c>
      <c r="D163" s="37" t="str">
        <f>IFERROR(IF(清单台账!$AE164=1,清单台账!$AC164,""),"")</f>
        <v/>
      </c>
      <c r="E163" s="37" t="str">
        <f>IFERROR(IF(清单台账!$AE164=1,清单台账!$AD164,""),"")</f>
        <v/>
      </c>
      <c r="F163" s="37" t="str">
        <f>IFERROR(IF(清单台账!$AE164=1,清单台账!$F164,""),"")</f>
        <v/>
      </c>
      <c r="G163" s="37" t="str">
        <f>IFERROR(IF(清单台账!$AE164=1,清单台账!$G164,""),"")</f>
        <v/>
      </c>
      <c r="H163" s="37" t="str">
        <f>IFERROR(IF(清单台账!$AE164=1,清单台账!$H164,""),"")</f>
        <v/>
      </c>
      <c r="I163" s="37" t="str">
        <f>IFERROR(IF(清单台账!$AE164=1,清单台账!$I164,""),"")</f>
        <v/>
      </c>
      <c r="J163" s="37" t="str">
        <f>IFERROR(IF(清单台账!$AE164=1,清单台账!$J164,""),"")</f>
        <v/>
      </c>
      <c r="K163" s="37" t="str">
        <f>IFERROR(IF(清单台账!$AE164=1,清单台账!$K164,""),"")</f>
        <v/>
      </c>
      <c r="L163" s="37" t="str">
        <f>IFERROR(IF(清单台账!$AE164=1,清单台账!$L164,""),"")</f>
        <v/>
      </c>
      <c r="M163" s="37" t="str">
        <f>IFERROR(IF(清单台账!$AE164=1,清单台账!$M164,""),"")</f>
        <v/>
      </c>
      <c r="N163" s="37" t="str">
        <f>IFERROR(IF(清单台账!$AE164=1,清单台账!$N164,""),"")</f>
        <v/>
      </c>
      <c r="O163" s="37" t="str">
        <f>IFERROR(IF(清单台账!$AE164=1,清单台账!$O164,""),"")</f>
        <v/>
      </c>
      <c r="P163" s="39" t="str">
        <f>IFERROR(IF(清单台账!$AE164=1,清单台账!$P164,""),"")</f>
        <v/>
      </c>
      <c r="Q163" s="39" t="str">
        <f>IFERROR(IF(清单台账!$AE164=1,清单台账!$Q164,""),"")</f>
        <v/>
      </c>
      <c r="R163" s="39" t="str">
        <f>IFERROR(IF(清单台账!$AE164=1,清单台账!$R164,""),"")</f>
        <v/>
      </c>
      <c r="S163" s="37" t="str">
        <f>IFERROR(IF(清单台账!$AE164=1,清单台账!$S164,""),"")</f>
        <v/>
      </c>
      <c r="T163" s="37" t="str">
        <f>IFERROR(IF(清单台账!$AE164=1,清单台账!$T164,""),"")</f>
        <v/>
      </c>
      <c r="U163" s="37" t="str">
        <f>IFERROR(IF(清单台账!$AE164=1,清单台账!$U164,""),"")</f>
        <v/>
      </c>
      <c r="V163" s="38" t="str">
        <f>IFERROR(IF(清单台账!$AE164=1,清单台账!$V164,""),"")</f>
        <v/>
      </c>
      <c r="W163" s="40" t="str">
        <f>IFERROR(IF(清单台账!$AE164=1,清单台账!$W164,""),"")</f>
        <v/>
      </c>
      <c r="X163" s="46" t="str">
        <f>IF($F163&lt;&gt;"",IFERROR(MAX($X$5:$X162),0)+1,"")</f>
        <v/>
      </c>
    </row>
    <row r="164" spans="1:24">
      <c r="A164" s="36" t="str">
        <f>IFERROR(IF(清单台账!$AE165=1,清单台账!$A165,""),"")</f>
        <v/>
      </c>
      <c r="B164" s="37" t="str">
        <f>IFERROR(IF(清单台账!$AE165=1,清单台账!$AA165,""),"")</f>
        <v/>
      </c>
      <c r="C164" s="38" t="str">
        <f>IFERROR(IF(清单台账!$AE165=1,清单台账!$AB165,""),"")</f>
        <v/>
      </c>
      <c r="D164" s="37" t="str">
        <f>IFERROR(IF(清单台账!$AE165=1,清单台账!$AC165,""),"")</f>
        <v/>
      </c>
      <c r="E164" s="37" t="str">
        <f>IFERROR(IF(清单台账!$AE165=1,清单台账!$AD165,""),"")</f>
        <v/>
      </c>
      <c r="F164" s="37" t="str">
        <f>IFERROR(IF(清单台账!$AE165=1,清单台账!$F165,""),"")</f>
        <v/>
      </c>
      <c r="G164" s="37" t="str">
        <f>IFERROR(IF(清单台账!$AE165=1,清单台账!$G165,""),"")</f>
        <v/>
      </c>
      <c r="H164" s="37" t="str">
        <f>IFERROR(IF(清单台账!$AE165=1,清单台账!$H165,""),"")</f>
        <v/>
      </c>
      <c r="I164" s="37" t="str">
        <f>IFERROR(IF(清单台账!$AE165=1,清单台账!$I165,""),"")</f>
        <v/>
      </c>
      <c r="J164" s="37" t="str">
        <f>IFERROR(IF(清单台账!$AE165=1,清单台账!$J165,""),"")</f>
        <v/>
      </c>
      <c r="K164" s="37" t="str">
        <f>IFERROR(IF(清单台账!$AE165=1,清单台账!$K165,""),"")</f>
        <v/>
      </c>
      <c r="L164" s="37" t="str">
        <f>IFERROR(IF(清单台账!$AE165=1,清单台账!$L165,""),"")</f>
        <v/>
      </c>
      <c r="M164" s="37" t="str">
        <f>IFERROR(IF(清单台账!$AE165=1,清单台账!$M165,""),"")</f>
        <v/>
      </c>
      <c r="N164" s="37" t="str">
        <f>IFERROR(IF(清单台账!$AE165=1,清单台账!$N165,""),"")</f>
        <v/>
      </c>
      <c r="O164" s="37" t="str">
        <f>IFERROR(IF(清单台账!$AE165=1,清单台账!$O165,""),"")</f>
        <v/>
      </c>
      <c r="P164" s="39" t="str">
        <f>IFERROR(IF(清单台账!$AE165=1,清单台账!$P165,""),"")</f>
        <v/>
      </c>
      <c r="Q164" s="39" t="str">
        <f>IFERROR(IF(清单台账!$AE165=1,清单台账!$Q165,""),"")</f>
        <v/>
      </c>
      <c r="R164" s="39" t="str">
        <f>IFERROR(IF(清单台账!$AE165=1,清单台账!$R165,""),"")</f>
        <v/>
      </c>
      <c r="S164" s="37" t="str">
        <f>IFERROR(IF(清单台账!$AE165=1,清单台账!$S165,""),"")</f>
        <v/>
      </c>
      <c r="T164" s="37" t="str">
        <f>IFERROR(IF(清单台账!$AE165=1,清单台账!$T165,""),"")</f>
        <v/>
      </c>
      <c r="U164" s="37" t="str">
        <f>IFERROR(IF(清单台账!$AE165=1,清单台账!$U165,""),"")</f>
        <v/>
      </c>
      <c r="V164" s="38" t="str">
        <f>IFERROR(IF(清单台账!$AE165=1,清单台账!$V165,""),"")</f>
        <v/>
      </c>
      <c r="W164" s="40" t="str">
        <f>IFERROR(IF(清单台账!$AE165=1,清单台账!$W165,""),"")</f>
        <v/>
      </c>
      <c r="X164" s="46" t="str">
        <f>IF($F164&lt;&gt;"",IFERROR(MAX($X$5:$X163),0)+1,"")</f>
        <v/>
      </c>
    </row>
    <row r="165" spans="1:24">
      <c r="A165" s="36" t="str">
        <f>IFERROR(IF(清单台账!$AE166=1,清单台账!$A166,""),"")</f>
        <v/>
      </c>
      <c r="B165" s="37" t="str">
        <f>IFERROR(IF(清单台账!$AE166=1,清单台账!$AA166,""),"")</f>
        <v/>
      </c>
      <c r="C165" s="38" t="str">
        <f>IFERROR(IF(清单台账!$AE166=1,清单台账!$AB166,""),"")</f>
        <v/>
      </c>
      <c r="D165" s="37" t="str">
        <f>IFERROR(IF(清单台账!$AE166=1,清单台账!$AC166,""),"")</f>
        <v/>
      </c>
      <c r="E165" s="37" t="str">
        <f>IFERROR(IF(清单台账!$AE166=1,清单台账!$AD166,""),"")</f>
        <v/>
      </c>
      <c r="F165" s="37" t="str">
        <f>IFERROR(IF(清单台账!$AE166=1,清单台账!$F166,""),"")</f>
        <v/>
      </c>
      <c r="G165" s="37" t="str">
        <f>IFERROR(IF(清单台账!$AE166=1,清单台账!$G166,""),"")</f>
        <v/>
      </c>
      <c r="H165" s="37" t="str">
        <f>IFERROR(IF(清单台账!$AE166=1,清单台账!$H166,""),"")</f>
        <v/>
      </c>
      <c r="I165" s="37" t="str">
        <f>IFERROR(IF(清单台账!$AE166=1,清单台账!$I166,""),"")</f>
        <v/>
      </c>
      <c r="J165" s="37" t="str">
        <f>IFERROR(IF(清单台账!$AE166=1,清单台账!$J166,""),"")</f>
        <v/>
      </c>
      <c r="K165" s="37" t="str">
        <f>IFERROR(IF(清单台账!$AE166=1,清单台账!$K166,""),"")</f>
        <v/>
      </c>
      <c r="L165" s="37" t="str">
        <f>IFERROR(IF(清单台账!$AE166=1,清单台账!$L166,""),"")</f>
        <v/>
      </c>
      <c r="M165" s="37" t="str">
        <f>IFERROR(IF(清单台账!$AE166=1,清单台账!$M166,""),"")</f>
        <v/>
      </c>
      <c r="N165" s="37" t="str">
        <f>IFERROR(IF(清单台账!$AE166=1,清单台账!$N166,""),"")</f>
        <v/>
      </c>
      <c r="O165" s="37" t="str">
        <f>IFERROR(IF(清单台账!$AE166=1,清单台账!$O166,""),"")</f>
        <v/>
      </c>
      <c r="P165" s="39" t="str">
        <f>IFERROR(IF(清单台账!$AE166=1,清单台账!$P166,""),"")</f>
        <v/>
      </c>
      <c r="Q165" s="39" t="str">
        <f>IFERROR(IF(清单台账!$AE166=1,清单台账!$Q166,""),"")</f>
        <v/>
      </c>
      <c r="R165" s="39" t="str">
        <f>IFERROR(IF(清单台账!$AE166=1,清单台账!$R166,""),"")</f>
        <v/>
      </c>
      <c r="S165" s="37" t="str">
        <f>IFERROR(IF(清单台账!$AE166=1,清单台账!$S166,""),"")</f>
        <v/>
      </c>
      <c r="T165" s="37" t="str">
        <f>IFERROR(IF(清单台账!$AE166=1,清单台账!$T166,""),"")</f>
        <v/>
      </c>
      <c r="U165" s="37" t="str">
        <f>IFERROR(IF(清单台账!$AE166=1,清单台账!$U166,""),"")</f>
        <v/>
      </c>
      <c r="V165" s="38" t="str">
        <f>IFERROR(IF(清单台账!$AE166=1,清单台账!$V166,""),"")</f>
        <v/>
      </c>
      <c r="W165" s="40" t="str">
        <f>IFERROR(IF(清单台账!$AE166=1,清单台账!$W166,""),"")</f>
        <v/>
      </c>
      <c r="X165" s="46" t="str">
        <f>IF($F165&lt;&gt;"",IFERROR(MAX($X$5:$X164),0)+1,"")</f>
        <v/>
      </c>
    </row>
    <row r="166" spans="1:24">
      <c r="A166" s="36" t="str">
        <f>IFERROR(IF(清单台账!$AE167=1,清单台账!$A167,""),"")</f>
        <v/>
      </c>
      <c r="B166" s="37" t="str">
        <f>IFERROR(IF(清单台账!$AE167=1,清单台账!$AA167,""),"")</f>
        <v/>
      </c>
      <c r="C166" s="38" t="str">
        <f>IFERROR(IF(清单台账!$AE167=1,清单台账!$AB167,""),"")</f>
        <v/>
      </c>
      <c r="D166" s="37" t="str">
        <f>IFERROR(IF(清单台账!$AE167=1,清单台账!$AC167,""),"")</f>
        <v/>
      </c>
      <c r="E166" s="37" t="str">
        <f>IFERROR(IF(清单台账!$AE167=1,清单台账!$AD167,""),"")</f>
        <v/>
      </c>
      <c r="F166" s="37" t="str">
        <f>IFERROR(IF(清单台账!$AE167=1,清单台账!$F167,""),"")</f>
        <v/>
      </c>
      <c r="G166" s="37" t="str">
        <f>IFERROR(IF(清单台账!$AE167=1,清单台账!$G167,""),"")</f>
        <v/>
      </c>
      <c r="H166" s="37" t="str">
        <f>IFERROR(IF(清单台账!$AE167=1,清单台账!$H167,""),"")</f>
        <v/>
      </c>
      <c r="I166" s="37" t="str">
        <f>IFERROR(IF(清单台账!$AE167=1,清单台账!$I167,""),"")</f>
        <v/>
      </c>
      <c r="J166" s="37" t="str">
        <f>IFERROR(IF(清单台账!$AE167=1,清单台账!$J167,""),"")</f>
        <v/>
      </c>
      <c r="K166" s="37" t="str">
        <f>IFERROR(IF(清单台账!$AE167=1,清单台账!$K167,""),"")</f>
        <v/>
      </c>
      <c r="L166" s="37" t="str">
        <f>IFERROR(IF(清单台账!$AE167=1,清单台账!$L167,""),"")</f>
        <v/>
      </c>
      <c r="M166" s="37" t="str">
        <f>IFERROR(IF(清单台账!$AE167=1,清单台账!$M167,""),"")</f>
        <v/>
      </c>
      <c r="N166" s="37" t="str">
        <f>IFERROR(IF(清单台账!$AE167=1,清单台账!$N167,""),"")</f>
        <v/>
      </c>
      <c r="O166" s="37" t="str">
        <f>IFERROR(IF(清单台账!$AE167=1,清单台账!$O167,""),"")</f>
        <v/>
      </c>
      <c r="P166" s="39" t="str">
        <f>IFERROR(IF(清单台账!$AE167=1,清单台账!$P167,""),"")</f>
        <v/>
      </c>
      <c r="Q166" s="39" t="str">
        <f>IFERROR(IF(清单台账!$AE167=1,清单台账!$Q167,""),"")</f>
        <v/>
      </c>
      <c r="R166" s="39" t="str">
        <f>IFERROR(IF(清单台账!$AE167=1,清单台账!$R167,""),"")</f>
        <v/>
      </c>
      <c r="S166" s="37" t="str">
        <f>IFERROR(IF(清单台账!$AE167=1,清单台账!$S167,""),"")</f>
        <v/>
      </c>
      <c r="T166" s="37" t="str">
        <f>IFERROR(IF(清单台账!$AE167=1,清单台账!$T167,""),"")</f>
        <v/>
      </c>
      <c r="U166" s="37" t="str">
        <f>IFERROR(IF(清单台账!$AE167=1,清单台账!$U167,""),"")</f>
        <v/>
      </c>
      <c r="V166" s="38" t="str">
        <f>IFERROR(IF(清单台账!$AE167=1,清单台账!$V167,""),"")</f>
        <v/>
      </c>
      <c r="W166" s="40" t="str">
        <f>IFERROR(IF(清单台账!$AE167=1,清单台账!$W167,""),"")</f>
        <v/>
      </c>
      <c r="X166" s="46" t="str">
        <f>IF($F166&lt;&gt;"",IFERROR(MAX($X$5:$X165),0)+1,"")</f>
        <v/>
      </c>
    </row>
    <row r="167" spans="1:24">
      <c r="A167" s="36" t="str">
        <f>IFERROR(IF(清单台账!$AE168=1,清单台账!$A168,""),"")</f>
        <v/>
      </c>
      <c r="B167" s="37" t="str">
        <f>IFERROR(IF(清单台账!$AE168=1,清单台账!$AA168,""),"")</f>
        <v/>
      </c>
      <c r="C167" s="38" t="str">
        <f>IFERROR(IF(清单台账!$AE168=1,清单台账!$AB168,""),"")</f>
        <v/>
      </c>
      <c r="D167" s="37" t="str">
        <f>IFERROR(IF(清单台账!$AE168=1,清单台账!$AC168,""),"")</f>
        <v/>
      </c>
      <c r="E167" s="37" t="str">
        <f>IFERROR(IF(清单台账!$AE168=1,清单台账!$AD168,""),"")</f>
        <v/>
      </c>
      <c r="F167" s="37" t="str">
        <f>IFERROR(IF(清单台账!$AE168=1,清单台账!$F168,""),"")</f>
        <v/>
      </c>
      <c r="G167" s="37" t="str">
        <f>IFERROR(IF(清单台账!$AE168=1,清单台账!$G168,""),"")</f>
        <v/>
      </c>
      <c r="H167" s="37" t="str">
        <f>IFERROR(IF(清单台账!$AE168=1,清单台账!$H168,""),"")</f>
        <v/>
      </c>
      <c r="I167" s="37" t="str">
        <f>IFERROR(IF(清单台账!$AE168=1,清单台账!$I168,""),"")</f>
        <v/>
      </c>
      <c r="J167" s="37" t="str">
        <f>IFERROR(IF(清单台账!$AE168=1,清单台账!$J168,""),"")</f>
        <v/>
      </c>
      <c r="K167" s="37" t="str">
        <f>IFERROR(IF(清单台账!$AE168=1,清单台账!$K168,""),"")</f>
        <v/>
      </c>
      <c r="L167" s="37" t="str">
        <f>IFERROR(IF(清单台账!$AE168=1,清单台账!$L168,""),"")</f>
        <v/>
      </c>
      <c r="M167" s="37" t="str">
        <f>IFERROR(IF(清单台账!$AE168=1,清单台账!$M168,""),"")</f>
        <v/>
      </c>
      <c r="N167" s="37" t="str">
        <f>IFERROR(IF(清单台账!$AE168=1,清单台账!$N168,""),"")</f>
        <v/>
      </c>
      <c r="O167" s="37" t="str">
        <f>IFERROR(IF(清单台账!$AE168=1,清单台账!$O168,""),"")</f>
        <v/>
      </c>
      <c r="P167" s="39" t="str">
        <f>IFERROR(IF(清单台账!$AE168=1,清单台账!$P168,""),"")</f>
        <v/>
      </c>
      <c r="Q167" s="39" t="str">
        <f>IFERROR(IF(清单台账!$AE168=1,清单台账!$Q168,""),"")</f>
        <v/>
      </c>
      <c r="R167" s="39" t="str">
        <f>IFERROR(IF(清单台账!$AE168=1,清单台账!$R168,""),"")</f>
        <v/>
      </c>
      <c r="S167" s="37" t="str">
        <f>IFERROR(IF(清单台账!$AE168=1,清单台账!$S168,""),"")</f>
        <v/>
      </c>
      <c r="T167" s="37" t="str">
        <f>IFERROR(IF(清单台账!$AE168=1,清单台账!$T168,""),"")</f>
        <v/>
      </c>
      <c r="U167" s="37" t="str">
        <f>IFERROR(IF(清单台账!$AE168=1,清单台账!$U168,""),"")</f>
        <v/>
      </c>
      <c r="V167" s="38" t="str">
        <f>IFERROR(IF(清单台账!$AE168=1,清单台账!$V168,""),"")</f>
        <v/>
      </c>
      <c r="W167" s="40" t="str">
        <f>IFERROR(IF(清单台账!$AE168=1,清单台账!$W168,""),"")</f>
        <v/>
      </c>
      <c r="X167" s="46" t="str">
        <f>IF($F167&lt;&gt;"",IFERROR(MAX($X$5:$X166),0)+1,"")</f>
        <v/>
      </c>
    </row>
    <row r="168" spans="1:24">
      <c r="A168" s="36" t="str">
        <f>IFERROR(IF(清单台账!$AE169=1,清单台账!$A169,""),"")</f>
        <v/>
      </c>
      <c r="B168" s="37" t="str">
        <f>IFERROR(IF(清单台账!$AE169=1,清单台账!$AA169,""),"")</f>
        <v/>
      </c>
      <c r="C168" s="38" t="str">
        <f>IFERROR(IF(清单台账!$AE169=1,清单台账!$AB169,""),"")</f>
        <v/>
      </c>
      <c r="D168" s="37" t="str">
        <f>IFERROR(IF(清单台账!$AE169=1,清单台账!$AC169,""),"")</f>
        <v/>
      </c>
      <c r="E168" s="37" t="str">
        <f>IFERROR(IF(清单台账!$AE169=1,清单台账!$AD169,""),"")</f>
        <v/>
      </c>
      <c r="F168" s="37" t="str">
        <f>IFERROR(IF(清单台账!$AE169=1,清单台账!$F169,""),"")</f>
        <v/>
      </c>
      <c r="G168" s="37" t="str">
        <f>IFERROR(IF(清单台账!$AE169=1,清单台账!$G169,""),"")</f>
        <v/>
      </c>
      <c r="H168" s="37" t="str">
        <f>IFERROR(IF(清单台账!$AE169=1,清单台账!$H169,""),"")</f>
        <v/>
      </c>
      <c r="I168" s="37" t="str">
        <f>IFERROR(IF(清单台账!$AE169=1,清单台账!$I169,""),"")</f>
        <v/>
      </c>
      <c r="J168" s="37" t="str">
        <f>IFERROR(IF(清单台账!$AE169=1,清单台账!$J169,""),"")</f>
        <v/>
      </c>
      <c r="K168" s="37" t="str">
        <f>IFERROR(IF(清单台账!$AE169=1,清单台账!$K169,""),"")</f>
        <v/>
      </c>
      <c r="L168" s="37" t="str">
        <f>IFERROR(IF(清单台账!$AE169=1,清单台账!$L169,""),"")</f>
        <v/>
      </c>
      <c r="M168" s="37" t="str">
        <f>IFERROR(IF(清单台账!$AE169=1,清单台账!$M169,""),"")</f>
        <v/>
      </c>
      <c r="N168" s="37" t="str">
        <f>IFERROR(IF(清单台账!$AE169=1,清单台账!$N169,""),"")</f>
        <v/>
      </c>
      <c r="O168" s="37" t="str">
        <f>IFERROR(IF(清单台账!$AE169=1,清单台账!$O169,""),"")</f>
        <v/>
      </c>
      <c r="P168" s="39" t="str">
        <f>IFERROR(IF(清单台账!$AE169=1,清单台账!$P169,""),"")</f>
        <v/>
      </c>
      <c r="Q168" s="39" t="str">
        <f>IFERROR(IF(清单台账!$AE169=1,清单台账!$Q169,""),"")</f>
        <v/>
      </c>
      <c r="R168" s="39" t="str">
        <f>IFERROR(IF(清单台账!$AE169=1,清单台账!$R169,""),"")</f>
        <v/>
      </c>
      <c r="S168" s="37" t="str">
        <f>IFERROR(IF(清单台账!$AE169=1,清单台账!$S169,""),"")</f>
        <v/>
      </c>
      <c r="T168" s="37" t="str">
        <f>IFERROR(IF(清单台账!$AE169=1,清单台账!$T169,""),"")</f>
        <v/>
      </c>
      <c r="U168" s="37" t="str">
        <f>IFERROR(IF(清单台账!$AE169=1,清单台账!$U169,""),"")</f>
        <v/>
      </c>
      <c r="V168" s="38" t="str">
        <f>IFERROR(IF(清单台账!$AE169=1,清单台账!$V169,""),"")</f>
        <v/>
      </c>
      <c r="W168" s="40" t="str">
        <f>IFERROR(IF(清单台账!$AE169=1,清单台账!$W169,""),"")</f>
        <v/>
      </c>
      <c r="X168" s="46" t="str">
        <f>IF($F168&lt;&gt;"",IFERROR(MAX($X$5:$X167),0)+1,"")</f>
        <v/>
      </c>
    </row>
    <row r="169" spans="1:24">
      <c r="A169" s="36" t="str">
        <f>IFERROR(IF(清单台账!$AE170=1,清单台账!$A170,""),"")</f>
        <v/>
      </c>
      <c r="B169" s="37" t="str">
        <f>IFERROR(IF(清单台账!$AE170=1,清单台账!$AA170,""),"")</f>
        <v/>
      </c>
      <c r="C169" s="38" t="str">
        <f>IFERROR(IF(清单台账!$AE170=1,清单台账!$AB170,""),"")</f>
        <v/>
      </c>
      <c r="D169" s="37" t="str">
        <f>IFERROR(IF(清单台账!$AE170=1,清单台账!$AC170,""),"")</f>
        <v/>
      </c>
      <c r="E169" s="37" t="str">
        <f>IFERROR(IF(清单台账!$AE170=1,清单台账!$AD170,""),"")</f>
        <v/>
      </c>
      <c r="F169" s="37" t="str">
        <f>IFERROR(IF(清单台账!$AE170=1,清单台账!$F170,""),"")</f>
        <v/>
      </c>
      <c r="G169" s="37" t="str">
        <f>IFERROR(IF(清单台账!$AE170=1,清单台账!$G170,""),"")</f>
        <v/>
      </c>
      <c r="H169" s="37" t="str">
        <f>IFERROR(IF(清单台账!$AE170=1,清单台账!$H170,""),"")</f>
        <v/>
      </c>
      <c r="I169" s="37" t="str">
        <f>IFERROR(IF(清单台账!$AE170=1,清单台账!$I170,""),"")</f>
        <v/>
      </c>
      <c r="J169" s="37" t="str">
        <f>IFERROR(IF(清单台账!$AE170=1,清单台账!$J170,""),"")</f>
        <v/>
      </c>
      <c r="K169" s="37" t="str">
        <f>IFERROR(IF(清单台账!$AE170=1,清单台账!$K170,""),"")</f>
        <v/>
      </c>
      <c r="L169" s="37" t="str">
        <f>IFERROR(IF(清单台账!$AE170=1,清单台账!$L170,""),"")</f>
        <v/>
      </c>
      <c r="M169" s="37" t="str">
        <f>IFERROR(IF(清单台账!$AE170=1,清单台账!$M170,""),"")</f>
        <v/>
      </c>
      <c r="N169" s="37" t="str">
        <f>IFERROR(IF(清单台账!$AE170=1,清单台账!$N170,""),"")</f>
        <v/>
      </c>
      <c r="O169" s="37" t="str">
        <f>IFERROR(IF(清单台账!$AE170=1,清单台账!$O170,""),"")</f>
        <v/>
      </c>
      <c r="P169" s="39" t="str">
        <f>IFERROR(IF(清单台账!$AE170=1,清单台账!$P170,""),"")</f>
        <v/>
      </c>
      <c r="Q169" s="39" t="str">
        <f>IFERROR(IF(清单台账!$AE170=1,清单台账!$Q170,""),"")</f>
        <v/>
      </c>
      <c r="R169" s="39" t="str">
        <f>IFERROR(IF(清单台账!$AE170=1,清单台账!$R170,""),"")</f>
        <v/>
      </c>
      <c r="S169" s="37" t="str">
        <f>IFERROR(IF(清单台账!$AE170=1,清单台账!$S170,""),"")</f>
        <v/>
      </c>
      <c r="T169" s="37" t="str">
        <f>IFERROR(IF(清单台账!$AE170=1,清单台账!$T170,""),"")</f>
        <v/>
      </c>
      <c r="U169" s="37" t="str">
        <f>IFERROR(IF(清单台账!$AE170=1,清单台账!$U170,""),"")</f>
        <v/>
      </c>
      <c r="V169" s="38" t="str">
        <f>IFERROR(IF(清单台账!$AE170=1,清单台账!$V170,""),"")</f>
        <v/>
      </c>
      <c r="W169" s="40" t="str">
        <f>IFERROR(IF(清单台账!$AE170=1,清单台账!$W170,""),"")</f>
        <v/>
      </c>
      <c r="X169" s="46" t="str">
        <f>IF($F169&lt;&gt;"",IFERROR(MAX($X$5:$X168),0)+1,"")</f>
        <v/>
      </c>
    </row>
    <row r="170" spans="1:24">
      <c r="A170" s="36" t="str">
        <f>IFERROR(IF(清单台账!$AE171=1,清单台账!$A171,""),"")</f>
        <v/>
      </c>
      <c r="B170" s="37" t="str">
        <f>IFERROR(IF(清单台账!$AE171=1,清单台账!$AA171,""),"")</f>
        <v/>
      </c>
      <c r="C170" s="38" t="str">
        <f>IFERROR(IF(清单台账!$AE171=1,清单台账!$AB171,""),"")</f>
        <v/>
      </c>
      <c r="D170" s="37" t="str">
        <f>IFERROR(IF(清单台账!$AE171=1,清单台账!$AC171,""),"")</f>
        <v/>
      </c>
      <c r="E170" s="37" t="str">
        <f>IFERROR(IF(清单台账!$AE171=1,清单台账!$AD171,""),"")</f>
        <v/>
      </c>
      <c r="F170" s="37" t="str">
        <f>IFERROR(IF(清单台账!$AE171=1,清单台账!$F171,""),"")</f>
        <v/>
      </c>
      <c r="G170" s="37" t="str">
        <f>IFERROR(IF(清单台账!$AE171=1,清单台账!$G171,""),"")</f>
        <v/>
      </c>
      <c r="H170" s="37" t="str">
        <f>IFERROR(IF(清单台账!$AE171=1,清单台账!$H171,""),"")</f>
        <v/>
      </c>
      <c r="I170" s="37" t="str">
        <f>IFERROR(IF(清单台账!$AE171=1,清单台账!$I171,""),"")</f>
        <v/>
      </c>
      <c r="J170" s="37" t="str">
        <f>IFERROR(IF(清单台账!$AE171=1,清单台账!$J171,""),"")</f>
        <v/>
      </c>
      <c r="K170" s="37" t="str">
        <f>IFERROR(IF(清单台账!$AE171=1,清单台账!$K171,""),"")</f>
        <v/>
      </c>
      <c r="L170" s="37" t="str">
        <f>IFERROR(IF(清单台账!$AE171=1,清单台账!$L171,""),"")</f>
        <v/>
      </c>
      <c r="M170" s="37" t="str">
        <f>IFERROR(IF(清单台账!$AE171=1,清单台账!$M171,""),"")</f>
        <v/>
      </c>
      <c r="N170" s="37" t="str">
        <f>IFERROR(IF(清单台账!$AE171=1,清单台账!$N171,""),"")</f>
        <v/>
      </c>
      <c r="O170" s="37" t="str">
        <f>IFERROR(IF(清单台账!$AE171=1,清单台账!$O171,""),"")</f>
        <v/>
      </c>
      <c r="P170" s="39" t="str">
        <f>IFERROR(IF(清单台账!$AE171=1,清单台账!$P171,""),"")</f>
        <v/>
      </c>
      <c r="Q170" s="39" t="str">
        <f>IFERROR(IF(清单台账!$AE171=1,清单台账!$Q171,""),"")</f>
        <v/>
      </c>
      <c r="R170" s="39" t="str">
        <f>IFERROR(IF(清单台账!$AE171=1,清单台账!$R171,""),"")</f>
        <v/>
      </c>
      <c r="S170" s="37" t="str">
        <f>IFERROR(IF(清单台账!$AE171=1,清单台账!$S171,""),"")</f>
        <v/>
      </c>
      <c r="T170" s="37" t="str">
        <f>IFERROR(IF(清单台账!$AE171=1,清单台账!$T171,""),"")</f>
        <v/>
      </c>
      <c r="U170" s="37" t="str">
        <f>IFERROR(IF(清单台账!$AE171=1,清单台账!$U171,""),"")</f>
        <v/>
      </c>
      <c r="V170" s="38" t="str">
        <f>IFERROR(IF(清单台账!$AE171=1,清单台账!$V171,""),"")</f>
        <v/>
      </c>
      <c r="W170" s="40" t="str">
        <f>IFERROR(IF(清单台账!$AE171=1,清单台账!$W171,""),"")</f>
        <v/>
      </c>
      <c r="X170" s="46" t="str">
        <f>IF($F170&lt;&gt;"",IFERROR(MAX($X$5:$X169),0)+1,"")</f>
        <v/>
      </c>
    </row>
    <row r="171" spans="1:24">
      <c r="A171" s="36" t="str">
        <f>IFERROR(IF(清单台账!$AE172=1,清单台账!$A172,""),"")</f>
        <v/>
      </c>
      <c r="B171" s="37" t="str">
        <f>IFERROR(IF(清单台账!$AE172=1,清单台账!$AA172,""),"")</f>
        <v/>
      </c>
      <c r="C171" s="38" t="str">
        <f>IFERROR(IF(清单台账!$AE172=1,清单台账!$AB172,""),"")</f>
        <v/>
      </c>
      <c r="D171" s="37" t="str">
        <f>IFERROR(IF(清单台账!$AE172=1,清单台账!$AC172,""),"")</f>
        <v/>
      </c>
      <c r="E171" s="37" t="str">
        <f>IFERROR(IF(清单台账!$AE172=1,清单台账!$AD172,""),"")</f>
        <v/>
      </c>
      <c r="F171" s="37" t="str">
        <f>IFERROR(IF(清单台账!$AE172=1,清单台账!$F172,""),"")</f>
        <v/>
      </c>
      <c r="G171" s="37" t="str">
        <f>IFERROR(IF(清单台账!$AE172=1,清单台账!$G172,""),"")</f>
        <v/>
      </c>
      <c r="H171" s="37" t="str">
        <f>IFERROR(IF(清单台账!$AE172=1,清单台账!$H172,""),"")</f>
        <v/>
      </c>
      <c r="I171" s="37" t="str">
        <f>IFERROR(IF(清单台账!$AE172=1,清单台账!$I172,""),"")</f>
        <v/>
      </c>
      <c r="J171" s="37" t="str">
        <f>IFERROR(IF(清单台账!$AE172=1,清单台账!$J172,""),"")</f>
        <v/>
      </c>
      <c r="K171" s="37" t="str">
        <f>IFERROR(IF(清单台账!$AE172=1,清单台账!$K172,""),"")</f>
        <v/>
      </c>
      <c r="L171" s="37" t="str">
        <f>IFERROR(IF(清单台账!$AE172=1,清单台账!$L172,""),"")</f>
        <v/>
      </c>
      <c r="M171" s="37" t="str">
        <f>IFERROR(IF(清单台账!$AE172=1,清单台账!$M172,""),"")</f>
        <v/>
      </c>
      <c r="N171" s="37" t="str">
        <f>IFERROR(IF(清单台账!$AE172=1,清单台账!$N172,""),"")</f>
        <v/>
      </c>
      <c r="O171" s="37" t="str">
        <f>IFERROR(IF(清单台账!$AE172=1,清单台账!$O172,""),"")</f>
        <v/>
      </c>
      <c r="P171" s="39" t="str">
        <f>IFERROR(IF(清单台账!$AE172=1,清单台账!$P172,""),"")</f>
        <v/>
      </c>
      <c r="Q171" s="39" t="str">
        <f>IFERROR(IF(清单台账!$AE172=1,清单台账!$Q172,""),"")</f>
        <v/>
      </c>
      <c r="R171" s="39" t="str">
        <f>IFERROR(IF(清单台账!$AE172=1,清单台账!$R172,""),"")</f>
        <v/>
      </c>
      <c r="S171" s="37" t="str">
        <f>IFERROR(IF(清单台账!$AE172=1,清单台账!$S172,""),"")</f>
        <v/>
      </c>
      <c r="T171" s="37" t="str">
        <f>IFERROR(IF(清单台账!$AE172=1,清单台账!$T172,""),"")</f>
        <v/>
      </c>
      <c r="U171" s="37" t="str">
        <f>IFERROR(IF(清单台账!$AE172=1,清单台账!$U172,""),"")</f>
        <v/>
      </c>
      <c r="V171" s="38" t="str">
        <f>IFERROR(IF(清单台账!$AE172=1,清单台账!$V172,""),"")</f>
        <v/>
      </c>
      <c r="W171" s="40" t="str">
        <f>IFERROR(IF(清单台账!$AE172=1,清单台账!$W172,""),"")</f>
        <v/>
      </c>
      <c r="X171" s="46" t="str">
        <f>IF($F171&lt;&gt;"",IFERROR(MAX($X$5:$X170),0)+1,"")</f>
        <v/>
      </c>
    </row>
    <row r="172" spans="1:24">
      <c r="A172" s="36" t="str">
        <f>IFERROR(IF(清单台账!$AE173=1,清单台账!$A173,""),"")</f>
        <v/>
      </c>
      <c r="B172" s="37" t="str">
        <f>IFERROR(IF(清单台账!$AE173=1,清单台账!$AA173,""),"")</f>
        <v/>
      </c>
      <c r="C172" s="38" t="str">
        <f>IFERROR(IF(清单台账!$AE173=1,清单台账!$AB173,""),"")</f>
        <v/>
      </c>
      <c r="D172" s="37" t="str">
        <f>IFERROR(IF(清单台账!$AE173=1,清单台账!$AC173,""),"")</f>
        <v/>
      </c>
      <c r="E172" s="37" t="str">
        <f>IFERROR(IF(清单台账!$AE173=1,清单台账!$AD173,""),"")</f>
        <v/>
      </c>
      <c r="F172" s="37" t="str">
        <f>IFERROR(IF(清单台账!$AE173=1,清单台账!$F173,""),"")</f>
        <v/>
      </c>
      <c r="G172" s="37" t="str">
        <f>IFERROR(IF(清单台账!$AE173=1,清单台账!$G173,""),"")</f>
        <v/>
      </c>
      <c r="H172" s="37" t="str">
        <f>IFERROR(IF(清单台账!$AE173=1,清单台账!$H173,""),"")</f>
        <v/>
      </c>
      <c r="I172" s="37" t="str">
        <f>IFERROR(IF(清单台账!$AE173=1,清单台账!$I173,""),"")</f>
        <v/>
      </c>
      <c r="J172" s="37" t="str">
        <f>IFERROR(IF(清单台账!$AE173=1,清单台账!$J173,""),"")</f>
        <v/>
      </c>
      <c r="K172" s="37" t="str">
        <f>IFERROR(IF(清单台账!$AE173=1,清单台账!$K173,""),"")</f>
        <v/>
      </c>
      <c r="L172" s="37" t="str">
        <f>IFERROR(IF(清单台账!$AE173=1,清单台账!$L173,""),"")</f>
        <v/>
      </c>
      <c r="M172" s="37" t="str">
        <f>IFERROR(IF(清单台账!$AE173=1,清单台账!$M173,""),"")</f>
        <v/>
      </c>
      <c r="N172" s="37" t="str">
        <f>IFERROR(IF(清单台账!$AE173=1,清单台账!$N173,""),"")</f>
        <v/>
      </c>
      <c r="O172" s="37" t="str">
        <f>IFERROR(IF(清单台账!$AE173=1,清单台账!$O173,""),"")</f>
        <v/>
      </c>
      <c r="P172" s="39" t="str">
        <f>IFERROR(IF(清单台账!$AE173=1,清单台账!$P173,""),"")</f>
        <v/>
      </c>
      <c r="Q172" s="39" t="str">
        <f>IFERROR(IF(清单台账!$AE173=1,清单台账!$Q173,""),"")</f>
        <v/>
      </c>
      <c r="R172" s="39" t="str">
        <f>IFERROR(IF(清单台账!$AE173=1,清单台账!$R173,""),"")</f>
        <v/>
      </c>
      <c r="S172" s="37" t="str">
        <f>IFERROR(IF(清单台账!$AE173=1,清单台账!$S173,""),"")</f>
        <v/>
      </c>
      <c r="T172" s="37" t="str">
        <f>IFERROR(IF(清单台账!$AE173=1,清单台账!$T173,""),"")</f>
        <v/>
      </c>
      <c r="U172" s="37" t="str">
        <f>IFERROR(IF(清单台账!$AE173=1,清单台账!$U173,""),"")</f>
        <v/>
      </c>
      <c r="V172" s="38" t="str">
        <f>IFERROR(IF(清单台账!$AE173=1,清单台账!$V173,""),"")</f>
        <v/>
      </c>
      <c r="W172" s="40" t="str">
        <f>IFERROR(IF(清单台账!$AE173=1,清单台账!$W173,""),"")</f>
        <v/>
      </c>
      <c r="X172" s="46" t="str">
        <f>IF($F172&lt;&gt;"",IFERROR(MAX($X$5:$X171),0)+1,"")</f>
        <v/>
      </c>
    </row>
    <row r="173" spans="1:24">
      <c r="A173" s="36" t="str">
        <f>IFERROR(IF(清单台账!$AE174=1,清单台账!$A174,""),"")</f>
        <v/>
      </c>
      <c r="B173" s="37" t="str">
        <f>IFERROR(IF(清单台账!$AE174=1,清单台账!$AA174,""),"")</f>
        <v/>
      </c>
      <c r="C173" s="38" t="str">
        <f>IFERROR(IF(清单台账!$AE174=1,清单台账!$AB174,""),"")</f>
        <v/>
      </c>
      <c r="D173" s="37" t="str">
        <f>IFERROR(IF(清单台账!$AE174=1,清单台账!$AC174,""),"")</f>
        <v/>
      </c>
      <c r="E173" s="37" t="str">
        <f>IFERROR(IF(清单台账!$AE174=1,清单台账!$AD174,""),"")</f>
        <v/>
      </c>
      <c r="F173" s="37" t="str">
        <f>IFERROR(IF(清单台账!$AE174=1,清单台账!$F174,""),"")</f>
        <v/>
      </c>
      <c r="G173" s="37" t="str">
        <f>IFERROR(IF(清单台账!$AE174=1,清单台账!$G174,""),"")</f>
        <v/>
      </c>
      <c r="H173" s="37" t="str">
        <f>IFERROR(IF(清单台账!$AE174=1,清单台账!$H174,""),"")</f>
        <v/>
      </c>
      <c r="I173" s="37" t="str">
        <f>IFERROR(IF(清单台账!$AE174=1,清单台账!$I174,""),"")</f>
        <v/>
      </c>
      <c r="J173" s="37" t="str">
        <f>IFERROR(IF(清单台账!$AE174=1,清单台账!$J174,""),"")</f>
        <v/>
      </c>
      <c r="K173" s="37" t="str">
        <f>IFERROR(IF(清单台账!$AE174=1,清单台账!$K174,""),"")</f>
        <v/>
      </c>
      <c r="L173" s="37" t="str">
        <f>IFERROR(IF(清单台账!$AE174=1,清单台账!$L174,""),"")</f>
        <v/>
      </c>
      <c r="M173" s="37" t="str">
        <f>IFERROR(IF(清单台账!$AE174=1,清单台账!$M174,""),"")</f>
        <v/>
      </c>
      <c r="N173" s="37" t="str">
        <f>IFERROR(IF(清单台账!$AE174=1,清单台账!$N174,""),"")</f>
        <v/>
      </c>
      <c r="O173" s="37" t="str">
        <f>IFERROR(IF(清单台账!$AE174=1,清单台账!$O174,""),"")</f>
        <v/>
      </c>
      <c r="P173" s="39" t="str">
        <f>IFERROR(IF(清单台账!$AE174=1,清单台账!$P174,""),"")</f>
        <v/>
      </c>
      <c r="Q173" s="39" t="str">
        <f>IFERROR(IF(清单台账!$AE174=1,清单台账!$Q174,""),"")</f>
        <v/>
      </c>
      <c r="R173" s="39" t="str">
        <f>IFERROR(IF(清单台账!$AE174=1,清单台账!$R174,""),"")</f>
        <v/>
      </c>
      <c r="S173" s="37" t="str">
        <f>IFERROR(IF(清单台账!$AE174=1,清单台账!$S174,""),"")</f>
        <v/>
      </c>
      <c r="T173" s="37" t="str">
        <f>IFERROR(IF(清单台账!$AE174=1,清单台账!$T174,""),"")</f>
        <v/>
      </c>
      <c r="U173" s="37" t="str">
        <f>IFERROR(IF(清单台账!$AE174=1,清单台账!$U174,""),"")</f>
        <v/>
      </c>
      <c r="V173" s="38" t="str">
        <f>IFERROR(IF(清单台账!$AE174=1,清单台账!$V174,""),"")</f>
        <v/>
      </c>
      <c r="W173" s="40" t="str">
        <f>IFERROR(IF(清单台账!$AE174=1,清单台账!$W174,""),"")</f>
        <v/>
      </c>
      <c r="X173" s="46" t="str">
        <f>IF($F173&lt;&gt;"",IFERROR(MAX($X$5:$X172),0)+1,"")</f>
        <v/>
      </c>
    </row>
    <row r="174" spans="1:24">
      <c r="A174" s="36" t="str">
        <f>IFERROR(IF(清单台账!$AE175=1,清单台账!$A175,""),"")</f>
        <v/>
      </c>
      <c r="B174" s="37" t="str">
        <f>IFERROR(IF(清单台账!$AE175=1,清单台账!$AA175,""),"")</f>
        <v/>
      </c>
      <c r="C174" s="38" t="str">
        <f>IFERROR(IF(清单台账!$AE175=1,清单台账!$AB175,""),"")</f>
        <v/>
      </c>
      <c r="D174" s="37" t="str">
        <f>IFERROR(IF(清单台账!$AE175=1,清单台账!$AC175,""),"")</f>
        <v/>
      </c>
      <c r="E174" s="37" t="str">
        <f>IFERROR(IF(清单台账!$AE175=1,清单台账!$AD175,""),"")</f>
        <v/>
      </c>
      <c r="F174" s="37" t="str">
        <f>IFERROR(IF(清单台账!$AE175=1,清单台账!$F175,""),"")</f>
        <v/>
      </c>
      <c r="G174" s="37" t="str">
        <f>IFERROR(IF(清单台账!$AE175=1,清单台账!$G175,""),"")</f>
        <v/>
      </c>
      <c r="H174" s="37" t="str">
        <f>IFERROR(IF(清单台账!$AE175=1,清单台账!$H175,""),"")</f>
        <v/>
      </c>
      <c r="I174" s="37" t="str">
        <f>IFERROR(IF(清单台账!$AE175=1,清单台账!$I175,""),"")</f>
        <v/>
      </c>
      <c r="J174" s="37" t="str">
        <f>IFERROR(IF(清单台账!$AE175=1,清单台账!$J175,""),"")</f>
        <v/>
      </c>
      <c r="K174" s="37" t="str">
        <f>IFERROR(IF(清单台账!$AE175=1,清单台账!$K175,""),"")</f>
        <v/>
      </c>
      <c r="L174" s="37" t="str">
        <f>IFERROR(IF(清单台账!$AE175=1,清单台账!$L175,""),"")</f>
        <v/>
      </c>
      <c r="M174" s="37" t="str">
        <f>IFERROR(IF(清单台账!$AE175=1,清单台账!$M175,""),"")</f>
        <v/>
      </c>
      <c r="N174" s="37" t="str">
        <f>IFERROR(IF(清单台账!$AE175=1,清单台账!$N175,""),"")</f>
        <v/>
      </c>
      <c r="O174" s="37" t="str">
        <f>IFERROR(IF(清单台账!$AE175=1,清单台账!$O175,""),"")</f>
        <v/>
      </c>
      <c r="P174" s="39" t="str">
        <f>IFERROR(IF(清单台账!$AE175=1,清单台账!$P175,""),"")</f>
        <v/>
      </c>
      <c r="Q174" s="39" t="str">
        <f>IFERROR(IF(清单台账!$AE175=1,清单台账!$Q175,""),"")</f>
        <v/>
      </c>
      <c r="R174" s="39" t="str">
        <f>IFERROR(IF(清单台账!$AE175=1,清单台账!$R175,""),"")</f>
        <v/>
      </c>
      <c r="S174" s="37" t="str">
        <f>IFERROR(IF(清单台账!$AE175=1,清单台账!$S175,""),"")</f>
        <v/>
      </c>
      <c r="T174" s="37" t="str">
        <f>IFERROR(IF(清单台账!$AE175=1,清单台账!$T175,""),"")</f>
        <v/>
      </c>
      <c r="U174" s="37" t="str">
        <f>IFERROR(IF(清单台账!$AE175=1,清单台账!$U175,""),"")</f>
        <v/>
      </c>
      <c r="V174" s="38" t="str">
        <f>IFERROR(IF(清单台账!$AE175=1,清单台账!$V175,""),"")</f>
        <v/>
      </c>
      <c r="W174" s="40" t="str">
        <f>IFERROR(IF(清单台账!$AE175=1,清单台账!$W175,""),"")</f>
        <v/>
      </c>
      <c r="X174" s="46" t="str">
        <f>IF($F174&lt;&gt;"",IFERROR(MAX($X$5:$X173),0)+1,"")</f>
        <v/>
      </c>
    </row>
    <row r="175" spans="1:24">
      <c r="A175" s="36" t="str">
        <f>IFERROR(IF(清单台账!$AE176=1,清单台账!$A176,""),"")</f>
        <v/>
      </c>
      <c r="B175" s="37" t="str">
        <f>IFERROR(IF(清单台账!$AE176=1,清单台账!$AA176,""),"")</f>
        <v/>
      </c>
      <c r="C175" s="38" t="str">
        <f>IFERROR(IF(清单台账!$AE176=1,清单台账!$AB176,""),"")</f>
        <v/>
      </c>
      <c r="D175" s="37" t="str">
        <f>IFERROR(IF(清单台账!$AE176=1,清单台账!$AC176,""),"")</f>
        <v/>
      </c>
      <c r="E175" s="37" t="str">
        <f>IFERROR(IF(清单台账!$AE176=1,清单台账!$AD176,""),"")</f>
        <v/>
      </c>
      <c r="F175" s="37" t="str">
        <f>IFERROR(IF(清单台账!$AE176=1,清单台账!$F176,""),"")</f>
        <v/>
      </c>
      <c r="G175" s="37" t="str">
        <f>IFERROR(IF(清单台账!$AE176=1,清单台账!$G176,""),"")</f>
        <v/>
      </c>
      <c r="H175" s="37" t="str">
        <f>IFERROR(IF(清单台账!$AE176=1,清单台账!$H176,""),"")</f>
        <v/>
      </c>
      <c r="I175" s="37" t="str">
        <f>IFERROR(IF(清单台账!$AE176=1,清单台账!$I176,""),"")</f>
        <v/>
      </c>
      <c r="J175" s="37" t="str">
        <f>IFERROR(IF(清单台账!$AE176=1,清单台账!$J176,""),"")</f>
        <v/>
      </c>
      <c r="K175" s="37" t="str">
        <f>IFERROR(IF(清单台账!$AE176=1,清单台账!$K176,""),"")</f>
        <v/>
      </c>
      <c r="L175" s="37" t="str">
        <f>IFERROR(IF(清单台账!$AE176=1,清单台账!$L176,""),"")</f>
        <v/>
      </c>
      <c r="M175" s="37" t="str">
        <f>IFERROR(IF(清单台账!$AE176=1,清单台账!$M176,""),"")</f>
        <v/>
      </c>
      <c r="N175" s="37" t="str">
        <f>IFERROR(IF(清单台账!$AE176=1,清单台账!$N176,""),"")</f>
        <v/>
      </c>
      <c r="O175" s="37" t="str">
        <f>IFERROR(IF(清单台账!$AE176=1,清单台账!$O176,""),"")</f>
        <v/>
      </c>
      <c r="P175" s="39" t="str">
        <f>IFERROR(IF(清单台账!$AE176=1,清单台账!$P176,""),"")</f>
        <v/>
      </c>
      <c r="Q175" s="39" t="str">
        <f>IFERROR(IF(清单台账!$AE176=1,清单台账!$Q176,""),"")</f>
        <v/>
      </c>
      <c r="R175" s="39" t="str">
        <f>IFERROR(IF(清单台账!$AE176=1,清单台账!$R176,""),"")</f>
        <v/>
      </c>
      <c r="S175" s="37" t="str">
        <f>IFERROR(IF(清单台账!$AE176=1,清单台账!$S176,""),"")</f>
        <v/>
      </c>
      <c r="T175" s="37" t="str">
        <f>IFERROR(IF(清单台账!$AE176=1,清单台账!$T176,""),"")</f>
        <v/>
      </c>
      <c r="U175" s="37" t="str">
        <f>IFERROR(IF(清单台账!$AE176=1,清单台账!$U176,""),"")</f>
        <v/>
      </c>
      <c r="V175" s="38" t="str">
        <f>IFERROR(IF(清单台账!$AE176=1,清单台账!$V176,""),"")</f>
        <v/>
      </c>
      <c r="W175" s="40" t="str">
        <f>IFERROR(IF(清单台账!$AE176=1,清单台账!$W176,""),"")</f>
        <v/>
      </c>
      <c r="X175" s="46" t="str">
        <f>IF($F175&lt;&gt;"",IFERROR(MAX($X$5:$X174),0)+1,"")</f>
        <v/>
      </c>
    </row>
    <row r="176" spans="1:24">
      <c r="A176" s="36" t="str">
        <f>IFERROR(IF(清单台账!$AE177=1,清单台账!$A177,""),"")</f>
        <v/>
      </c>
      <c r="B176" s="37" t="str">
        <f>IFERROR(IF(清单台账!$AE177=1,清单台账!$AA177,""),"")</f>
        <v/>
      </c>
      <c r="C176" s="38" t="str">
        <f>IFERROR(IF(清单台账!$AE177=1,清单台账!$AB177,""),"")</f>
        <v/>
      </c>
      <c r="D176" s="37" t="str">
        <f>IFERROR(IF(清单台账!$AE177=1,清单台账!$AC177,""),"")</f>
        <v/>
      </c>
      <c r="E176" s="37" t="str">
        <f>IFERROR(IF(清单台账!$AE177=1,清单台账!$AD177,""),"")</f>
        <v/>
      </c>
      <c r="F176" s="37" t="str">
        <f>IFERROR(IF(清单台账!$AE177=1,清单台账!$F177,""),"")</f>
        <v/>
      </c>
      <c r="G176" s="37" t="str">
        <f>IFERROR(IF(清单台账!$AE177=1,清单台账!$G177,""),"")</f>
        <v/>
      </c>
      <c r="H176" s="37" t="str">
        <f>IFERROR(IF(清单台账!$AE177=1,清单台账!$H177,""),"")</f>
        <v/>
      </c>
      <c r="I176" s="37" t="str">
        <f>IFERROR(IF(清单台账!$AE177=1,清单台账!$I177,""),"")</f>
        <v/>
      </c>
      <c r="J176" s="37" t="str">
        <f>IFERROR(IF(清单台账!$AE177=1,清单台账!$J177,""),"")</f>
        <v/>
      </c>
      <c r="K176" s="37" t="str">
        <f>IFERROR(IF(清单台账!$AE177=1,清单台账!$K177,""),"")</f>
        <v/>
      </c>
      <c r="L176" s="37" t="str">
        <f>IFERROR(IF(清单台账!$AE177=1,清单台账!$L177,""),"")</f>
        <v/>
      </c>
      <c r="M176" s="37" t="str">
        <f>IFERROR(IF(清单台账!$AE177=1,清单台账!$M177,""),"")</f>
        <v/>
      </c>
      <c r="N176" s="37" t="str">
        <f>IFERROR(IF(清单台账!$AE177=1,清单台账!$N177,""),"")</f>
        <v/>
      </c>
      <c r="O176" s="37" t="str">
        <f>IFERROR(IF(清单台账!$AE177=1,清单台账!$O177,""),"")</f>
        <v/>
      </c>
      <c r="P176" s="39" t="str">
        <f>IFERROR(IF(清单台账!$AE177=1,清单台账!$P177,""),"")</f>
        <v/>
      </c>
      <c r="Q176" s="39" t="str">
        <f>IFERROR(IF(清单台账!$AE177=1,清单台账!$Q177,""),"")</f>
        <v/>
      </c>
      <c r="R176" s="39" t="str">
        <f>IFERROR(IF(清单台账!$AE177=1,清单台账!$R177,""),"")</f>
        <v/>
      </c>
      <c r="S176" s="37" t="str">
        <f>IFERROR(IF(清单台账!$AE177=1,清单台账!$S177,""),"")</f>
        <v/>
      </c>
      <c r="T176" s="37" t="str">
        <f>IFERROR(IF(清单台账!$AE177=1,清单台账!$T177,""),"")</f>
        <v/>
      </c>
      <c r="U176" s="37" t="str">
        <f>IFERROR(IF(清单台账!$AE177=1,清单台账!$U177,""),"")</f>
        <v/>
      </c>
      <c r="V176" s="38" t="str">
        <f>IFERROR(IF(清单台账!$AE177=1,清单台账!$V177,""),"")</f>
        <v/>
      </c>
      <c r="W176" s="40" t="str">
        <f>IFERROR(IF(清单台账!$AE177=1,清单台账!$W177,""),"")</f>
        <v/>
      </c>
      <c r="X176" s="46" t="str">
        <f>IF($F176&lt;&gt;"",IFERROR(MAX($X$5:$X175),0)+1,"")</f>
        <v/>
      </c>
    </row>
    <row r="177" spans="1:24">
      <c r="A177" s="36" t="str">
        <f>IFERROR(IF(清单台账!$AE178=1,清单台账!$A178,""),"")</f>
        <v/>
      </c>
      <c r="B177" s="37" t="str">
        <f>IFERROR(IF(清单台账!$AE178=1,清单台账!$AA178,""),"")</f>
        <v/>
      </c>
      <c r="C177" s="38" t="str">
        <f>IFERROR(IF(清单台账!$AE178=1,清单台账!$AB178,""),"")</f>
        <v/>
      </c>
      <c r="D177" s="37" t="str">
        <f>IFERROR(IF(清单台账!$AE178=1,清单台账!$AC178,""),"")</f>
        <v/>
      </c>
      <c r="E177" s="37" t="str">
        <f>IFERROR(IF(清单台账!$AE178=1,清单台账!$AD178,""),"")</f>
        <v/>
      </c>
      <c r="F177" s="37" t="str">
        <f>IFERROR(IF(清单台账!$AE178=1,清单台账!$F178,""),"")</f>
        <v/>
      </c>
      <c r="G177" s="37" t="str">
        <f>IFERROR(IF(清单台账!$AE178=1,清单台账!$G178,""),"")</f>
        <v/>
      </c>
      <c r="H177" s="37" t="str">
        <f>IFERROR(IF(清单台账!$AE178=1,清单台账!$H178,""),"")</f>
        <v/>
      </c>
      <c r="I177" s="37" t="str">
        <f>IFERROR(IF(清单台账!$AE178=1,清单台账!$I178,""),"")</f>
        <v/>
      </c>
      <c r="J177" s="37" t="str">
        <f>IFERROR(IF(清单台账!$AE178=1,清单台账!$J178,""),"")</f>
        <v/>
      </c>
      <c r="K177" s="37" t="str">
        <f>IFERROR(IF(清单台账!$AE178=1,清单台账!$K178,""),"")</f>
        <v/>
      </c>
      <c r="L177" s="37" t="str">
        <f>IFERROR(IF(清单台账!$AE178=1,清单台账!$L178,""),"")</f>
        <v/>
      </c>
      <c r="M177" s="37" t="str">
        <f>IFERROR(IF(清单台账!$AE178=1,清单台账!$M178,""),"")</f>
        <v/>
      </c>
      <c r="N177" s="37" t="str">
        <f>IFERROR(IF(清单台账!$AE178=1,清单台账!$N178,""),"")</f>
        <v/>
      </c>
      <c r="O177" s="37" t="str">
        <f>IFERROR(IF(清单台账!$AE178=1,清单台账!$O178,""),"")</f>
        <v/>
      </c>
      <c r="P177" s="39" t="str">
        <f>IFERROR(IF(清单台账!$AE178=1,清单台账!$P178,""),"")</f>
        <v/>
      </c>
      <c r="Q177" s="39" t="str">
        <f>IFERROR(IF(清单台账!$AE178=1,清单台账!$Q178,""),"")</f>
        <v/>
      </c>
      <c r="R177" s="39" t="str">
        <f>IFERROR(IF(清单台账!$AE178=1,清单台账!$R178,""),"")</f>
        <v/>
      </c>
      <c r="S177" s="37" t="str">
        <f>IFERROR(IF(清单台账!$AE178=1,清单台账!$S178,""),"")</f>
        <v/>
      </c>
      <c r="T177" s="37" t="str">
        <f>IFERROR(IF(清单台账!$AE178=1,清单台账!$T178,""),"")</f>
        <v/>
      </c>
      <c r="U177" s="37" t="str">
        <f>IFERROR(IF(清单台账!$AE178=1,清单台账!$U178,""),"")</f>
        <v/>
      </c>
      <c r="V177" s="38" t="str">
        <f>IFERROR(IF(清单台账!$AE178=1,清单台账!$V178,""),"")</f>
        <v/>
      </c>
      <c r="W177" s="40" t="str">
        <f>IFERROR(IF(清单台账!$AE178=1,清单台账!$W178,""),"")</f>
        <v/>
      </c>
      <c r="X177" s="46" t="str">
        <f>IF($F177&lt;&gt;"",IFERROR(MAX($X$5:$X176),0)+1,"")</f>
        <v/>
      </c>
    </row>
    <row r="178" spans="1:24">
      <c r="A178" s="36" t="str">
        <f>IFERROR(IF(清单台账!$AE179=1,清单台账!$A179,""),"")</f>
        <v/>
      </c>
      <c r="B178" s="37" t="str">
        <f>IFERROR(IF(清单台账!$AE179=1,清单台账!$AA179,""),"")</f>
        <v/>
      </c>
      <c r="C178" s="38" t="str">
        <f>IFERROR(IF(清单台账!$AE179=1,清单台账!$AB179,""),"")</f>
        <v/>
      </c>
      <c r="D178" s="37" t="str">
        <f>IFERROR(IF(清单台账!$AE179=1,清单台账!$AC179,""),"")</f>
        <v/>
      </c>
      <c r="E178" s="37" t="str">
        <f>IFERROR(IF(清单台账!$AE179=1,清单台账!$AD179,""),"")</f>
        <v/>
      </c>
      <c r="F178" s="37" t="str">
        <f>IFERROR(IF(清单台账!$AE179=1,清单台账!$F179,""),"")</f>
        <v/>
      </c>
      <c r="G178" s="37" t="str">
        <f>IFERROR(IF(清单台账!$AE179=1,清单台账!$G179,""),"")</f>
        <v/>
      </c>
      <c r="H178" s="37" t="str">
        <f>IFERROR(IF(清单台账!$AE179=1,清单台账!$H179,""),"")</f>
        <v/>
      </c>
      <c r="I178" s="37" t="str">
        <f>IFERROR(IF(清单台账!$AE179=1,清单台账!$I179,""),"")</f>
        <v/>
      </c>
      <c r="J178" s="37" t="str">
        <f>IFERROR(IF(清单台账!$AE179=1,清单台账!$J179,""),"")</f>
        <v/>
      </c>
      <c r="K178" s="37" t="str">
        <f>IFERROR(IF(清单台账!$AE179=1,清单台账!$K179,""),"")</f>
        <v/>
      </c>
      <c r="L178" s="37" t="str">
        <f>IFERROR(IF(清单台账!$AE179=1,清单台账!$L179,""),"")</f>
        <v/>
      </c>
      <c r="M178" s="37" t="str">
        <f>IFERROR(IF(清单台账!$AE179=1,清单台账!$M179,""),"")</f>
        <v/>
      </c>
      <c r="N178" s="37" t="str">
        <f>IFERROR(IF(清单台账!$AE179=1,清单台账!$N179,""),"")</f>
        <v/>
      </c>
      <c r="O178" s="37" t="str">
        <f>IFERROR(IF(清单台账!$AE179=1,清单台账!$O179,""),"")</f>
        <v/>
      </c>
      <c r="P178" s="39" t="str">
        <f>IFERROR(IF(清单台账!$AE179=1,清单台账!$P179,""),"")</f>
        <v/>
      </c>
      <c r="Q178" s="39" t="str">
        <f>IFERROR(IF(清单台账!$AE179=1,清单台账!$Q179,""),"")</f>
        <v/>
      </c>
      <c r="R178" s="39" t="str">
        <f>IFERROR(IF(清单台账!$AE179=1,清单台账!$R179,""),"")</f>
        <v/>
      </c>
      <c r="S178" s="37" t="str">
        <f>IFERROR(IF(清单台账!$AE179=1,清单台账!$S179,""),"")</f>
        <v/>
      </c>
      <c r="T178" s="37" t="str">
        <f>IFERROR(IF(清单台账!$AE179=1,清单台账!$T179,""),"")</f>
        <v/>
      </c>
      <c r="U178" s="37" t="str">
        <f>IFERROR(IF(清单台账!$AE179=1,清单台账!$U179,""),"")</f>
        <v/>
      </c>
      <c r="V178" s="38" t="str">
        <f>IFERROR(IF(清单台账!$AE179=1,清单台账!$V179,""),"")</f>
        <v/>
      </c>
      <c r="W178" s="40" t="str">
        <f>IFERROR(IF(清单台账!$AE179=1,清单台账!$W179,""),"")</f>
        <v/>
      </c>
      <c r="X178" s="46" t="str">
        <f>IF($F178&lt;&gt;"",IFERROR(MAX($X$5:$X177),0)+1,"")</f>
        <v/>
      </c>
    </row>
    <row r="179" spans="1:24">
      <c r="A179" s="36" t="str">
        <f>IFERROR(IF(清单台账!$AE180=1,清单台账!$A180,""),"")</f>
        <v/>
      </c>
      <c r="B179" s="37" t="str">
        <f>IFERROR(IF(清单台账!$AE180=1,清单台账!$AA180,""),"")</f>
        <v/>
      </c>
      <c r="C179" s="38" t="str">
        <f>IFERROR(IF(清单台账!$AE180=1,清单台账!$AB180,""),"")</f>
        <v/>
      </c>
      <c r="D179" s="37" t="str">
        <f>IFERROR(IF(清单台账!$AE180=1,清单台账!$AC180,""),"")</f>
        <v/>
      </c>
      <c r="E179" s="37" t="str">
        <f>IFERROR(IF(清单台账!$AE180=1,清单台账!$AD180,""),"")</f>
        <v/>
      </c>
      <c r="F179" s="37" t="str">
        <f>IFERROR(IF(清单台账!$AE180=1,清单台账!$F180,""),"")</f>
        <v/>
      </c>
      <c r="G179" s="37" t="str">
        <f>IFERROR(IF(清单台账!$AE180=1,清单台账!$G180,""),"")</f>
        <v/>
      </c>
      <c r="H179" s="37" t="str">
        <f>IFERROR(IF(清单台账!$AE180=1,清单台账!$H180,""),"")</f>
        <v/>
      </c>
      <c r="I179" s="37" t="str">
        <f>IFERROR(IF(清单台账!$AE180=1,清单台账!$I180,""),"")</f>
        <v/>
      </c>
      <c r="J179" s="37" t="str">
        <f>IFERROR(IF(清单台账!$AE180=1,清单台账!$J180,""),"")</f>
        <v/>
      </c>
      <c r="K179" s="37" t="str">
        <f>IFERROR(IF(清单台账!$AE180=1,清单台账!$K180,""),"")</f>
        <v/>
      </c>
      <c r="L179" s="37" t="str">
        <f>IFERROR(IF(清单台账!$AE180=1,清单台账!$L180,""),"")</f>
        <v/>
      </c>
      <c r="M179" s="37" t="str">
        <f>IFERROR(IF(清单台账!$AE180=1,清单台账!$M180,""),"")</f>
        <v/>
      </c>
      <c r="N179" s="37" t="str">
        <f>IFERROR(IF(清单台账!$AE180=1,清单台账!$N180,""),"")</f>
        <v/>
      </c>
      <c r="O179" s="37" t="str">
        <f>IFERROR(IF(清单台账!$AE180=1,清单台账!$O180,""),"")</f>
        <v/>
      </c>
      <c r="P179" s="39" t="str">
        <f>IFERROR(IF(清单台账!$AE180=1,清单台账!$P180,""),"")</f>
        <v/>
      </c>
      <c r="Q179" s="39" t="str">
        <f>IFERROR(IF(清单台账!$AE180=1,清单台账!$Q180,""),"")</f>
        <v/>
      </c>
      <c r="R179" s="39" t="str">
        <f>IFERROR(IF(清单台账!$AE180=1,清单台账!$R180,""),"")</f>
        <v/>
      </c>
      <c r="S179" s="37" t="str">
        <f>IFERROR(IF(清单台账!$AE180=1,清单台账!$S180,""),"")</f>
        <v/>
      </c>
      <c r="T179" s="37" t="str">
        <f>IFERROR(IF(清单台账!$AE180=1,清单台账!$T180,""),"")</f>
        <v/>
      </c>
      <c r="U179" s="37" t="str">
        <f>IFERROR(IF(清单台账!$AE180=1,清单台账!$U180,""),"")</f>
        <v/>
      </c>
      <c r="V179" s="38" t="str">
        <f>IFERROR(IF(清单台账!$AE180=1,清单台账!$V180,""),"")</f>
        <v/>
      </c>
      <c r="W179" s="40" t="str">
        <f>IFERROR(IF(清单台账!$AE180=1,清单台账!$W180,""),"")</f>
        <v/>
      </c>
      <c r="X179" s="46" t="str">
        <f>IF($F179&lt;&gt;"",IFERROR(MAX($X$5:$X178),0)+1,"")</f>
        <v/>
      </c>
    </row>
    <row r="180" spans="1:24">
      <c r="A180" s="36" t="str">
        <f>IFERROR(IF(清单台账!$AE181=1,清单台账!$A181,""),"")</f>
        <v/>
      </c>
      <c r="B180" s="37" t="str">
        <f>IFERROR(IF(清单台账!$AE181=1,清单台账!$AA181,""),"")</f>
        <v/>
      </c>
      <c r="C180" s="38" t="str">
        <f>IFERROR(IF(清单台账!$AE181=1,清单台账!$AB181,""),"")</f>
        <v/>
      </c>
      <c r="D180" s="37" t="str">
        <f>IFERROR(IF(清单台账!$AE181=1,清单台账!$AC181,""),"")</f>
        <v/>
      </c>
      <c r="E180" s="37" t="str">
        <f>IFERROR(IF(清单台账!$AE181=1,清单台账!$AD181,""),"")</f>
        <v/>
      </c>
      <c r="F180" s="37" t="str">
        <f>IFERROR(IF(清单台账!$AE181=1,清单台账!$F181,""),"")</f>
        <v/>
      </c>
      <c r="G180" s="37" t="str">
        <f>IFERROR(IF(清单台账!$AE181=1,清单台账!$G181,""),"")</f>
        <v/>
      </c>
      <c r="H180" s="37" t="str">
        <f>IFERROR(IF(清单台账!$AE181=1,清单台账!$H181,""),"")</f>
        <v/>
      </c>
      <c r="I180" s="37" t="str">
        <f>IFERROR(IF(清单台账!$AE181=1,清单台账!$I181,""),"")</f>
        <v/>
      </c>
      <c r="J180" s="37" t="str">
        <f>IFERROR(IF(清单台账!$AE181=1,清单台账!$J181,""),"")</f>
        <v/>
      </c>
      <c r="K180" s="37" t="str">
        <f>IFERROR(IF(清单台账!$AE181=1,清单台账!$K181,""),"")</f>
        <v/>
      </c>
      <c r="L180" s="37" t="str">
        <f>IFERROR(IF(清单台账!$AE181=1,清单台账!$L181,""),"")</f>
        <v/>
      </c>
      <c r="M180" s="37" t="str">
        <f>IFERROR(IF(清单台账!$AE181=1,清单台账!$M181,""),"")</f>
        <v/>
      </c>
      <c r="N180" s="37" t="str">
        <f>IFERROR(IF(清单台账!$AE181=1,清单台账!$N181,""),"")</f>
        <v/>
      </c>
      <c r="O180" s="37" t="str">
        <f>IFERROR(IF(清单台账!$AE181=1,清单台账!$O181,""),"")</f>
        <v/>
      </c>
      <c r="P180" s="39" t="str">
        <f>IFERROR(IF(清单台账!$AE181=1,清单台账!$P181,""),"")</f>
        <v/>
      </c>
      <c r="Q180" s="39" t="str">
        <f>IFERROR(IF(清单台账!$AE181=1,清单台账!$Q181,""),"")</f>
        <v/>
      </c>
      <c r="R180" s="39" t="str">
        <f>IFERROR(IF(清单台账!$AE181=1,清单台账!$R181,""),"")</f>
        <v/>
      </c>
      <c r="S180" s="37" t="str">
        <f>IFERROR(IF(清单台账!$AE181=1,清单台账!$S181,""),"")</f>
        <v/>
      </c>
      <c r="T180" s="37" t="str">
        <f>IFERROR(IF(清单台账!$AE181=1,清单台账!$T181,""),"")</f>
        <v/>
      </c>
      <c r="U180" s="37" t="str">
        <f>IFERROR(IF(清单台账!$AE181=1,清单台账!$U181,""),"")</f>
        <v/>
      </c>
      <c r="V180" s="38" t="str">
        <f>IFERROR(IF(清单台账!$AE181=1,清单台账!$V181,""),"")</f>
        <v/>
      </c>
      <c r="W180" s="40" t="str">
        <f>IFERROR(IF(清单台账!$AE181=1,清单台账!$W181,""),"")</f>
        <v/>
      </c>
      <c r="X180" s="46" t="str">
        <f>IF($F180&lt;&gt;"",IFERROR(MAX($X$5:$X179),0)+1,"")</f>
        <v/>
      </c>
    </row>
    <row r="181" spans="1:24">
      <c r="A181" s="36" t="str">
        <f>IFERROR(IF(清单台账!$AE182=1,清单台账!$A182,""),"")</f>
        <v/>
      </c>
      <c r="B181" s="37" t="str">
        <f>IFERROR(IF(清单台账!$AE182=1,清单台账!$AA182,""),"")</f>
        <v/>
      </c>
      <c r="C181" s="38" t="str">
        <f>IFERROR(IF(清单台账!$AE182=1,清单台账!$AB182,""),"")</f>
        <v/>
      </c>
      <c r="D181" s="37" t="str">
        <f>IFERROR(IF(清单台账!$AE182=1,清单台账!$AC182,""),"")</f>
        <v/>
      </c>
      <c r="E181" s="37" t="str">
        <f>IFERROR(IF(清单台账!$AE182=1,清单台账!$AD182,""),"")</f>
        <v/>
      </c>
      <c r="F181" s="37" t="str">
        <f>IFERROR(IF(清单台账!$AE182=1,清单台账!$F182,""),"")</f>
        <v/>
      </c>
      <c r="G181" s="37" t="str">
        <f>IFERROR(IF(清单台账!$AE182=1,清单台账!$G182,""),"")</f>
        <v/>
      </c>
      <c r="H181" s="37" t="str">
        <f>IFERROR(IF(清单台账!$AE182=1,清单台账!$H182,""),"")</f>
        <v/>
      </c>
      <c r="I181" s="37" t="str">
        <f>IFERROR(IF(清单台账!$AE182=1,清单台账!$I182,""),"")</f>
        <v/>
      </c>
      <c r="J181" s="37" t="str">
        <f>IFERROR(IF(清单台账!$AE182=1,清单台账!$J182,""),"")</f>
        <v/>
      </c>
      <c r="K181" s="37" t="str">
        <f>IFERROR(IF(清单台账!$AE182=1,清单台账!$K182,""),"")</f>
        <v/>
      </c>
      <c r="L181" s="37" t="str">
        <f>IFERROR(IF(清单台账!$AE182=1,清单台账!$L182,""),"")</f>
        <v/>
      </c>
      <c r="M181" s="37" t="str">
        <f>IFERROR(IF(清单台账!$AE182=1,清单台账!$M182,""),"")</f>
        <v/>
      </c>
      <c r="N181" s="37" t="str">
        <f>IFERROR(IF(清单台账!$AE182=1,清单台账!$N182,""),"")</f>
        <v/>
      </c>
      <c r="O181" s="37" t="str">
        <f>IFERROR(IF(清单台账!$AE182=1,清单台账!$O182,""),"")</f>
        <v/>
      </c>
      <c r="P181" s="39" t="str">
        <f>IFERROR(IF(清单台账!$AE182=1,清单台账!$P182,""),"")</f>
        <v/>
      </c>
      <c r="Q181" s="39" t="str">
        <f>IFERROR(IF(清单台账!$AE182=1,清单台账!$Q182,""),"")</f>
        <v/>
      </c>
      <c r="R181" s="39" t="str">
        <f>IFERROR(IF(清单台账!$AE182=1,清单台账!$R182,""),"")</f>
        <v/>
      </c>
      <c r="S181" s="37" t="str">
        <f>IFERROR(IF(清单台账!$AE182=1,清单台账!$S182,""),"")</f>
        <v/>
      </c>
      <c r="T181" s="37" t="str">
        <f>IFERROR(IF(清单台账!$AE182=1,清单台账!$T182,""),"")</f>
        <v/>
      </c>
      <c r="U181" s="37" t="str">
        <f>IFERROR(IF(清单台账!$AE182=1,清单台账!$U182,""),"")</f>
        <v/>
      </c>
      <c r="V181" s="38" t="str">
        <f>IFERROR(IF(清单台账!$AE182=1,清单台账!$V182,""),"")</f>
        <v/>
      </c>
      <c r="W181" s="40" t="str">
        <f>IFERROR(IF(清单台账!$AE182=1,清单台账!$W182,""),"")</f>
        <v/>
      </c>
      <c r="X181" s="46" t="str">
        <f>IF($F181&lt;&gt;"",IFERROR(MAX($X$5:$X180),0)+1,"")</f>
        <v/>
      </c>
    </row>
    <row r="182" spans="1:24">
      <c r="A182" s="36" t="str">
        <f>IFERROR(IF(清单台账!$AE183=1,清单台账!$A183,""),"")</f>
        <v/>
      </c>
      <c r="B182" s="37" t="str">
        <f>IFERROR(IF(清单台账!$AE183=1,清单台账!$AA183,""),"")</f>
        <v/>
      </c>
      <c r="C182" s="38" t="str">
        <f>IFERROR(IF(清单台账!$AE183=1,清单台账!$AB183,""),"")</f>
        <v/>
      </c>
      <c r="D182" s="37" t="str">
        <f>IFERROR(IF(清单台账!$AE183=1,清单台账!$AC183,""),"")</f>
        <v/>
      </c>
      <c r="E182" s="37" t="str">
        <f>IFERROR(IF(清单台账!$AE183=1,清单台账!$AD183,""),"")</f>
        <v/>
      </c>
      <c r="F182" s="37" t="str">
        <f>IFERROR(IF(清单台账!$AE183=1,清单台账!$F183,""),"")</f>
        <v/>
      </c>
      <c r="G182" s="37" t="str">
        <f>IFERROR(IF(清单台账!$AE183=1,清单台账!$G183,""),"")</f>
        <v/>
      </c>
      <c r="H182" s="37" t="str">
        <f>IFERROR(IF(清单台账!$AE183=1,清单台账!$H183,""),"")</f>
        <v/>
      </c>
      <c r="I182" s="37" t="str">
        <f>IFERROR(IF(清单台账!$AE183=1,清单台账!$I183,""),"")</f>
        <v/>
      </c>
      <c r="J182" s="37" t="str">
        <f>IFERROR(IF(清单台账!$AE183=1,清单台账!$J183,""),"")</f>
        <v/>
      </c>
      <c r="K182" s="37" t="str">
        <f>IFERROR(IF(清单台账!$AE183=1,清单台账!$K183,""),"")</f>
        <v/>
      </c>
      <c r="L182" s="37" t="str">
        <f>IFERROR(IF(清单台账!$AE183=1,清单台账!$L183,""),"")</f>
        <v/>
      </c>
      <c r="M182" s="37" t="str">
        <f>IFERROR(IF(清单台账!$AE183=1,清单台账!$M183,""),"")</f>
        <v/>
      </c>
      <c r="N182" s="37" t="str">
        <f>IFERROR(IF(清单台账!$AE183=1,清单台账!$N183,""),"")</f>
        <v/>
      </c>
      <c r="O182" s="37" t="str">
        <f>IFERROR(IF(清单台账!$AE183=1,清单台账!$O183,""),"")</f>
        <v/>
      </c>
      <c r="P182" s="39" t="str">
        <f>IFERROR(IF(清单台账!$AE183=1,清单台账!$P183,""),"")</f>
        <v/>
      </c>
      <c r="Q182" s="39" t="str">
        <f>IFERROR(IF(清单台账!$AE183=1,清单台账!$Q183,""),"")</f>
        <v/>
      </c>
      <c r="R182" s="39" t="str">
        <f>IFERROR(IF(清单台账!$AE183=1,清单台账!$R183,""),"")</f>
        <v/>
      </c>
      <c r="S182" s="37" t="str">
        <f>IFERROR(IF(清单台账!$AE183=1,清单台账!$S183,""),"")</f>
        <v/>
      </c>
      <c r="T182" s="37" t="str">
        <f>IFERROR(IF(清单台账!$AE183=1,清单台账!$T183,""),"")</f>
        <v/>
      </c>
      <c r="U182" s="37" t="str">
        <f>IFERROR(IF(清单台账!$AE183=1,清单台账!$U183,""),"")</f>
        <v/>
      </c>
      <c r="V182" s="38" t="str">
        <f>IFERROR(IF(清单台账!$AE183=1,清单台账!$V183,""),"")</f>
        <v/>
      </c>
      <c r="W182" s="40" t="str">
        <f>IFERROR(IF(清单台账!$AE183=1,清单台账!$W183,""),"")</f>
        <v/>
      </c>
      <c r="X182" s="46" t="str">
        <f>IF($F182&lt;&gt;"",IFERROR(MAX($X$5:$X181),0)+1,"")</f>
        <v/>
      </c>
    </row>
    <row r="183" spans="1:24">
      <c r="A183" s="36" t="str">
        <f>IFERROR(IF(清单台账!$AE184=1,清单台账!$A184,""),"")</f>
        <v/>
      </c>
      <c r="B183" s="37" t="str">
        <f>IFERROR(IF(清单台账!$AE184=1,清单台账!$AA184,""),"")</f>
        <v/>
      </c>
      <c r="C183" s="38" t="str">
        <f>IFERROR(IF(清单台账!$AE184=1,清单台账!$AB184,""),"")</f>
        <v/>
      </c>
      <c r="D183" s="37" t="str">
        <f>IFERROR(IF(清单台账!$AE184=1,清单台账!$AC184,""),"")</f>
        <v/>
      </c>
      <c r="E183" s="37" t="str">
        <f>IFERROR(IF(清单台账!$AE184=1,清单台账!$AD184,""),"")</f>
        <v/>
      </c>
      <c r="F183" s="37" t="str">
        <f>IFERROR(IF(清单台账!$AE184=1,清单台账!$F184,""),"")</f>
        <v/>
      </c>
      <c r="G183" s="37" t="str">
        <f>IFERROR(IF(清单台账!$AE184=1,清单台账!$G184,""),"")</f>
        <v/>
      </c>
      <c r="H183" s="37" t="str">
        <f>IFERROR(IF(清单台账!$AE184=1,清单台账!$H184,""),"")</f>
        <v/>
      </c>
      <c r="I183" s="37" t="str">
        <f>IFERROR(IF(清单台账!$AE184=1,清单台账!$I184,""),"")</f>
        <v/>
      </c>
      <c r="J183" s="37" t="str">
        <f>IFERROR(IF(清单台账!$AE184=1,清单台账!$J184,""),"")</f>
        <v/>
      </c>
      <c r="K183" s="37" t="str">
        <f>IFERROR(IF(清单台账!$AE184=1,清单台账!$K184,""),"")</f>
        <v/>
      </c>
      <c r="L183" s="37" t="str">
        <f>IFERROR(IF(清单台账!$AE184=1,清单台账!$L184,""),"")</f>
        <v/>
      </c>
      <c r="M183" s="37" t="str">
        <f>IFERROR(IF(清单台账!$AE184=1,清单台账!$M184,""),"")</f>
        <v/>
      </c>
      <c r="N183" s="37" t="str">
        <f>IFERROR(IF(清单台账!$AE184=1,清单台账!$N184,""),"")</f>
        <v/>
      </c>
      <c r="O183" s="37" t="str">
        <f>IFERROR(IF(清单台账!$AE184=1,清单台账!$O184,""),"")</f>
        <v/>
      </c>
      <c r="P183" s="39" t="str">
        <f>IFERROR(IF(清单台账!$AE184=1,清单台账!$P184,""),"")</f>
        <v/>
      </c>
      <c r="Q183" s="39" t="str">
        <f>IFERROR(IF(清单台账!$AE184=1,清单台账!$Q184,""),"")</f>
        <v/>
      </c>
      <c r="R183" s="39" t="str">
        <f>IFERROR(IF(清单台账!$AE184=1,清单台账!$R184,""),"")</f>
        <v/>
      </c>
      <c r="S183" s="37" t="str">
        <f>IFERROR(IF(清单台账!$AE184=1,清单台账!$S184,""),"")</f>
        <v/>
      </c>
      <c r="T183" s="37" t="str">
        <f>IFERROR(IF(清单台账!$AE184=1,清单台账!$T184,""),"")</f>
        <v/>
      </c>
      <c r="U183" s="37" t="str">
        <f>IFERROR(IF(清单台账!$AE184=1,清单台账!$U184,""),"")</f>
        <v/>
      </c>
      <c r="V183" s="38" t="str">
        <f>IFERROR(IF(清单台账!$AE184=1,清单台账!$V184,""),"")</f>
        <v/>
      </c>
      <c r="W183" s="40" t="str">
        <f>IFERROR(IF(清单台账!$AE184=1,清单台账!$W184,""),"")</f>
        <v/>
      </c>
      <c r="X183" s="46" t="str">
        <f>IF($F183&lt;&gt;"",IFERROR(MAX($X$5:$X182),0)+1,"")</f>
        <v/>
      </c>
    </row>
    <row r="184" spans="1:24">
      <c r="A184" s="36" t="str">
        <f>IFERROR(IF(清单台账!$AE185=1,清单台账!$A185,""),"")</f>
        <v/>
      </c>
      <c r="B184" s="37" t="str">
        <f>IFERROR(IF(清单台账!$AE185=1,清单台账!$AA185,""),"")</f>
        <v/>
      </c>
      <c r="C184" s="38" t="str">
        <f>IFERROR(IF(清单台账!$AE185=1,清单台账!$AB185,""),"")</f>
        <v/>
      </c>
      <c r="D184" s="37" t="str">
        <f>IFERROR(IF(清单台账!$AE185=1,清单台账!$AC185,""),"")</f>
        <v/>
      </c>
      <c r="E184" s="37" t="str">
        <f>IFERROR(IF(清单台账!$AE185=1,清单台账!$AD185,""),"")</f>
        <v/>
      </c>
      <c r="F184" s="37" t="str">
        <f>IFERROR(IF(清单台账!$AE185=1,清单台账!$F185,""),"")</f>
        <v/>
      </c>
      <c r="G184" s="37" t="str">
        <f>IFERROR(IF(清单台账!$AE185=1,清单台账!$G185,""),"")</f>
        <v/>
      </c>
      <c r="H184" s="37" t="str">
        <f>IFERROR(IF(清单台账!$AE185=1,清单台账!$H185,""),"")</f>
        <v/>
      </c>
      <c r="I184" s="37" t="str">
        <f>IFERROR(IF(清单台账!$AE185=1,清单台账!$I185,""),"")</f>
        <v/>
      </c>
      <c r="J184" s="37" t="str">
        <f>IFERROR(IF(清单台账!$AE185=1,清单台账!$J185,""),"")</f>
        <v/>
      </c>
      <c r="K184" s="37" t="str">
        <f>IFERROR(IF(清单台账!$AE185=1,清单台账!$K185,""),"")</f>
        <v/>
      </c>
      <c r="L184" s="37" t="str">
        <f>IFERROR(IF(清单台账!$AE185=1,清单台账!$L185,""),"")</f>
        <v/>
      </c>
      <c r="M184" s="37" t="str">
        <f>IFERROR(IF(清单台账!$AE185=1,清单台账!$M185,""),"")</f>
        <v/>
      </c>
      <c r="N184" s="37" t="str">
        <f>IFERROR(IF(清单台账!$AE185=1,清单台账!$N185,""),"")</f>
        <v/>
      </c>
      <c r="O184" s="37" t="str">
        <f>IFERROR(IF(清单台账!$AE185=1,清单台账!$O185,""),"")</f>
        <v/>
      </c>
      <c r="P184" s="39" t="str">
        <f>IFERROR(IF(清单台账!$AE185=1,清单台账!$P185,""),"")</f>
        <v/>
      </c>
      <c r="Q184" s="39" t="str">
        <f>IFERROR(IF(清单台账!$AE185=1,清单台账!$Q185,""),"")</f>
        <v/>
      </c>
      <c r="R184" s="39" t="str">
        <f>IFERROR(IF(清单台账!$AE185=1,清单台账!$R185,""),"")</f>
        <v/>
      </c>
      <c r="S184" s="37" t="str">
        <f>IFERROR(IF(清单台账!$AE185=1,清单台账!$S185,""),"")</f>
        <v/>
      </c>
      <c r="T184" s="37" t="str">
        <f>IFERROR(IF(清单台账!$AE185=1,清单台账!$T185,""),"")</f>
        <v/>
      </c>
      <c r="U184" s="37" t="str">
        <f>IFERROR(IF(清单台账!$AE185=1,清单台账!$U185,""),"")</f>
        <v/>
      </c>
      <c r="V184" s="38" t="str">
        <f>IFERROR(IF(清单台账!$AE185=1,清单台账!$V185,""),"")</f>
        <v/>
      </c>
      <c r="W184" s="40" t="str">
        <f>IFERROR(IF(清单台账!$AE185=1,清单台账!$W185,""),"")</f>
        <v/>
      </c>
      <c r="X184" s="46" t="str">
        <f>IF($F184&lt;&gt;"",IFERROR(MAX($X$5:$X183),0)+1,"")</f>
        <v/>
      </c>
    </row>
    <row r="185" spans="1:24">
      <c r="A185" s="36" t="str">
        <f>IFERROR(IF(清单台账!$AE186=1,清单台账!$A186,""),"")</f>
        <v/>
      </c>
      <c r="B185" s="37" t="str">
        <f>IFERROR(IF(清单台账!$AE186=1,清单台账!$AA186,""),"")</f>
        <v/>
      </c>
      <c r="C185" s="38" t="str">
        <f>IFERROR(IF(清单台账!$AE186=1,清单台账!$AB186,""),"")</f>
        <v/>
      </c>
      <c r="D185" s="37" t="str">
        <f>IFERROR(IF(清单台账!$AE186=1,清单台账!$AC186,""),"")</f>
        <v/>
      </c>
      <c r="E185" s="37" t="str">
        <f>IFERROR(IF(清单台账!$AE186=1,清单台账!$AD186,""),"")</f>
        <v/>
      </c>
      <c r="F185" s="37" t="str">
        <f>IFERROR(IF(清单台账!$AE186=1,清单台账!$F186,""),"")</f>
        <v/>
      </c>
      <c r="G185" s="37" t="str">
        <f>IFERROR(IF(清单台账!$AE186=1,清单台账!$G186,""),"")</f>
        <v/>
      </c>
      <c r="H185" s="37" t="str">
        <f>IFERROR(IF(清单台账!$AE186=1,清单台账!$H186,""),"")</f>
        <v/>
      </c>
      <c r="I185" s="37" t="str">
        <f>IFERROR(IF(清单台账!$AE186=1,清单台账!$I186,""),"")</f>
        <v/>
      </c>
      <c r="J185" s="37" t="str">
        <f>IFERROR(IF(清单台账!$AE186=1,清单台账!$J186,""),"")</f>
        <v/>
      </c>
      <c r="K185" s="37" t="str">
        <f>IFERROR(IF(清单台账!$AE186=1,清单台账!$K186,""),"")</f>
        <v/>
      </c>
      <c r="L185" s="37" t="str">
        <f>IFERROR(IF(清单台账!$AE186=1,清单台账!$L186,""),"")</f>
        <v/>
      </c>
      <c r="M185" s="37" t="str">
        <f>IFERROR(IF(清单台账!$AE186=1,清单台账!$M186,""),"")</f>
        <v/>
      </c>
      <c r="N185" s="37" t="str">
        <f>IFERROR(IF(清单台账!$AE186=1,清单台账!$N186,""),"")</f>
        <v/>
      </c>
      <c r="O185" s="37" t="str">
        <f>IFERROR(IF(清单台账!$AE186=1,清单台账!$O186,""),"")</f>
        <v/>
      </c>
      <c r="P185" s="39" t="str">
        <f>IFERROR(IF(清单台账!$AE186=1,清单台账!$P186,""),"")</f>
        <v/>
      </c>
      <c r="Q185" s="39" t="str">
        <f>IFERROR(IF(清单台账!$AE186=1,清单台账!$Q186,""),"")</f>
        <v/>
      </c>
      <c r="R185" s="39" t="str">
        <f>IFERROR(IF(清单台账!$AE186=1,清单台账!$R186,""),"")</f>
        <v/>
      </c>
      <c r="S185" s="37" t="str">
        <f>IFERROR(IF(清单台账!$AE186=1,清单台账!$S186,""),"")</f>
        <v/>
      </c>
      <c r="T185" s="37" t="str">
        <f>IFERROR(IF(清单台账!$AE186=1,清单台账!$T186,""),"")</f>
        <v/>
      </c>
      <c r="U185" s="37" t="str">
        <f>IFERROR(IF(清单台账!$AE186=1,清单台账!$U186,""),"")</f>
        <v/>
      </c>
      <c r="V185" s="38" t="str">
        <f>IFERROR(IF(清单台账!$AE186=1,清单台账!$V186,""),"")</f>
        <v/>
      </c>
      <c r="W185" s="40" t="str">
        <f>IFERROR(IF(清单台账!$AE186=1,清单台账!$W186,""),"")</f>
        <v/>
      </c>
      <c r="X185" s="46" t="str">
        <f>IF($F185&lt;&gt;"",IFERROR(MAX($X$5:$X184),0)+1,"")</f>
        <v/>
      </c>
    </row>
    <row r="186" spans="1:24">
      <c r="A186" s="36" t="str">
        <f>IFERROR(IF(清单台账!$AE187=1,清单台账!$A187,""),"")</f>
        <v/>
      </c>
      <c r="B186" s="37" t="str">
        <f>IFERROR(IF(清单台账!$AE187=1,清单台账!$AA187,""),"")</f>
        <v/>
      </c>
      <c r="C186" s="38" t="str">
        <f>IFERROR(IF(清单台账!$AE187=1,清单台账!$AB187,""),"")</f>
        <v/>
      </c>
      <c r="D186" s="37" t="str">
        <f>IFERROR(IF(清单台账!$AE187=1,清单台账!$AC187,""),"")</f>
        <v/>
      </c>
      <c r="E186" s="37" t="str">
        <f>IFERROR(IF(清单台账!$AE187=1,清单台账!$AD187,""),"")</f>
        <v/>
      </c>
      <c r="F186" s="37" t="str">
        <f>IFERROR(IF(清单台账!$AE187=1,清单台账!$F187,""),"")</f>
        <v/>
      </c>
      <c r="G186" s="37" t="str">
        <f>IFERROR(IF(清单台账!$AE187=1,清单台账!$G187,""),"")</f>
        <v/>
      </c>
      <c r="H186" s="37" t="str">
        <f>IFERROR(IF(清单台账!$AE187=1,清单台账!$H187,""),"")</f>
        <v/>
      </c>
      <c r="I186" s="37" t="str">
        <f>IFERROR(IF(清单台账!$AE187=1,清单台账!$I187,""),"")</f>
        <v/>
      </c>
      <c r="J186" s="37" t="str">
        <f>IFERROR(IF(清单台账!$AE187=1,清单台账!$J187,""),"")</f>
        <v/>
      </c>
      <c r="K186" s="37" t="str">
        <f>IFERROR(IF(清单台账!$AE187=1,清单台账!$K187,""),"")</f>
        <v/>
      </c>
      <c r="L186" s="37" t="str">
        <f>IFERROR(IF(清单台账!$AE187=1,清单台账!$L187,""),"")</f>
        <v/>
      </c>
      <c r="M186" s="37" t="str">
        <f>IFERROR(IF(清单台账!$AE187=1,清单台账!$M187,""),"")</f>
        <v/>
      </c>
      <c r="N186" s="37" t="str">
        <f>IFERROR(IF(清单台账!$AE187=1,清单台账!$N187,""),"")</f>
        <v/>
      </c>
      <c r="O186" s="37" t="str">
        <f>IFERROR(IF(清单台账!$AE187=1,清单台账!$O187,""),"")</f>
        <v/>
      </c>
      <c r="P186" s="39" t="str">
        <f>IFERROR(IF(清单台账!$AE187=1,清单台账!$P187,""),"")</f>
        <v/>
      </c>
      <c r="Q186" s="39" t="str">
        <f>IFERROR(IF(清单台账!$AE187=1,清单台账!$Q187,""),"")</f>
        <v/>
      </c>
      <c r="R186" s="39" t="str">
        <f>IFERROR(IF(清单台账!$AE187=1,清单台账!$R187,""),"")</f>
        <v/>
      </c>
      <c r="S186" s="37" t="str">
        <f>IFERROR(IF(清单台账!$AE187=1,清单台账!$S187,""),"")</f>
        <v/>
      </c>
      <c r="T186" s="37" t="str">
        <f>IFERROR(IF(清单台账!$AE187=1,清单台账!$T187,""),"")</f>
        <v/>
      </c>
      <c r="U186" s="37" t="str">
        <f>IFERROR(IF(清单台账!$AE187=1,清单台账!$U187,""),"")</f>
        <v/>
      </c>
      <c r="V186" s="38" t="str">
        <f>IFERROR(IF(清单台账!$AE187=1,清单台账!$V187,""),"")</f>
        <v/>
      </c>
      <c r="W186" s="40" t="str">
        <f>IFERROR(IF(清单台账!$AE187=1,清单台账!$W187,""),"")</f>
        <v/>
      </c>
      <c r="X186" s="46" t="str">
        <f>IF($F186&lt;&gt;"",IFERROR(MAX($X$5:$X185),0)+1,"")</f>
        <v/>
      </c>
    </row>
    <row r="187" spans="1:24">
      <c r="A187" s="36" t="str">
        <f>IFERROR(IF(清单台账!$AE188=1,清单台账!$A188,""),"")</f>
        <v/>
      </c>
      <c r="B187" s="37" t="str">
        <f>IFERROR(IF(清单台账!$AE188=1,清单台账!$AA188,""),"")</f>
        <v/>
      </c>
      <c r="C187" s="38" t="str">
        <f>IFERROR(IF(清单台账!$AE188=1,清单台账!$AB188,""),"")</f>
        <v/>
      </c>
      <c r="D187" s="37" t="str">
        <f>IFERROR(IF(清单台账!$AE188=1,清单台账!$AC188,""),"")</f>
        <v/>
      </c>
      <c r="E187" s="37" t="str">
        <f>IFERROR(IF(清单台账!$AE188=1,清单台账!$AD188,""),"")</f>
        <v/>
      </c>
      <c r="F187" s="37" t="str">
        <f>IFERROR(IF(清单台账!$AE188=1,清单台账!$F188,""),"")</f>
        <v/>
      </c>
      <c r="G187" s="37" t="str">
        <f>IFERROR(IF(清单台账!$AE188=1,清单台账!$G188,""),"")</f>
        <v/>
      </c>
      <c r="H187" s="37" t="str">
        <f>IFERROR(IF(清单台账!$AE188=1,清单台账!$H188,""),"")</f>
        <v/>
      </c>
      <c r="I187" s="37" t="str">
        <f>IFERROR(IF(清单台账!$AE188=1,清单台账!$I188,""),"")</f>
        <v/>
      </c>
      <c r="J187" s="37" t="str">
        <f>IFERROR(IF(清单台账!$AE188=1,清单台账!$J188,""),"")</f>
        <v/>
      </c>
      <c r="K187" s="37" t="str">
        <f>IFERROR(IF(清单台账!$AE188=1,清单台账!$K188,""),"")</f>
        <v/>
      </c>
      <c r="L187" s="37" t="str">
        <f>IFERROR(IF(清单台账!$AE188=1,清单台账!$L188,""),"")</f>
        <v/>
      </c>
      <c r="M187" s="37" t="str">
        <f>IFERROR(IF(清单台账!$AE188=1,清单台账!$M188,""),"")</f>
        <v/>
      </c>
      <c r="N187" s="37" t="str">
        <f>IFERROR(IF(清单台账!$AE188=1,清单台账!$N188,""),"")</f>
        <v/>
      </c>
      <c r="O187" s="37" t="str">
        <f>IFERROR(IF(清单台账!$AE188=1,清单台账!$O188,""),"")</f>
        <v/>
      </c>
      <c r="P187" s="39" t="str">
        <f>IFERROR(IF(清单台账!$AE188=1,清单台账!$P188,""),"")</f>
        <v/>
      </c>
      <c r="Q187" s="39" t="str">
        <f>IFERROR(IF(清单台账!$AE188=1,清单台账!$Q188,""),"")</f>
        <v/>
      </c>
      <c r="R187" s="39" t="str">
        <f>IFERROR(IF(清单台账!$AE188=1,清单台账!$R188,""),"")</f>
        <v/>
      </c>
      <c r="S187" s="37" t="str">
        <f>IFERROR(IF(清单台账!$AE188=1,清单台账!$S188,""),"")</f>
        <v/>
      </c>
      <c r="T187" s="37" t="str">
        <f>IFERROR(IF(清单台账!$AE188=1,清单台账!$T188,""),"")</f>
        <v/>
      </c>
      <c r="U187" s="37" t="str">
        <f>IFERROR(IF(清单台账!$AE188=1,清单台账!$U188,""),"")</f>
        <v/>
      </c>
      <c r="V187" s="38" t="str">
        <f>IFERROR(IF(清单台账!$AE188=1,清单台账!$V188,""),"")</f>
        <v/>
      </c>
      <c r="W187" s="40" t="str">
        <f>IFERROR(IF(清单台账!$AE188=1,清单台账!$W188,""),"")</f>
        <v/>
      </c>
      <c r="X187" s="46" t="str">
        <f>IF($F187&lt;&gt;"",IFERROR(MAX($X$5:$X186),0)+1,"")</f>
        <v/>
      </c>
    </row>
    <row r="188" spans="1:24">
      <c r="A188" s="36" t="str">
        <f>IFERROR(IF(清单台账!$AE189=1,清单台账!$A189,""),"")</f>
        <v/>
      </c>
      <c r="B188" s="37" t="str">
        <f>IFERROR(IF(清单台账!$AE189=1,清单台账!$AA189,""),"")</f>
        <v/>
      </c>
      <c r="C188" s="38" t="str">
        <f>IFERROR(IF(清单台账!$AE189=1,清单台账!$AB189,""),"")</f>
        <v/>
      </c>
      <c r="D188" s="37" t="str">
        <f>IFERROR(IF(清单台账!$AE189=1,清单台账!$AC189,""),"")</f>
        <v/>
      </c>
      <c r="E188" s="37" t="str">
        <f>IFERROR(IF(清单台账!$AE189=1,清单台账!$AD189,""),"")</f>
        <v/>
      </c>
      <c r="F188" s="37" t="str">
        <f>IFERROR(IF(清单台账!$AE189=1,清单台账!$F189,""),"")</f>
        <v/>
      </c>
      <c r="G188" s="37" t="str">
        <f>IFERROR(IF(清单台账!$AE189=1,清单台账!$G189,""),"")</f>
        <v/>
      </c>
      <c r="H188" s="37" t="str">
        <f>IFERROR(IF(清单台账!$AE189=1,清单台账!$H189,""),"")</f>
        <v/>
      </c>
      <c r="I188" s="37" t="str">
        <f>IFERROR(IF(清单台账!$AE189=1,清单台账!$I189,""),"")</f>
        <v/>
      </c>
      <c r="J188" s="37" t="str">
        <f>IFERROR(IF(清单台账!$AE189=1,清单台账!$J189,""),"")</f>
        <v/>
      </c>
      <c r="K188" s="37" t="str">
        <f>IFERROR(IF(清单台账!$AE189=1,清单台账!$K189,""),"")</f>
        <v/>
      </c>
      <c r="L188" s="37" t="str">
        <f>IFERROR(IF(清单台账!$AE189=1,清单台账!$L189,""),"")</f>
        <v/>
      </c>
      <c r="M188" s="37" t="str">
        <f>IFERROR(IF(清单台账!$AE189=1,清单台账!$M189,""),"")</f>
        <v/>
      </c>
      <c r="N188" s="37" t="str">
        <f>IFERROR(IF(清单台账!$AE189=1,清单台账!$N189,""),"")</f>
        <v/>
      </c>
      <c r="O188" s="37" t="str">
        <f>IFERROR(IF(清单台账!$AE189=1,清单台账!$O189,""),"")</f>
        <v/>
      </c>
      <c r="P188" s="39" t="str">
        <f>IFERROR(IF(清单台账!$AE189=1,清单台账!$P189,""),"")</f>
        <v/>
      </c>
      <c r="Q188" s="39" t="str">
        <f>IFERROR(IF(清单台账!$AE189=1,清单台账!$Q189,""),"")</f>
        <v/>
      </c>
      <c r="R188" s="39" t="str">
        <f>IFERROR(IF(清单台账!$AE189=1,清单台账!$R189,""),"")</f>
        <v/>
      </c>
      <c r="S188" s="37" t="str">
        <f>IFERROR(IF(清单台账!$AE189=1,清单台账!$S189,""),"")</f>
        <v/>
      </c>
      <c r="T188" s="37" t="str">
        <f>IFERROR(IF(清单台账!$AE189=1,清单台账!$T189,""),"")</f>
        <v/>
      </c>
      <c r="U188" s="37" t="str">
        <f>IFERROR(IF(清单台账!$AE189=1,清单台账!$U189,""),"")</f>
        <v/>
      </c>
      <c r="V188" s="38" t="str">
        <f>IFERROR(IF(清单台账!$AE189=1,清单台账!$V189,""),"")</f>
        <v/>
      </c>
      <c r="W188" s="40" t="str">
        <f>IFERROR(IF(清单台账!$AE189=1,清单台账!$W189,""),"")</f>
        <v/>
      </c>
      <c r="X188" s="46" t="str">
        <f>IF($F188&lt;&gt;"",IFERROR(MAX($X$5:$X187),0)+1,"")</f>
        <v/>
      </c>
    </row>
    <row r="189" spans="1:24">
      <c r="A189" s="36" t="str">
        <f>IFERROR(IF(清单台账!$AE190=1,清单台账!$A190,""),"")</f>
        <v/>
      </c>
      <c r="B189" s="37" t="str">
        <f>IFERROR(IF(清单台账!$AE190=1,清单台账!$AA190,""),"")</f>
        <v/>
      </c>
      <c r="C189" s="38" t="str">
        <f>IFERROR(IF(清单台账!$AE190=1,清单台账!$AB190,""),"")</f>
        <v/>
      </c>
      <c r="D189" s="37" t="str">
        <f>IFERROR(IF(清单台账!$AE190=1,清单台账!$AC190,""),"")</f>
        <v/>
      </c>
      <c r="E189" s="37" t="str">
        <f>IFERROR(IF(清单台账!$AE190=1,清单台账!$AD190,""),"")</f>
        <v/>
      </c>
      <c r="F189" s="37" t="str">
        <f>IFERROR(IF(清单台账!$AE190=1,清单台账!$F190,""),"")</f>
        <v/>
      </c>
      <c r="G189" s="37" t="str">
        <f>IFERROR(IF(清单台账!$AE190=1,清单台账!$G190,""),"")</f>
        <v/>
      </c>
      <c r="H189" s="37" t="str">
        <f>IFERROR(IF(清单台账!$AE190=1,清单台账!$H190,""),"")</f>
        <v/>
      </c>
      <c r="I189" s="37" t="str">
        <f>IFERROR(IF(清单台账!$AE190=1,清单台账!$I190,""),"")</f>
        <v/>
      </c>
      <c r="J189" s="37" t="str">
        <f>IFERROR(IF(清单台账!$AE190=1,清单台账!$J190,""),"")</f>
        <v/>
      </c>
      <c r="K189" s="37" t="str">
        <f>IFERROR(IF(清单台账!$AE190=1,清单台账!$K190,""),"")</f>
        <v/>
      </c>
      <c r="L189" s="37" t="str">
        <f>IFERROR(IF(清单台账!$AE190=1,清单台账!$L190,""),"")</f>
        <v/>
      </c>
      <c r="M189" s="37" t="str">
        <f>IFERROR(IF(清单台账!$AE190=1,清单台账!$M190,""),"")</f>
        <v/>
      </c>
      <c r="N189" s="37" t="str">
        <f>IFERROR(IF(清单台账!$AE190=1,清单台账!$N190,""),"")</f>
        <v/>
      </c>
      <c r="O189" s="37" t="str">
        <f>IFERROR(IF(清单台账!$AE190=1,清单台账!$O190,""),"")</f>
        <v/>
      </c>
      <c r="P189" s="39" t="str">
        <f>IFERROR(IF(清单台账!$AE190=1,清单台账!$P190,""),"")</f>
        <v/>
      </c>
      <c r="Q189" s="39" t="str">
        <f>IFERROR(IF(清单台账!$AE190=1,清单台账!$Q190,""),"")</f>
        <v/>
      </c>
      <c r="R189" s="39" t="str">
        <f>IFERROR(IF(清单台账!$AE190=1,清单台账!$R190,""),"")</f>
        <v/>
      </c>
      <c r="S189" s="37" t="str">
        <f>IFERROR(IF(清单台账!$AE190=1,清单台账!$S190,""),"")</f>
        <v/>
      </c>
      <c r="T189" s="37" t="str">
        <f>IFERROR(IF(清单台账!$AE190=1,清单台账!$T190,""),"")</f>
        <v/>
      </c>
      <c r="U189" s="37" t="str">
        <f>IFERROR(IF(清单台账!$AE190=1,清单台账!$U190,""),"")</f>
        <v/>
      </c>
      <c r="V189" s="38" t="str">
        <f>IFERROR(IF(清单台账!$AE190=1,清单台账!$V190,""),"")</f>
        <v/>
      </c>
      <c r="W189" s="40" t="str">
        <f>IFERROR(IF(清单台账!$AE190=1,清单台账!$W190,""),"")</f>
        <v/>
      </c>
      <c r="X189" s="46" t="str">
        <f>IF($F189&lt;&gt;"",IFERROR(MAX($X$5:$X188),0)+1,"")</f>
        <v/>
      </c>
    </row>
    <row r="190" spans="1:24">
      <c r="A190" s="36" t="str">
        <f>IFERROR(IF(清单台账!$AE191=1,清单台账!$A191,""),"")</f>
        <v/>
      </c>
      <c r="B190" s="37" t="str">
        <f>IFERROR(IF(清单台账!$AE191=1,清单台账!$AA191,""),"")</f>
        <v/>
      </c>
      <c r="C190" s="38" t="str">
        <f>IFERROR(IF(清单台账!$AE191=1,清单台账!$AB191,""),"")</f>
        <v/>
      </c>
      <c r="D190" s="37" t="str">
        <f>IFERROR(IF(清单台账!$AE191=1,清单台账!$AC191,""),"")</f>
        <v/>
      </c>
      <c r="E190" s="37" t="str">
        <f>IFERROR(IF(清单台账!$AE191=1,清单台账!$AD191,""),"")</f>
        <v/>
      </c>
      <c r="F190" s="37" t="str">
        <f>IFERROR(IF(清单台账!$AE191=1,清单台账!$F191,""),"")</f>
        <v/>
      </c>
      <c r="G190" s="37" t="str">
        <f>IFERROR(IF(清单台账!$AE191=1,清单台账!$G191,""),"")</f>
        <v/>
      </c>
      <c r="H190" s="37" t="str">
        <f>IFERROR(IF(清单台账!$AE191=1,清单台账!$H191,""),"")</f>
        <v/>
      </c>
      <c r="I190" s="37" t="str">
        <f>IFERROR(IF(清单台账!$AE191=1,清单台账!$I191,""),"")</f>
        <v/>
      </c>
      <c r="J190" s="37" t="str">
        <f>IFERROR(IF(清单台账!$AE191=1,清单台账!$J191,""),"")</f>
        <v/>
      </c>
      <c r="K190" s="37" t="str">
        <f>IFERROR(IF(清单台账!$AE191=1,清单台账!$K191,""),"")</f>
        <v/>
      </c>
      <c r="L190" s="37" t="str">
        <f>IFERROR(IF(清单台账!$AE191=1,清单台账!$L191,""),"")</f>
        <v/>
      </c>
      <c r="M190" s="37" t="str">
        <f>IFERROR(IF(清单台账!$AE191=1,清单台账!$M191,""),"")</f>
        <v/>
      </c>
      <c r="N190" s="37" t="str">
        <f>IFERROR(IF(清单台账!$AE191=1,清单台账!$N191,""),"")</f>
        <v/>
      </c>
      <c r="O190" s="37" t="str">
        <f>IFERROR(IF(清单台账!$AE191=1,清单台账!$O191,""),"")</f>
        <v/>
      </c>
      <c r="P190" s="39" t="str">
        <f>IFERROR(IF(清单台账!$AE191=1,清单台账!$P191,""),"")</f>
        <v/>
      </c>
      <c r="Q190" s="39" t="str">
        <f>IFERROR(IF(清单台账!$AE191=1,清单台账!$Q191,""),"")</f>
        <v/>
      </c>
      <c r="R190" s="39" t="str">
        <f>IFERROR(IF(清单台账!$AE191=1,清单台账!$R191,""),"")</f>
        <v/>
      </c>
      <c r="S190" s="37" t="str">
        <f>IFERROR(IF(清单台账!$AE191=1,清单台账!$S191,""),"")</f>
        <v/>
      </c>
      <c r="T190" s="37" t="str">
        <f>IFERROR(IF(清单台账!$AE191=1,清单台账!$T191,""),"")</f>
        <v/>
      </c>
      <c r="U190" s="37" t="str">
        <f>IFERROR(IF(清单台账!$AE191=1,清单台账!$U191,""),"")</f>
        <v/>
      </c>
      <c r="V190" s="38" t="str">
        <f>IFERROR(IF(清单台账!$AE191=1,清单台账!$V191,""),"")</f>
        <v/>
      </c>
      <c r="W190" s="40" t="str">
        <f>IFERROR(IF(清单台账!$AE191=1,清单台账!$W191,""),"")</f>
        <v/>
      </c>
      <c r="X190" s="46" t="str">
        <f>IF($F190&lt;&gt;"",IFERROR(MAX($X$5:$X189),0)+1,"")</f>
        <v/>
      </c>
    </row>
    <row r="191" spans="1:24">
      <c r="A191" s="36" t="str">
        <f>IFERROR(IF(清单台账!$AE192=1,清单台账!$A192,""),"")</f>
        <v/>
      </c>
      <c r="B191" s="37" t="str">
        <f>IFERROR(IF(清单台账!$AE192=1,清单台账!$AA192,""),"")</f>
        <v/>
      </c>
      <c r="C191" s="38" t="str">
        <f>IFERROR(IF(清单台账!$AE192=1,清单台账!$AB192,""),"")</f>
        <v/>
      </c>
      <c r="D191" s="37" t="str">
        <f>IFERROR(IF(清单台账!$AE192=1,清单台账!$AC192,""),"")</f>
        <v/>
      </c>
      <c r="E191" s="37" t="str">
        <f>IFERROR(IF(清单台账!$AE192=1,清单台账!$AD192,""),"")</f>
        <v/>
      </c>
      <c r="F191" s="37" t="str">
        <f>IFERROR(IF(清单台账!$AE192=1,清单台账!$F192,""),"")</f>
        <v/>
      </c>
      <c r="G191" s="37" t="str">
        <f>IFERROR(IF(清单台账!$AE192=1,清单台账!$G192,""),"")</f>
        <v/>
      </c>
      <c r="H191" s="37" t="str">
        <f>IFERROR(IF(清单台账!$AE192=1,清单台账!$H192,""),"")</f>
        <v/>
      </c>
      <c r="I191" s="37" t="str">
        <f>IFERROR(IF(清单台账!$AE192=1,清单台账!$I192,""),"")</f>
        <v/>
      </c>
      <c r="J191" s="37" t="str">
        <f>IFERROR(IF(清单台账!$AE192=1,清单台账!$J192,""),"")</f>
        <v/>
      </c>
      <c r="K191" s="37" t="str">
        <f>IFERROR(IF(清单台账!$AE192=1,清单台账!$K192,""),"")</f>
        <v/>
      </c>
      <c r="L191" s="37" t="str">
        <f>IFERROR(IF(清单台账!$AE192=1,清单台账!$L192,""),"")</f>
        <v/>
      </c>
      <c r="M191" s="37" t="str">
        <f>IFERROR(IF(清单台账!$AE192=1,清单台账!$M192,""),"")</f>
        <v/>
      </c>
      <c r="N191" s="37" t="str">
        <f>IFERROR(IF(清单台账!$AE192=1,清单台账!$N192,""),"")</f>
        <v/>
      </c>
      <c r="O191" s="37" t="str">
        <f>IFERROR(IF(清单台账!$AE192=1,清单台账!$O192,""),"")</f>
        <v/>
      </c>
      <c r="P191" s="39" t="str">
        <f>IFERROR(IF(清单台账!$AE192=1,清单台账!$P192,""),"")</f>
        <v/>
      </c>
      <c r="Q191" s="39" t="str">
        <f>IFERROR(IF(清单台账!$AE192=1,清单台账!$Q192,""),"")</f>
        <v/>
      </c>
      <c r="R191" s="39" t="str">
        <f>IFERROR(IF(清单台账!$AE192=1,清单台账!$R192,""),"")</f>
        <v/>
      </c>
      <c r="S191" s="37" t="str">
        <f>IFERROR(IF(清单台账!$AE192=1,清单台账!$S192,""),"")</f>
        <v/>
      </c>
      <c r="T191" s="37" t="str">
        <f>IFERROR(IF(清单台账!$AE192=1,清单台账!$T192,""),"")</f>
        <v/>
      </c>
      <c r="U191" s="37" t="str">
        <f>IFERROR(IF(清单台账!$AE192=1,清单台账!$U192,""),"")</f>
        <v/>
      </c>
      <c r="V191" s="38" t="str">
        <f>IFERROR(IF(清单台账!$AE192=1,清单台账!$V192,""),"")</f>
        <v/>
      </c>
      <c r="W191" s="40" t="str">
        <f>IFERROR(IF(清单台账!$AE192=1,清单台账!$W192,""),"")</f>
        <v/>
      </c>
      <c r="X191" s="46" t="str">
        <f>IF($F191&lt;&gt;"",IFERROR(MAX($X$5:$X190),0)+1,"")</f>
        <v/>
      </c>
    </row>
    <row r="192" spans="1:24">
      <c r="A192" s="36" t="str">
        <f>IFERROR(IF(清单台账!$AE193=1,清单台账!$A193,""),"")</f>
        <v/>
      </c>
      <c r="B192" s="37" t="str">
        <f>IFERROR(IF(清单台账!$AE193=1,清单台账!$AA193,""),"")</f>
        <v/>
      </c>
      <c r="C192" s="38" t="str">
        <f>IFERROR(IF(清单台账!$AE193=1,清单台账!$AB193,""),"")</f>
        <v/>
      </c>
      <c r="D192" s="37" t="str">
        <f>IFERROR(IF(清单台账!$AE193=1,清单台账!$AC193,""),"")</f>
        <v/>
      </c>
      <c r="E192" s="37" t="str">
        <f>IFERROR(IF(清单台账!$AE193=1,清单台账!$AD193,""),"")</f>
        <v/>
      </c>
      <c r="F192" s="37" t="str">
        <f>IFERROR(IF(清单台账!$AE193=1,清单台账!$F193,""),"")</f>
        <v/>
      </c>
      <c r="G192" s="37" t="str">
        <f>IFERROR(IF(清单台账!$AE193=1,清单台账!$G193,""),"")</f>
        <v/>
      </c>
      <c r="H192" s="37" t="str">
        <f>IFERROR(IF(清单台账!$AE193=1,清单台账!$H193,""),"")</f>
        <v/>
      </c>
      <c r="I192" s="37" t="str">
        <f>IFERROR(IF(清单台账!$AE193=1,清单台账!$I193,""),"")</f>
        <v/>
      </c>
      <c r="J192" s="37" t="str">
        <f>IFERROR(IF(清单台账!$AE193=1,清单台账!$J193,""),"")</f>
        <v/>
      </c>
      <c r="K192" s="37" t="str">
        <f>IFERROR(IF(清单台账!$AE193=1,清单台账!$K193,""),"")</f>
        <v/>
      </c>
      <c r="L192" s="37" t="str">
        <f>IFERROR(IF(清单台账!$AE193=1,清单台账!$L193,""),"")</f>
        <v/>
      </c>
      <c r="M192" s="37" t="str">
        <f>IFERROR(IF(清单台账!$AE193=1,清单台账!$M193,""),"")</f>
        <v/>
      </c>
      <c r="N192" s="37" t="str">
        <f>IFERROR(IF(清单台账!$AE193=1,清单台账!$N193,""),"")</f>
        <v/>
      </c>
      <c r="O192" s="37" t="str">
        <f>IFERROR(IF(清单台账!$AE193=1,清单台账!$O193,""),"")</f>
        <v/>
      </c>
      <c r="P192" s="39" t="str">
        <f>IFERROR(IF(清单台账!$AE193=1,清单台账!$P193,""),"")</f>
        <v/>
      </c>
      <c r="Q192" s="39" t="str">
        <f>IFERROR(IF(清单台账!$AE193=1,清单台账!$Q193,""),"")</f>
        <v/>
      </c>
      <c r="R192" s="39" t="str">
        <f>IFERROR(IF(清单台账!$AE193=1,清单台账!$R193,""),"")</f>
        <v/>
      </c>
      <c r="S192" s="37" t="str">
        <f>IFERROR(IF(清单台账!$AE193=1,清单台账!$S193,""),"")</f>
        <v/>
      </c>
      <c r="T192" s="37" t="str">
        <f>IFERROR(IF(清单台账!$AE193=1,清单台账!$T193,""),"")</f>
        <v/>
      </c>
      <c r="U192" s="37" t="str">
        <f>IFERROR(IF(清单台账!$AE193=1,清单台账!$U193,""),"")</f>
        <v/>
      </c>
      <c r="V192" s="38" t="str">
        <f>IFERROR(IF(清单台账!$AE193=1,清单台账!$V193,""),"")</f>
        <v/>
      </c>
      <c r="W192" s="40" t="str">
        <f>IFERROR(IF(清单台账!$AE193=1,清单台账!$W193,""),"")</f>
        <v/>
      </c>
      <c r="X192" s="46" t="str">
        <f>IF($F192&lt;&gt;"",IFERROR(MAX($X$5:$X191),0)+1,"")</f>
        <v/>
      </c>
    </row>
    <row r="193" spans="1:24">
      <c r="A193" s="36" t="str">
        <f>IFERROR(IF(清单台账!$AE194=1,清单台账!$A194,""),"")</f>
        <v/>
      </c>
      <c r="B193" s="37" t="str">
        <f>IFERROR(IF(清单台账!$AE194=1,清单台账!$AA194,""),"")</f>
        <v/>
      </c>
      <c r="C193" s="38" t="str">
        <f>IFERROR(IF(清单台账!$AE194=1,清单台账!$AB194,""),"")</f>
        <v/>
      </c>
      <c r="D193" s="37" t="str">
        <f>IFERROR(IF(清单台账!$AE194=1,清单台账!$AC194,""),"")</f>
        <v/>
      </c>
      <c r="E193" s="37" t="str">
        <f>IFERROR(IF(清单台账!$AE194=1,清单台账!$AD194,""),"")</f>
        <v/>
      </c>
      <c r="F193" s="37" t="str">
        <f>IFERROR(IF(清单台账!$AE194=1,清单台账!$F194,""),"")</f>
        <v/>
      </c>
      <c r="G193" s="37" t="str">
        <f>IFERROR(IF(清单台账!$AE194=1,清单台账!$G194,""),"")</f>
        <v/>
      </c>
      <c r="H193" s="37" t="str">
        <f>IFERROR(IF(清单台账!$AE194=1,清单台账!$H194,""),"")</f>
        <v/>
      </c>
      <c r="I193" s="37" t="str">
        <f>IFERROR(IF(清单台账!$AE194=1,清单台账!$I194,""),"")</f>
        <v/>
      </c>
      <c r="J193" s="37" t="str">
        <f>IFERROR(IF(清单台账!$AE194=1,清单台账!$J194,""),"")</f>
        <v/>
      </c>
      <c r="K193" s="37" t="str">
        <f>IFERROR(IF(清单台账!$AE194=1,清单台账!$K194,""),"")</f>
        <v/>
      </c>
      <c r="L193" s="37" t="str">
        <f>IFERROR(IF(清单台账!$AE194=1,清单台账!$L194,""),"")</f>
        <v/>
      </c>
      <c r="M193" s="37" t="str">
        <f>IFERROR(IF(清单台账!$AE194=1,清单台账!$M194,""),"")</f>
        <v/>
      </c>
      <c r="N193" s="37" t="str">
        <f>IFERROR(IF(清单台账!$AE194=1,清单台账!$N194,""),"")</f>
        <v/>
      </c>
      <c r="O193" s="37" t="str">
        <f>IFERROR(IF(清单台账!$AE194=1,清单台账!$O194,""),"")</f>
        <v/>
      </c>
      <c r="P193" s="39" t="str">
        <f>IFERROR(IF(清单台账!$AE194=1,清单台账!$P194,""),"")</f>
        <v/>
      </c>
      <c r="Q193" s="39" t="str">
        <f>IFERROR(IF(清单台账!$AE194=1,清单台账!$Q194,""),"")</f>
        <v/>
      </c>
      <c r="R193" s="39" t="str">
        <f>IFERROR(IF(清单台账!$AE194=1,清单台账!$R194,""),"")</f>
        <v/>
      </c>
      <c r="S193" s="37" t="str">
        <f>IFERROR(IF(清单台账!$AE194=1,清单台账!$S194,""),"")</f>
        <v/>
      </c>
      <c r="T193" s="37" t="str">
        <f>IFERROR(IF(清单台账!$AE194=1,清单台账!$T194,""),"")</f>
        <v/>
      </c>
      <c r="U193" s="37" t="str">
        <f>IFERROR(IF(清单台账!$AE194=1,清单台账!$U194,""),"")</f>
        <v/>
      </c>
      <c r="V193" s="38" t="str">
        <f>IFERROR(IF(清单台账!$AE194=1,清单台账!$V194,""),"")</f>
        <v/>
      </c>
      <c r="W193" s="40" t="str">
        <f>IFERROR(IF(清单台账!$AE194=1,清单台账!$W194,""),"")</f>
        <v/>
      </c>
      <c r="X193" s="46" t="str">
        <f>IF($F193&lt;&gt;"",IFERROR(MAX($X$5:$X192),0)+1,"")</f>
        <v/>
      </c>
    </row>
    <row r="194" spans="1:24">
      <c r="A194" s="36" t="str">
        <f>IFERROR(IF(清单台账!$AE195=1,清单台账!$A195,""),"")</f>
        <v/>
      </c>
      <c r="B194" s="37" t="str">
        <f>IFERROR(IF(清单台账!$AE195=1,清单台账!$AA195,""),"")</f>
        <v/>
      </c>
      <c r="C194" s="38" t="str">
        <f>IFERROR(IF(清单台账!$AE195=1,清单台账!$AB195,""),"")</f>
        <v/>
      </c>
      <c r="D194" s="37" t="str">
        <f>IFERROR(IF(清单台账!$AE195=1,清单台账!$AC195,""),"")</f>
        <v/>
      </c>
      <c r="E194" s="37" t="str">
        <f>IFERROR(IF(清单台账!$AE195=1,清单台账!$AD195,""),"")</f>
        <v/>
      </c>
      <c r="F194" s="37" t="str">
        <f>IFERROR(IF(清单台账!$AE195=1,清单台账!$F195,""),"")</f>
        <v/>
      </c>
      <c r="G194" s="37" t="str">
        <f>IFERROR(IF(清单台账!$AE195=1,清单台账!$G195,""),"")</f>
        <v/>
      </c>
      <c r="H194" s="37" t="str">
        <f>IFERROR(IF(清单台账!$AE195=1,清单台账!$H195,""),"")</f>
        <v/>
      </c>
      <c r="I194" s="37" t="str">
        <f>IFERROR(IF(清单台账!$AE195=1,清单台账!$I195,""),"")</f>
        <v/>
      </c>
      <c r="J194" s="37" t="str">
        <f>IFERROR(IF(清单台账!$AE195=1,清单台账!$J195,""),"")</f>
        <v/>
      </c>
      <c r="K194" s="37" t="str">
        <f>IFERROR(IF(清单台账!$AE195=1,清单台账!$K195,""),"")</f>
        <v/>
      </c>
      <c r="L194" s="37" t="str">
        <f>IFERROR(IF(清单台账!$AE195=1,清单台账!$L195,""),"")</f>
        <v/>
      </c>
      <c r="M194" s="37" t="str">
        <f>IFERROR(IF(清单台账!$AE195=1,清单台账!$M195,""),"")</f>
        <v/>
      </c>
      <c r="N194" s="37" t="str">
        <f>IFERROR(IF(清单台账!$AE195=1,清单台账!$N195,""),"")</f>
        <v/>
      </c>
      <c r="O194" s="37" t="str">
        <f>IFERROR(IF(清单台账!$AE195=1,清单台账!$O195,""),"")</f>
        <v/>
      </c>
      <c r="P194" s="39" t="str">
        <f>IFERROR(IF(清单台账!$AE195=1,清单台账!$P195,""),"")</f>
        <v/>
      </c>
      <c r="Q194" s="39" t="str">
        <f>IFERROR(IF(清单台账!$AE195=1,清单台账!$Q195,""),"")</f>
        <v/>
      </c>
      <c r="R194" s="39" t="str">
        <f>IFERROR(IF(清单台账!$AE195=1,清单台账!$R195,""),"")</f>
        <v/>
      </c>
      <c r="S194" s="37" t="str">
        <f>IFERROR(IF(清单台账!$AE195=1,清单台账!$S195,""),"")</f>
        <v/>
      </c>
      <c r="T194" s="37" t="str">
        <f>IFERROR(IF(清单台账!$AE195=1,清单台账!$T195,""),"")</f>
        <v/>
      </c>
      <c r="U194" s="37" t="str">
        <f>IFERROR(IF(清单台账!$AE195=1,清单台账!$U195,""),"")</f>
        <v/>
      </c>
      <c r="V194" s="38" t="str">
        <f>IFERROR(IF(清单台账!$AE195=1,清单台账!$V195,""),"")</f>
        <v/>
      </c>
      <c r="W194" s="40" t="str">
        <f>IFERROR(IF(清单台账!$AE195=1,清单台账!$W195,""),"")</f>
        <v/>
      </c>
      <c r="X194" s="46" t="str">
        <f>IF($F194&lt;&gt;"",IFERROR(MAX($X$5:$X193),0)+1,"")</f>
        <v/>
      </c>
    </row>
    <row r="195" spans="1:24">
      <c r="A195" s="36" t="str">
        <f>IFERROR(IF(清单台账!$AE196=1,清单台账!$A196,""),"")</f>
        <v/>
      </c>
      <c r="B195" s="37" t="str">
        <f>IFERROR(IF(清单台账!$AE196=1,清单台账!$AA196,""),"")</f>
        <v/>
      </c>
      <c r="C195" s="38" t="str">
        <f>IFERROR(IF(清单台账!$AE196=1,清单台账!$AB196,""),"")</f>
        <v/>
      </c>
      <c r="D195" s="37" t="str">
        <f>IFERROR(IF(清单台账!$AE196=1,清单台账!$AC196,""),"")</f>
        <v/>
      </c>
      <c r="E195" s="37" t="str">
        <f>IFERROR(IF(清单台账!$AE196=1,清单台账!$AD196,""),"")</f>
        <v/>
      </c>
      <c r="F195" s="37" t="str">
        <f>IFERROR(IF(清单台账!$AE196=1,清单台账!$F196,""),"")</f>
        <v/>
      </c>
      <c r="G195" s="37" t="str">
        <f>IFERROR(IF(清单台账!$AE196=1,清单台账!$G196,""),"")</f>
        <v/>
      </c>
      <c r="H195" s="37" t="str">
        <f>IFERROR(IF(清单台账!$AE196=1,清单台账!$H196,""),"")</f>
        <v/>
      </c>
      <c r="I195" s="37" t="str">
        <f>IFERROR(IF(清单台账!$AE196=1,清单台账!$I196,""),"")</f>
        <v/>
      </c>
      <c r="J195" s="37" t="str">
        <f>IFERROR(IF(清单台账!$AE196=1,清单台账!$J196,""),"")</f>
        <v/>
      </c>
      <c r="K195" s="37" t="str">
        <f>IFERROR(IF(清单台账!$AE196=1,清单台账!$K196,""),"")</f>
        <v/>
      </c>
      <c r="L195" s="37" t="str">
        <f>IFERROR(IF(清单台账!$AE196=1,清单台账!$L196,""),"")</f>
        <v/>
      </c>
      <c r="M195" s="37" t="str">
        <f>IFERROR(IF(清单台账!$AE196=1,清单台账!$M196,""),"")</f>
        <v/>
      </c>
      <c r="N195" s="37" t="str">
        <f>IFERROR(IF(清单台账!$AE196=1,清单台账!$N196,""),"")</f>
        <v/>
      </c>
      <c r="O195" s="37" t="str">
        <f>IFERROR(IF(清单台账!$AE196=1,清单台账!$O196,""),"")</f>
        <v/>
      </c>
      <c r="P195" s="39" t="str">
        <f>IFERROR(IF(清单台账!$AE196=1,清单台账!$P196,""),"")</f>
        <v/>
      </c>
      <c r="Q195" s="39" t="str">
        <f>IFERROR(IF(清单台账!$AE196=1,清单台账!$Q196,""),"")</f>
        <v/>
      </c>
      <c r="R195" s="39" t="str">
        <f>IFERROR(IF(清单台账!$AE196=1,清单台账!$R196,""),"")</f>
        <v/>
      </c>
      <c r="S195" s="37" t="str">
        <f>IFERROR(IF(清单台账!$AE196=1,清单台账!$S196,""),"")</f>
        <v/>
      </c>
      <c r="T195" s="37" t="str">
        <f>IFERROR(IF(清单台账!$AE196=1,清单台账!$T196,""),"")</f>
        <v/>
      </c>
      <c r="U195" s="37" t="str">
        <f>IFERROR(IF(清单台账!$AE196=1,清单台账!$U196,""),"")</f>
        <v/>
      </c>
      <c r="V195" s="38" t="str">
        <f>IFERROR(IF(清单台账!$AE196=1,清单台账!$V196,""),"")</f>
        <v/>
      </c>
      <c r="W195" s="40" t="str">
        <f>IFERROR(IF(清单台账!$AE196=1,清单台账!$W196,""),"")</f>
        <v/>
      </c>
      <c r="X195" s="46" t="str">
        <f>IF($F195&lt;&gt;"",IFERROR(MAX($X$5:$X194),0)+1,"")</f>
        <v/>
      </c>
    </row>
    <row r="196" spans="1:24">
      <c r="A196" s="36" t="str">
        <f>IFERROR(IF(清单台账!$AE197=1,清单台账!$A197,""),"")</f>
        <v/>
      </c>
      <c r="B196" s="37" t="str">
        <f>IFERROR(IF(清单台账!$AE197=1,清单台账!$AA197,""),"")</f>
        <v/>
      </c>
      <c r="C196" s="38" t="str">
        <f>IFERROR(IF(清单台账!$AE197=1,清单台账!$AB197,""),"")</f>
        <v/>
      </c>
      <c r="D196" s="37" t="str">
        <f>IFERROR(IF(清单台账!$AE197=1,清单台账!$AC197,""),"")</f>
        <v/>
      </c>
      <c r="E196" s="37" t="str">
        <f>IFERROR(IF(清单台账!$AE197=1,清单台账!$AD197,""),"")</f>
        <v/>
      </c>
      <c r="F196" s="37" t="str">
        <f>IFERROR(IF(清单台账!$AE197=1,清单台账!$F197,""),"")</f>
        <v/>
      </c>
      <c r="G196" s="37" t="str">
        <f>IFERROR(IF(清单台账!$AE197=1,清单台账!$G197,""),"")</f>
        <v/>
      </c>
      <c r="H196" s="37" t="str">
        <f>IFERROR(IF(清单台账!$AE197=1,清单台账!$H197,""),"")</f>
        <v/>
      </c>
      <c r="I196" s="37" t="str">
        <f>IFERROR(IF(清单台账!$AE197=1,清单台账!$I197,""),"")</f>
        <v/>
      </c>
      <c r="J196" s="37" t="str">
        <f>IFERROR(IF(清单台账!$AE197=1,清单台账!$J197,""),"")</f>
        <v/>
      </c>
      <c r="K196" s="37" t="str">
        <f>IFERROR(IF(清单台账!$AE197=1,清单台账!$K197,""),"")</f>
        <v/>
      </c>
      <c r="L196" s="37" t="str">
        <f>IFERROR(IF(清单台账!$AE197=1,清单台账!$L197,""),"")</f>
        <v/>
      </c>
      <c r="M196" s="37" t="str">
        <f>IFERROR(IF(清单台账!$AE197=1,清单台账!$M197,""),"")</f>
        <v/>
      </c>
      <c r="N196" s="37" t="str">
        <f>IFERROR(IF(清单台账!$AE197=1,清单台账!$N197,""),"")</f>
        <v/>
      </c>
      <c r="O196" s="37" t="str">
        <f>IFERROR(IF(清单台账!$AE197=1,清单台账!$O197,""),"")</f>
        <v/>
      </c>
      <c r="P196" s="39" t="str">
        <f>IFERROR(IF(清单台账!$AE197=1,清单台账!$P197,""),"")</f>
        <v/>
      </c>
      <c r="Q196" s="39" t="str">
        <f>IFERROR(IF(清单台账!$AE197=1,清单台账!$Q197,""),"")</f>
        <v/>
      </c>
      <c r="R196" s="39" t="str">
        <f>IFERROR(IF(清单台账!$AE197=1,清单台账!$R197,""),"")</f>
        <v/>
      </c>
      <c r="S196" s="37" t="str">
        <f>IFERROR(IF(清单台账!$AE197=1,清单台账!$S197,""),"")</f>
        <v/>
      </c>
      <c r="T196" s="37" t="str">
        <f>IFERROR(IF(清单台账!$AE197=1,清单台账!$T197,""),"")</f>
        <v/>
      </c>
      <c r="U196" s="37" t="str">
        <f>IFERROR(IF(清单台账!$AE197=1,清单台账!$U197,""),"")</f>
        <v/>
      </c>
      <c r="V196" s="38" t="str">
        <f>IFERROR(IF(清单台账!$AE197=1,清单台账!$V197,""),"")</f>
        <v/>
      </c>
      <c r="W196" s="40" t="str">
        <f>IFERROR(IF(清单台账!$AE197=1,清单台账!$W197,""),"")</f>
        <v/>
      </c>
      <c r="X196" s="46" t="str">
        <f>IF($F196&lt;&gt;"",IFERROR(MAX($X$5:$X195),0)+1,"")</f>
        <v/>
      </c>
    </row>
    <row r="197" spans="1:24">
      <c r="A197" s="36" t="str">
        <f>IFERROR(IF(清单台账!$AE198=1,清单台账!$A198,""),"")</f>
        <v/>
      </c>
      <c r="B197" s="37" t="str">
        <f>IFERROR(IF(清单台账!$AE198=1,清单台账!$AA198,""),"")</f>
        <v/>
      </c>
      <c r="C197" s="38" t="str">
        <f>IFERROR(IF(清单台账!$AE198=1,清单台账!$AB198,""),"")</f>
        <v/>
      </c>
      <c r="D197" s="37" t="str">
        <f>IFERROR(IF(清单台账!$AE198=1,清单台账!$AC198,""),"")</f>
        <v/>
      </c>
      <c r="E197" s="37" t="str">
        <f>IFERROR(IF(清单台账!$AE198=1,清单台账!$AD198,""),"")</f>
        <v/>
      </c>
      <c r="F197" s="37" t="str">
        <f>IFERROR(IF(清单台账!$AE198=1,清单台账!$F198,""),"")</f>
        <v/>
      </c>
      <c r="G197" s="37" t="str">
        <f>IFERROR(IF(清单台账!$AE198=1,清单台账!$G198,""),"")</f>
        <v/>
      </c>
      <c r="H197" s="37" t="str">
        <f>IFERROR(IF(清单台账!$AE198=1,清单台账!$H198,""),"")</f>
        <v/>
      </c>
      <c r="I197" s="37" t="str">
        <f>IFERROR(IF(清单台账!$AE198=1,清单台账!$I198,""),"")</f>
        <v/>
      </c>
      <c r="J197" s="37" t="str">
        <f>IFERROR(IF(清单台账!$AE198=1,清单台账!$J198,""),"")</f>
        <v/>
      </c>
      <c r="K197" s="37" t="str">
        <f>IFERROR(IF(清单台账!$AE198=1,清单台账!$K198,""),"")</f>
        <v/>
      </c>
      <c r="L197" s="37" t="str">
        <f>IFERROR(IF(清单台账!$AE198=1,清单台账!$L198,""),"")</f>
        <v/>
      </c>
      <c r="M197" s="37" t="str">
        <f>IFERROR(IF(清单台账!$AE198=1,清单台账!$M198,""),"")</f>
        <v/>
      </c>
      <c r="N197" s="37" t="str">
        <f>IFERROR(IF(清单台账!$AE198=1,清单台账!$N198,""),"")</f>
        <v/>
      </c>
      <c r="O197" s="37" t="str">
        <f>IFERROR(IF(清单台账!$AE198=1,清单台账!$O198,""),"")</f>
        <v/>
      </c>
      <c r="P197" s="39" t="str">
        <f>IFERROR(IF(清单台账!$AE198=1,清单台账!$P198,""),"")</f>
        <v/>
      </c>
      <c r="Q197" s="39" t="str">
        <f>IFERROR(IF(清单台账!$AE198=1,清单台账!$Q198,""),"")</f>
        <v/>
      </c>
      <c r="R197" s="39" t="str">
        <f>IFERROR(IF(清单台账!$AE198=1,清单台账!$R198,""),"")</f>
        <v/>
      </c>
      <c r="S197" s="37" t="str">
        <f>IFERROR(IF(清单台账!$AE198=1,清单台账!$S198,""),"")</f>
        <v/>
      </c>
      <c r="T197" s="37" t="str">
        <f>IFERROR(IF(清单台账!$AE198=1,清单台账!$T198,""),"")</f>
        <v/>
      </c>
      <c r="U197" s="37" t="str">
        <f>IFERROR(IF(清单台账!$AE198=1,清单台账!$U198,""),"")</f>
        <v/>
      </c>
      <c r="V197" s="38" t="str">
        <f>IFERROR(IF(清单台账!$AE198=1,清单台账!$V198,""),"")</f>
        <v/>
      </c>
      <c r="W197" s="40" t="str">
        <f>IFERROR(IF(清单台账!$AE198=1,清单台账!$W198,""),"")</f>
        <v/>
      </c>
      <c r="X197" s="46" t="str">
        <f>IF($F197&lt;&gt;"",IFERROR(MAX($X$5:$X196),0)+1,"")</f>
        <v/>
      </c>
    </row>
    <row r="198" spans="1:24">
      <c r="A198" s="36" t="str">
        <f>IFERROR(IF(清单台账!$AE199=1,清单台账!$A199,""),"")</f>
        <v/>
      </c>
      <c r="B198" s="37" t="str">
        <f>IFERROR(IF(清单台账!$AE199=1,清单台账!$AA199,""),"")</f>
        <v/>
      </c>
      <c r="C198" s="38" t="str">
        <f>IFERROR(IF(清单台账!$AE199=1,清单台账!$AB199,""),"")</f>
        <v/>
      </c>
      <c r="D198" s="37" t="str">
        <f>IFERROR(IF(清单台账!$AE199=1,清单台账!$AC199,""),"")</f>
        <v/>
      </c>
      <c r="E198" s="37" t="str">
        <f>IFERROR(IF(清单台账!$AE199=1,清单台账!$AD199,""),"")</f>
        <v/>
      </c>
      <c r="F198" s="37" t="str">
        <f>IFERROR(IF(清单台账!$AE199=1,清单台账!$F199,""),"")</f>
        <v/>
      </c>
      <c r="G198" s="37" t="str">
        <f>IFERROR(IF(清单台账!$AE199=1,清单台账!$G199,""),"")</f>
        <v/>
      </c>
      <c r="H198" s="37" t="str">
        <f>IFERROR(IF(清单台账!$AE199=1,清单台账!$H199,""),"")</f>
        <v/>
      </c>
      <c r="I198" s="37" t="str">
        <f>IFERROR(IF(清单台账!$AE199=1,清单台账!$I199,""),"")</f>
        <v/>
      </c>
      <c r="J198" s="37" t="str">
        <f>IFERROR(IF(清单台账!$AE199=1,清单台账!$J199,""),"")</f>
        <v/>
      </c>
      <c r="K198" s="37" t="str">
        <f>IFERROR(IF(清单台账!$AE199=1,清单台账!$K199,""),"")</f>
        <v/>
      </c>
      <c r="L198" s="37" t="str">
        <f>IFERROR(IF(清单台账!$AE199=1,清单台账!$L199,""),"")</f>
        <v/>
      </c>
      <c r="M198" s="37" t="str">
        <f>IFERROR(IF(清单台账!$AE199=1,清单台账!$M199,""),"")</f>
        <v/>
      </c>
      <c r="N198" s="37" t="str">
        <f>IFERROR(IF(清单台账!$AE199=1,清单台账!$N199,""),"")</f>
        <v/>
      </c>
      <c r="O198" s="37" t="str">
        <f>IFERROR(IF(清单台账!$AE199=1,清单台账!$O199,""),"")</f>
        <v/>
      </c>
      <c r="P198" s="39" t="str">
        <f>IFERROR(IF(清单台账!$AE199=1,清单台账!$P199,""),"")</f>
        <v/>
      </c>
      <c r="Q198" s="39" t="str">
        <f>IFERROR(IF(清单台账!$AE199=1,清单台账!$Q199,""),"")</f>
        <v/>
      </c>
      <c r="R198" s="39" t="str">
        <f>IFERROR(IF(清单台账!$AE199=1,清单台账!$R199,""),"")</f>
        <v/>
      </c>
      <c r="S198" s="37" t="str">
        <f>IFERROR(IF(清单台账!$AE199=1,清单台账!$S199,""),"")</f>
        <v/>
      </c>
      <c r="T198" s="37" t="str">
        <f>IFERROR(IF(清单台账!$AE199=1,清单台账!$T199,""),"")</f>
        <v/>
      </c>
      <c r="U198" s="37" t="str">
        <f>IFERROR(IF(清单台账!$AE199=1,清单台账!$U199,""),"")</f>
        <v/>
      </c>
      <c r="V198" s="38" t="str">
        <f>IFERROR(IF(清单台账!$AE199=1,清单台账!$V199,""),"")</f>
        <v/>
      </c>
      <c r="W198" s="40" t="str">
        <f>IFERROR(IF(清单台账!$AE199=1,清单台账!$W199,""),"")</f>
        <v/>
      </c>
      <c r="X198" s="46" t="str">
        <f>IF($F198&lt;&gt;"",IFERROR(MAX($X$5:$X197),0)+1,"")</f>
        <v/>
      </c>
    </row>
    <row r="199" spans="1:24">
      <c r="A199" s="36" t="str">
        <f>IFERROR(IF(清单台账!$AE200=1,清单台账!$A200,""),"")</f>
        <v/>
      </c>
      <c r="B199" s="37" t="str">
        <f>IFERROR(IF(清单台账!$AE200=1,清单台账!$AA200,""),"")</f>
        <v/>
      </c>
      <c r="C199" s="38" t="str">
        <f>IFERROR(IF(清单台账!$AE200=1,清单台账!$AB200,""),"")</f>
        <v/>
      </c>
      <c r="D199" s="37" t="str">
        <f>IFERROR(IF(清单台账!$AE200=1,清单台账!$AC200,""),"")</f>
        <v/>
      </c>
      <c r="E199" s="37" t="str">
        <f>IFERROR(IF(清单台账!$AE200=1,清单台账!$AD200,""),"")</f>
        <v/>
      </c>
      <c r="F199" s="37" t="str">
        <f>IFERROR(IF(清单台账!$AE200=1,清单台账!$F200,""),"")</f>
        <v/>
      </c>
      <c r="G199" s="37" t="str">
        <f>IFERROR(IF(清单台账!$AE200=1,清单台账!$G200,""),"")</f>
        <v/>
      </c>
      <c r="H199" s="37" t="str">
        <f>IFERROR(IF(清单台账!$AE200=1,清单台账!$H200,""),"")</f>
        <v/>
      </c>
      <c r="I199" s="37" t="str">
        <f>IFERROR(IF(清单台账!$AE200=1,清单台账!$I200,""),"")</f>
        <v/>
      </c>
      <c r="J199" s="37" t="str">
        <f>IFERROR(IF(清单台账!$AE200=1,清单台账!$J200,""),"")</f>
        <v/>
      </c>
      <c r="K199" s="37" t="str">
        <f>IFERROR(IF(清单台账!$AE200=1,清单台账!$K200,""),"")</f>
        <v/>
      </c>
      <c r="L199" s="37" t="str">
        <f>IFERROR(IF(清单台账!$AE200=1,清单台账!$L200,""),"")</f>
        <v/>
      </c>
      <c r="M199" s="37" t="str">
        <f>IFERROR(IF(清单台账!$AE200=1,清单台账!$M200,""),"")</f>
        <v/>
      </c>
      <c r="N199" s="37" t="str">
        <f>IFERROR(IF(清单台账!$AE200=1,清单台账!$N200,""),"")</f>
        <v/>
      </c>
      <c r="O199" s="37" t="str">
        <f>IFERROR(IF(清单台账!$AE200=1,清单台账!$O200,""),"")</f>
        <v/>
      </c>
      <c r="P199" s="39" t="str">
        <f>IFERROR(IF(清单台账!$AE200=1,清单台账!$P200,""),"")</f>
        <v/>
      </c>
      <c r="Q199" s="39" t="str">
        <f>IFERROR(IF(清单台账!$AE200=1,清单台账!$Q200,""),"")</f>
        <v/>
      </c>
      <c r="R199" s="39" t="str">
        <f>IFERROR(IF(清单台账!$AE200=1,清单台账!$R200,""),"")</f>
        <v/>
      </c>
      <c r="S199" s="37" t="str">
        <f>IFERROR(IF(清单台账!$AE200=1,清单台账!$S200,""),"")</f>
        <v/>
      </c>
      <c r="T199" s="37" t="str">
        <f>IFERROR(IF(清单台账!$AE200=1,清单台账!$T200,""),"")</f>
        <v/>
      </c>
      <c r="U199" s="37" t="str">
        <f>IFERROR(IF(清单台账!$AE200=1,清单台账!$U200,""),"")</f>
        <v/>
      </c>
      <c r="V199" s="38" t="str">
        <f>IFERROR(IF(清单台账!$AE200=1,清单台账!$V200,""),"")</f>
        <v/>
      </c>
      <c r="W199" s="40" t="str">
        <f>IFERROR(IF(清单台账!$AE200=1,清单台账!$W200,""),"")</f>
        <v/>
      </c>
      <c r="X199" s="46" t="str">
        <f>IF($F199&lt;&gt;"",IFERROR(MAX($X$5:$X198),0)+1,"")</f>
        <v/>
      </c>
    </row>
    <row r="200" spans="1:24">
      <c r="A200" s="36" t="str">
        <f>IFERROR(IF(清单台账!$AE201=1,清单台账!$A201,""),"")</f>
        <v/>
      </c>
      <c r="B200" s="37" t="str">
        <f>IFERROR(IF(清单台账!$AE201=1,清单台账!$AA201,""),"")</f>
        <v/>
      </c>
      <c r="C200" s="38" t="str">
        <f>IFERROR(IF(清单台账!$AE201=1,清单台账!$AB201,""),"")</f>
        <v/>
      </c>
      <c r="D200" s="37" t="str">
        <f>IFERROR(IF(清单台账!$AE201=1,清单台账!$AC201,""),"")</f>
        <v/>
      </c>
      <c r="E200" s="37" t="str">
        <f>IFERROR(IF(清单台账!$AE201=1,清单台账!$AD201,""),"")</f>
        <v/>
      </c>
      <c r="F200" s="37" t="str">
        <f>IFERROR(IF(清单台账!$AE201=1,清单台账!$F201,""),"")</f>
        <v/>
      </c>
      <c r="G200" s="37" t="str">
        <f>IFERROR(IF(清单台账!$AE201=1,清单台账!$G201,""),"")</f>
        <v/>
      </c>
      <c r="H200" s="37" t="str">
        <f>IFERROR(IF(清单台账!$AE201=1,清单台账!$H201,""),"")</f>
        <v/>
      </c>
      <c r="I200" s="37" t="str">
        <f>IFERROR(IF(清单台账!$AE201=1,清单台账!$I201,""),"")</f>
        <v/>
      </c>
      <c r="J200" s="37" t="str">
        <f>IFERROR(IF(清单台账!$AE201=1,清单台账!$J201,""),"")</f>
        <v/>
      </c>
      <c r="K200" s="37" t="str">
        <f>IFERROR(IF(清单台账!$AE201=1,清单台账!$K201,""),"")</f>
        <v/>
      </c>
      <c r="L200" s="37" t="str">
        <f>IFERROR(IF(清单台账!$AE201=1,清单台账!$L201,""),"")</f>
        <v/>
      </c>
      <c r="M200" s="37" t="str">
        <f>IFERROR(IF(清单台账!$AE201=1,清单台账!$M201,""),"")</f>
        <v/>
      </c>
      <c r="N200" s="37" t="str">
        <f>IFERROR(IF(清单台账!$AE201=1,清单台账!$N201,""),"")</f>
        <v/>
      </c>
      <c r="O200" s="37" t="str">
        <f>IFERROR(IF(清单台账!$AE201=1,清单台账!$O201,""),"")</f>
        <v/>
      </c>
      <c r="P200" s="39" t="str">
        <f>IFERROR(IF(清单台账!$AE201=1,清单台账!$P201,""),"")</f>
        <v/>
      </c>
      <c r="Q200" s="39" t="str">
        <f>IFERROR(IF(清单台账!$AE201=1,清单台账!$Q201,""),"")</f>
        <v/>
      </c>
      <c r="R200" s="39" t="str">
        <f>IFERROR(IF(清单台账!$AE201=1,清单台账!$R201,""),"")</f>
        <v/>
      </c>
      <c r="S200" s="37" t="str">
        <f>IFERROR(IF(清单台账!$AE201=1,清单台账!$S201,""),"")</f>
        <v/>
      </c>
      <c r="T200" s="37" t="str">
        <f>IFERROR(IF(清单台账!$AE201=1,清单台账!$T201,""),"")</f>
        <v/>
      </c>
      <c r="U200" s="37" t="str">
        <f>IFERROR(IF(清单台账!$AE201=1,清单台账!$U201,""),"")</f>
        <v/>
      </c>
      <c r="V200" s="38" t="str">
        <f>IFERROR(IF(清单台账!$AE201=1,清单台账!$V201,""),"")</f>
        <v/>
      </c>
      <c r="W200" s="40" t="str">
        <f>IFERROR(IF(清单台账!$AE201=1,清单台账!$W201,""),"")</f>
        <v/>
      </c>
      <c r="X200" s="46" t="str">
        <f>IF($F200&lt;&gt;"",IFERROR(MAX($X$5:$X199),0)+1,"")</f>
        <v/>
      </c>
    </row>
    <row r="201" spans="1:24">
      <c r="A201" s="36" t="str">
        <f>IFERROR(IF(清单台账!$AE202=1,清单台账!$A202,""),"")</f>
        <v/>
      </c>
      <c r="B201" s="37" t="str">
        <f>IFERROR(IF(清单台账!$AE202=1,清单台账!$AA202,""),"")</f>
        <v/>
      </c>
      <c r="C201" s="38" t="str">
        <f>IFERROR(IF(清单台账!$AE202=1,清单台账!$AB202,""),"")</f>
        <v/>
      </c>
      <c r="D201" s="37" t="str">
        <f>IFERROR(IF(清单台账!$AE202=1,清单台账!$AC202,""),"")</f>
        <v/>
      </c>
      <c r="E201" s="37" t="str">
        <f>IFERROR(IF(清单台账!$AE202=1,清单台账!$AD202,""),"")</f>
        <v/>
      </c>
      <c r="F201" s="37" t="str">
        <f>IFERROR(IF(清单台账!$AE202=1,清单台账!$F202,""),"")</f>
        <v/>
      </c>
      <c r="G201" s="37" t="str">
        <f>IFERROR(IF(清单台账!$AE202=1,清单台账!$G202,""),"")</f>
        <v/>
      </c>
      <c r="H201" s="37" t="str">
        <f>IFERROR(IF(清单台账!$AE202=1,清单台账!$H202,""),"")</f>
        <v/>
      </c>
      <c r="I201" s="37" t="str">
        <f>IFERROR(IF(清单台账!$AE202=1,清单台账!$I202,""),"")</f>
        <v/>
      </c>
      <c r="J201" s="37" t="str">
        <f>IFERROR(IF(清单台账!$AE202=1,清单台账!$J202,""),"")</f>
        <v/>
      </c>
      <c r="K201" s="37" t="str">
        <f>IFERROR(IF(清单台账!$AE202=1,清单台账!$K202,""),"")</f>
        <v/>
      </c>
      <c r="L201" s="37" t="str">
        <f>IFERROR(IF(清单台账!$AE202=1,清单台账!$L202,""),"")</f>
        <v/>
      </c>
      <c r="M201" s="37" t="str">
        <f>IFERROR(IF(清单台账!$AE202=1,清单台账!$M202,""),"")</f>
        <v/>
      </c>
      <c r="N201" s="37" t="str">
        <f>IFERROR(IF(清单台账!$AE202=1,清单台账!$N202,""),"")</f>
        <v/>
      </c>
      <c r="O201" s="37" t="str">
        <f>IFERROR(IF(清单台账!$AE202=1,清单台账!$O202,""),"")</f>
        <v/>
      </c>
      <c r="P201" s="39" t="str">
        <f>IFERROR(IF(清单台账!$AE202=1,清单台账!$P202,""),"")</f>
        <v/>
      </c>
      <c r="Q201" s="39" t="str">
        <f>IFERROR(IF(清单台账!$AE202=1,清单台账!$Q202,""),"")</f>
        <v/>
      </c>
      <c r="R201" s="39" t="str">
        <f>IFERROR(IF(清单台账!$AE202=1,清单台账!$R202,""),"")</f>
        <v/>
      </c>
      <c r="S201" s="37" t="str">
        <f>IFERROR(IF(清单台账!$AE202=1,清单台账!$S202,""),"")</f>
        <v/>
      </c>
      <c r="T201" s="37" t="str">
        <f>IFERROR(IF(清单台账!$AE202=1,清单台账!$T202,""),"")</f>
        <v/>
      </c>
      <c r="U201" s="37" t="str">
        <f>IFERROR(IF(清单台账!$AE202=1,清单台账!$U202,""),"")</f>
        <v/>
      </c>
      <c r="V201" s="38" t="str">
        <f>IFERROR(IF(清单台账!$AE202=1,清单台账!$V202,""),"")</f>
        <v/>
      </c>
      <c r="W201" s="40" t="str">
        <f>IFERROR(IF(清单台账!$AE202=1,清单台账!$W202,""),"")</f>
        <v/>
      </c>
      <c r="X201" s="46" t="str">
        <f>IF($F201&lt;&gt;"",IFERROR(MAX($X$5:$X200),0)+1,"")</f>
        <v/>
      </c>
    </row>
    <row r="202" spans="1:24">
      <c r="A202" s="36" t="str">
        <f>IFERROR(IF(清单台账!$AE203=1,清单台账!$A203,""),"")</f>
        <v/>
      </c>
      <c r="B202" s="37" t="str">
        <f>IFERROR(IF(清单台账!$AE203=1,清单台账!$AA203,""),"")</f>
        <v/>
      </c>
      <c r="C202" s="38" t="str">
        <f>IFERROR(IF(清单台账!$AE203=1,清单台账!$AB203,""),"")</f>
        <v/>
      </c>
      <c r="D202" s="37" t="str">
        <f>IFERROR(IF(清单台账!$AE203=1,清单台账!$AC203,""),"")</f>
        <v/>
      </c>
      <c r="E202" s="37" t="str">
        <f>IFERROR(IF(清单台账!$AE203=1,清单台账!$AD203,""),"")</f>
        <v/>
      </c>
      <c r="F202" s="37" t="str">
        <f>IFERROR(IF(清单台账!$AE203=1,清单台账!$F203,""),"")</f>
        <v/>
      </c>
      <c r="G202" s="37" t="str">
        <f>IFERROR(IF(清单台账!$AE203=1,清单台账!$G203,""),"")</f>
        <v/>
      </c>
      <c r="H202" s="37" t="str">
        <f>IFERROR(IF(清单台账!$AE203=1,清单台账!$H203,""),"")</f>
        <v/>
      </c>
      <c r="I202" s="37" t="str">
        <f>IFERROR(IF(清单台账!$AE203=1,清单台账!$I203,""),"")</f>
        <v/>
      </c>
      <c r="J202" s="37" t="str">
        <f>IFERROR(IF(清单台账!$AE203=1,清单台账!$J203,""),"")</f>
        <v/>
      </c>
      <c r="K202" s="37" t="str">
        <f>IFERROR(IF(清单台账!$AE203=1,清单台账!$K203,""),"")</f>
        <v/>
      </c>
      <c r="L202" s="37" t="str">
        <f>IFERROR(IF(清单台账!$AE203=1,清单台账!$L203,""),"")</f>
        <v/>
      </c>
      <c r="M202" s="37" t="str">
        <f>IFERROR(IF(清单台账!$AE203=1,清单台账!$M203,""),"")</f>
        <v/>
      </c>
      <c r="N202" s="37" t="str">
        <f>IFERROR(IF(清单台账!$AE203=1,清单台账!$N203,""),"")</f>
        <v/>
      </c>
      <c r="O202" s="37" t="str">
        <f>IFERROR(IF(清单台账!$AE203=1,清单台账!$O203,""),"")</f>
        <v/>
      </c>
      <c r="P202" s="39" t="str">
        <f>IFERROR(IF(清单台账!$AE203=1,清单台账!$P203,""),"")</f>
        <v/>
      </c>
      <c r="Q202" s="39" t="str">
        <f>IFERROR(IF(清单台账!$AE203=1,清单台账!$Q203,""),"")</f>
        <v/>
      </c>
      <c r="R202" s="39" t="str">
        <f>IFERROR(IF(清单台账!$AE203=1,清单台账!$R203,""),"")</f>
        <v/>
      </c>
      <c r="S202" s="37" t="str">
        <f>IFERROR(IF(清单台账!$AE203=1,清单台账!$S203,""),"")</f>
        <v/>
      </c>
      <c r="T202" s="37" t="str">
        <f>IFERROR(IF(清单台账!$AE203=1,清单台账!$T203,""),"")</f>
        <v/>
      </c>
      <c r="U202" s="37" t="str">
        <f>IFERROR(IF(清单台账!$AE203=1,清单台账!$U203,""),"")</f>
        <v/>
      </c>
      <c r="V202" s="38" t="str">
        <f>IFERROR(IF(清单台账!$AE203=1,清单台账!$V203,""),"")</f>
        <v/>
      </c>
      <c r="W202" s="40" t="str">
        <f>IFERROR(IF(清单台账!$AE203=1,清单台账!$W203,""),"")</f>
        <v/>
      </c>
      <c r="X202" s="46" t="str">
        <f>IF($F202&lt;&gt;"",IFERROR(MAX($X$5:$X201),0)+1,"")</f>
        <v/>
      </c>
    </row>
    <row r="203" spans="1:24">
      <c r="A203" s="36" t="str">
        <f>IFERROR(IF(清单台账!$AE204=1,清单台账!$A204,""),"")</f>
        <v/>
      </c>
      <c r="B203" s="37" t="str">
        <f>IFERROR(IF(清单台账!$AE204=1,清单台账!$AA204,""),"")</f>
        <v/>
      </c>
      <c r="C203" s="38" t="str">
        <f>IFERROR(IF(清单台账!$AE204=1,清单台账!$AB204,""),"")</f>
        <v/>
      </c>
      <c r="D203" s="37" t="str">
        <f>IFERROR(IF(清单台账!$AE204=1,清单台账!$AC204,""),"")</f>
        <v/>
      </c>
      <c r="E203" s="37" t="str">
        <f>IFERROR(IF(清单台账!$AE204=1,清单台账!$AD204,""),"")</f>
        <v/>
      </c>
      <c r="F203" s="37" t="str">
        <f>IFERROR(IF(清单台账!$AE204=1,清单台账!$F204,""),"")</f>
        <v/>
      </c>
      <c r="G203" s="37" t="str">
        <f>IFERROR(IF(清单台账!$AE204=1,清单台账!$G204,""),"")</f>
        <v/>
      </c>
      <c r="H203" s="37" t="str">
        <f>IFERROR(IF(清单台账!$AE204=1,清单台账!$H204,""),"")</f>
        <v/>
      </c>
      <c r="I203" s="37" t="str">
        <f>IFERROR(IF(清单台账!$AE204=1,清单台账!$I204,""),"")</f>
        <v/>
      </c>
      <c r="J203" s="37" t="str">
        <f>IFERROR(IF(清单台账!$AE204=1,清单台账!$J204,""),"")</f>
        <v/>
      </c>
      <c r="K203" s="37" t="str">
        <f>IFERROR(IF(清单台账!$AE204=1,清单台账!$K204,""),"")</f>
        <v/>
      </c>
      <c r="L203" s="37" t="str">
        <f>IFERROR(IF(清单台账!$AE204=1,清单台账!$L204,""),"")</f>
        <v/>
      </c>
      <c r="M203" s="37" t="str">
        <f>IFERROR(IF(清单台账!$AE204=1,清单台账!$M204,""),"")</f>
        <v/>
      </c>
      <c r="N203" s="37" t="str">
        <f>IFERROR(IF(清单台账!$AE204=1,清单台账!$N204,""),"")</f>
        <v/>
      </c>
      <c r="O203" s="37" t="str">
        <f>IFERROR(IF(清单台账!$AE204=1,清单台账!$O204,""),"")</f>
        <v/>
      </c>
      <c r="P203" s="39" t="str">
        <f>IFERROR(IF(清单台账!$AE204=1,清单台账!$P204,""),"")</f>
        <v/>
      </c>
      <c r="Q203" s="39" t="str">
        <f>IFERROR(IF(清单台账!$AE204=1,清单台账!$Q204,""),"")</f>
        <v/>
      </c>
      <c r="R203" s="39" t="str">
        <f>IFERROR(IF(清单台账!$AE204=1,清单台账!$R204,""),"")</f>
        <v/>
      </c>
      <c r="S203" s="37" t="str">
        <f>IFERROR(IF(清单台账!$AE204=1,清单台账!$S204,""),"")</f>
        <v/>
      </c>
      <c r="T203" s="37" t="str">
        <f>IFERROR(IF(清单台账!$AE204=1,清单台账!$T204,""),"")</f>
        <v/>
      </c>
      <c r="U203" s="37" t="str">
        <f>IFERROR(IF(清单台账!$AE204=1,清单台账!$U204,""),"")</f>
        <v/>
      </c>
      <c r="V203" s="38" t="str">
        <f>IFERROR(IF(清单台账!$AE204=1,清单台账!$V204,""),"")</f>
        <v/>
      </c>
      <c r="W203" s="40" t="str">
        <f>IFERROR(IF(清单台账!$AE204=1,清单台账!$W204,""),"")</f>
        <v/>
      </c>
      <c r="X203" s="46" t="str">
        <f>IF($F203&lt;&gt;"",IFERROR(MAX($X$5:$X202),0)+1,"")</f>
        <v/>
      </c>
    </row>
    <row r="204" spans="1:24">
      <c r="A204" s="41" t="str">
        <f>IFERROR(IF(清单台账!$AE205=1,清单台账!$A205,""),"")</f>
        <v/>
      </c>
      <c r="B204" s="42" t="str">
        <f>IFERROR(IF(清单台账!$AE205=1,清单台账!$AA205,""),"")</f>
        <v/>
      </c>
      <c r="C204" s="43" t="str">
        <f>IFERROR(IF(清单台账!$AE205=1,清单台账!$AB205,""),"")</f>
        <v/>
      </c>
      <c r="D204" s="42" t="str">
        <f>IFERROR(IF(清单台账!$AE205=1,清单台账!$AC205,""),"")</f>
        <v/>
      </c>
      <c r="E204" s="42" t="str">
        <f>IFERROR(IF(清单台账!$AE205=1,清单台账!$AD205,""),"")</f>
        <v/>
      </c>
      <c r="F204" s="42" t="str">
        <f>IFERROR(IF(清单台账!$AE205=1,清单台账!$F205,""),"")</f>
        <v/>
      </c>
      <c r="G204" s="42" t="str">
        <f>IFERROR(IF(清单台账!$AE205=1,清单台账!$G205,""),"")</f>
        <v/>
      </c>
      <c r="H204" s="42" t="str">
        <f>IFERROR(IF(清单台账!$AE205=1,清单台账!$H205,""),"")</f>
        <v/>
      </c>
      <c r="I204" s="42" t="str">
        <f>IFERROR(IF(清单台账!$AE205=1,清单台账!$I205,""),"")</f>
        <v/>
      </c>
      <c r="J204" s="42" t="str">
        <f>IFERROR(IF(清单台账!$AE205=1,清单台账!$J205,""),"")</f>
        <v/>
      </c>
      <c r="K204" s="42" t="str">
        <f>IFERROR(IF(清单台账!$AE205=1,清单台账!$K205,""),"")</f>
        <v/>
      </c>
      <c r="L204" s="42" t="str">
        <f>IFERROR(IF(清单台账!$AE205=1,清单台账!$L205,""),"")</f>
        <v/>
      </c>
      <c r="M204" s="42" t="str">
        <f>IFERROR(IF(清单台账!$AE205=1,清单台账!$M205,""),"")</f>
        <v/>
      </c>
      <c r="N204" s="42" t="str">
        <f>IFERROR(IF(清单台账!$AE205=1,清单台账!$N205,""),"")</f>
        <v/>
      </c>
      <c r="O204" s="42" t="str">
        <f>IFERROR(IF(清单台账!$AE205=1,清单台账!$O205,""),"")</f>
        <v/>
      </c>
      <c r="P204" s="44" t="str">
        <f>IFERROR(IF(清单台账!$AE205=1,清单台账!$P205,""),"")</f>
        <v/>
      </c>
      <c r="Q204" s="44" t="str">
        <f>IFERROR(IF(清单台账!$AE205=1,清单台账!$Q205,""),"")</f>
        <v/>
      </c>
      <c r="R204" s="44" t="str">
        <f>IFERROR(IF(清单台账!$AE205=1,清单台账!$R205,""),"")</f>
        <v/>
      </c>
      <c r="S204" s="42" t="str">
        <f>IFERROR(IF(清单台账!$AE205=1,清单台账!$S205,""),"")</f>
        <v/>
      </c>
      <c r="T204" s="42" t="str">
        <f>IFERROR(IF(清单台账!$AE205=1,清单台账!$T205,""),"")</f>
        <v/>
      </c>
      <c r="U204" s="42" t="str">
        <f>IFERROR(IF(清单台账!$AE205=1,清单台账!$U205,""),"")</f>
        <v/>
      </c>
      <c r="V204" s="43" t="str">
        <f>IFERROR(IF(清单台账!$AE205=1,清单台账!$V205,""),"")</f>
        <v/>
      </c>
      <c r="W204" s="45" t="str">
        <f>IFERROR(IF(清单台账!$AE205=1,清单台账!$W205,""),"")</f>
        <v/>
      </c>
      <c r="X204" s="46" t="str">
        <f>IF($F204&lt;&gt;"",IFERROR(MAX($X$5:$X203),0)+1,"")</f>
        <v/>
      </c>
    </row>
  </sheetData>
  <mergeCells count="2">
    <mergeCell ref="A2:W2"/>
    <mergeCell ref="A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4"/>
  <cols>
    <col min="1" max="1" width="19.5" customWidth="1"/>
    <col min="2" max="2" width="42.4140625" customWidth="1"/>
    <col min="3" max="3" width="45.08203125" customWidth="1"/>
    <col min="4" max="4" width="39.6640625" customWidth="1"/>
  </cols>
  <sheetData>
    <row r="1" spans="1:4" ht="20" customHeight="1">
      <c r="A1" s="64" t="s">
        <v>129</v>
      </c>
      <c r="B1" s="62"/>
      <c r="C1" s="62"/>
      <c r="D1" s="62"/>
    </row>
    <row r="3" spans="1:4">
      <c r="A3" s="2" t="s">
        <v>130</v>
      </c>
      <c r="B3" s="2" t="s">
        <v>131</v>
      </c>
      <c r="C3" s="2" t="s">
        <v>132</v>
      </c>
      <c r="D3" s="2" t="s">
        <v>133</v>
      </c>
    </row>
    <row r="4" spans="1:4" ht="28" customHeight="1">
      <c r="A4" s="29" t="s">
        <v>134</v>
      </c>
      <c r="B4" s="29" t="s">
        <v>135</v>
      </c>
      <c r="C4" s="29" t="s">
        <v>136</v>
      </c>
      <c r="D4" s="29" t="s">
        <v>137</v>
      </c>
    </row>
    <row r="5" spans="1:4" ht="28" customHeight="1">
      <c r="A5" s="29" t="s">
        <v>138</v>
      </c>
      <c r="B5" s="29" t="s">
        <v>139</v>
      </c>
      <c r="C5" s="29" t="s">
        <v>140</v>
      </c>
      <c r="D5" s="29" t="s">
        <v>141</v>
      </c>
    </row>
    <row r="6" spans="1:4" ht="28" customHeight="1">
      <c r="A6" s="29" t="s">
        <v>142</v>
      </c>
      <c r="B6" s="29" t="s">
        <v>143</v>
      </c>
      <c r="C6" s="29" t="s">
        <v>144</v>
      </c>
      <c r="D6" s="29" t="s">
        <v>145</v>
      </c>
    </row>
    <row r="7" spans="1:4" ht="28" customHeight="1">
      <c r="A7" s="29" t="s">
        <v>146</v>
      </c>
      <c r="B7" s="29" t="s">
        <v>147</v>
      </c>
      <c r="C7" s="29" t="s">
        <v>148</v>
      </c>
      <c r="D7" s="29" t="s">
        <v>149</v>
      </c>
    </row>
    <row r="8" spans="1:4" ht="28" customHeight="1">
      <c r="A8" s="29" t="s">
        <v>150</v>
      </c>
      <c r="B8" s="29" t="s">
        <v>151</v>
      </c>
      <c r="C8" s="29" t="s">
        <v>152</v>
      </c>
      <c r="D8" s="29" t="s">
        <v>153</v>
      </c>
    </row>
    <row r="9" spans="1:4">
      <c r="A9" s="29" t="s">
        <v>154</v>
      </c>
      <c r="B9" s="29" t="s">
        <v>155</v>
      </c>
      <c r="C9" s="29" t="s">
        <v>152</v>
      </c>
      <c r="D9" s="29" t="s">
        <v>156</v>
      </c>
    </row>
    <row r="10" spans="1:4">
      <c r="A10" s="29" t="s">
        <v>157</v>
      </c>
      <c r="B10" s="29" t="s">
        <v>158</v>
      </c>
      <c r="C10" s="29" t="s">
        <v>159</v>
      </c>
      <c r="D10" s="29" t="s">
        <v>160</v>
      </c>
    </row>
    <row r="11" spans="1:4">
      <c r="A11" s="29" t="s">
        <v>161</v>
      </c>
      <c r="B11" s="29" t="s">
        <v>162</v>
      </c>
      <c r="C11" s="29" t="s">
        <v>163</v>
      </c>
      <c r="D11" s="29" t="s">
        <v>164</v>
      </c>
    </row>
    <row r="12" spans="1:4" ht="28" customHeight="1">
      <c r="A12" s="29" t="s">
        <v>165</v>
      </c>
      <c r="B12" s="29" t="s">
        <v>166</v>
      </c>
      <c r="C12" s="29" t="s">
        <v>167</v>
      </c>
      <c r="D12" s="29" t="s">
        <v>168</v>
      </c>
    </row>
    <row r="13" spans="1:4">
      <c r="A13" s="29" t="s">
        <v>169</v>
      </c>
      <c r="B13" s="29" t="s">
        <v>170</v>
      </c>
      <c r="C13" s="29" t="s">
        <v>171</v>
      </c>
      <c r="D13" s="29" t="s">
        <v>172</v>
      </c>
    </row>
    <row r="14" spans="1:4" ht="28" customHeight="1">
      <c r="A14" s="29" t="s">
        <v>173</v>
      </c>
      <c r="B14" s="29" t="s">
        <v>174</v>
      </c>
      <c r="C14" s="29" t="s">
        <v>175</v>
      </c>
      <c r="D14" s="29" t="s">
        <v>176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0"/>
  <sheetViews>
    <sheetView showGridLines="0" workbookViewId="0"/>
  </sheetViews>
  <sheetFormatPr defaultRowHeight="14"/>
  <cols>
    <col min="1" max="7" width="16.83203125" customWidth="1"/>
  </cols>
  <sheetData>
    <row r="1" spans="1:7">
      <c r="A1" s="1" t="s">
        <v>8</v>
      </c>
      <c r="B1" s="1" t="s">
        <v>10</v>
      </c>
      <c r="C1" s="1" t="s">
        <v>21</v>
      </c>
      <c r="D1" s="1" t="s">
        <v>177</v>
      </c>
      <c r="E1" s="1" t="s">
        <v>25</v>
      </c>
      <c r="F1" s="1" t="s">
        <v>178</v>
      </c>
      <c r="G1" s="1" t="s">
        <v>179</v>
      </c>
    </row>
    <row r="2" spans="1:7">
      <c r="A2" t="s">
        <v>37</v>
      </c>
      <c r="B2" t="s">
        <v>39</v>
      </c>
      <c r="C2" t="s">
        <v>44</v>
      </c>
      <c r="E2" t="s">
        <v>46</v>
      </c>
      <c r="F2" t="s">
        <v>68</v>
      </c>
      <c r="G2" t="s">
        <v>180</v>
      </c>
    </row>
    <row r="3" spans="1:7">
      <c r="A3" t="s">
        <v>55</v>
      </c>
      <c r="B3" t="s">
        <v>70</v>
      </c>
      <c r="C3" t="s">
        <v>60</v>
      </c>
      <c r="E3" t="s">
        <v>113</v>
      </c>
      <c r="F3" t="s">
        <v>50</v>
      </c>
      <c r="G3" t="s">
        <v>181</v>
      </c>
    </row>
    <row r="4" spans="1:7">
      <c r="A4" t="s">
        <v>38</v>
      </c>
      <c r="B4" t="s">
        <v>182</v>
      </c>
      <c r="C4" t="s">
        <v>183</v>
      </c>
      <c r="E4" t="s">
        <v>184</v>
      </c>
      <c r="F4" t="s">
        <v>185</v>
      </c>
      <c r="G4" t="s">
        <v>186</v>
      </c>
    </row>
    <row r="5" spans="1:7">
      <c r="B5" t="s">
        <v>84</v>
      </c>
      <c r="C5" t="s">
        <v>187</v>
      </c>
      <c r="E5" t="s">
        <v>79</v>
      </c>
      <c r="F5" t="s">
        <v>74</v>
      </c>
      <c r="G5" t="s">
        <v>188</v>
      </c>
    </row>
    <row r="6" spans="1:7">
      <c r="C6" t="s">
        <v>189</v>
      </c>
      <c r="F6" t="s">
        <v>190</v>
      </c>
      <c r="G6" t="s">
        <v>191</v>
      </c>
    </row>
    <row r="7" spans="1:7">
      <c r="C7" t="s">
        <v>192</v>
      </c>
      <c r="F7" t="s">
        <v>61</v>
      </c>
      <c r="G7" t="s">
        <v>193</v>
      </c>
    </row>
    <row r="8" spans="1:7">
      <c r="F8" t="s">
        <v>194</v>
      </c>
      <c r="G8" t="s">
        <v>195</v>
      </c>
    </row>
    <row r="9" spans="1:7">
      <c r="F9" t="s">
        <v>196</v>
      </c>
      <c r="G9" t="s">
        <v>197</v>
      </c>
    </row>
    <row r="10" spans="1:7">
      <c r="G10" t="s">
        <v>198</v>
      </c>
    </row>
    <row r="11" spans="1:7">
      <c r="G11" t="s">
        <v>199</v>
      </c>
    </row>
    <row r="12" spans="1:7">
      <c r="G12" t="s">
        <v>200</v>
      </c>
    </row>
    <row r="13" spans="1:7">
      <c r="G13" t="s">
        <v>201</v>
      </c>
    </row>
    <row r="14" spans="1:7">
      <c r="G14" t="s">
        <v>202</v>
      </c>
    </row>
    <row r="15" spans="1:7">
      <c r="G15" t="s">
        <v>203</v>
      </c>
    </row>
    <row r="16" spans="1:7">
      <c r="G16" t="s">
        <v>204</v>
      </c>
    </row>
    <row r="17" spans="7:7">
      <c r="G17" t="s">
        <v>205</v>
      </c>
    </row>
    <row r="18" spans="7:7">
      <c r="G18" t="s">
        <v>206</v>
      </c>
    </row>
    <row r="19" spans="7:7">
      <c r="G19" t="s">
        <v>207</v>
      </c>
    </row>
    <row r="20" spans="7:7">
      <c r="G20" t="s">
        <v>208</v>
      </c>
    </row>
    <row r="21" spans="7:7">
      <c r="G21" t="s">
        <v>209</v>
      </c>
    </row>
    <row r="22" spans="7:7">
      <c r="G22" t="s">
        <v>210</v>
      </c>
    </row>
    <row r="23" spans="7:7">
      <c r="G23" t="s">
        <v>211</v>
      </c>
    </row>
    <row r="24" spans="7:7">
      <c r="G24" t="s">
        <v>212</v>
      </c>
    </row>
    <row r="25" spans="7:7">
      <c r="G25" t="s">
        <v>213</v>
      </c>
    </row>
    <row r="26" spans="7:7">
      <c r="G26" t="s">
        <v>214</v>
      </c>
    </row>
    <row r="27" spans="7:7">
      <c r="G27" t="s">
        <v>215</v>
      </c>
    </row>
    <row r="28" spans="7:7">
      <c r="G28" t="s">
        <v>216</v>
      </c>
    </row>
    <row r="29" spans="7:7">
      <c r="G29" t="s">
        <v>217</v>
      </c>
    </row>
    <row r="30" spans="7:7">
      <c r="G30" t="s">
        <v>218</v>
      </c>
    </row>
    <row r="31" spans="7:7">
      <c r="G31" t="s">
        <v>219</v>
      </c>
    </row>
    <row r="32" spans="7:7">
      <c r="G32" t="s">
        <v>220</v>
      </c>
    </row>
    <row r="33" spans="7:7">
      <c r="G33" t="s">
        <v>221</v>
      </c>
    </row>
    <row r="34" spans="7:7">
      <c r="G34" t="s">
        <v>222</v>
      </c>
    </row>
    <row r="35" spans="7:7">
      <c r="G35" t="s">
        <v>223</v>
      </c>
    </row>
    <row r="36" spans="7:7">
      <c r="G36" t="s">
        <v>224</v>
      </c>
    </row>
    <row r="37" spans="7:7">
      <c r="G37" t="s">
        <v>225</v>
      </c>
    </row>
    <row r="38" spans="7:7">
      <c r="G38" t="s">
        <v>226</v>
      </c>
    </row>
    <row r="39" spans="7:7">
      <c r="G39" t="s">
        <v>227</v>
      </c>
    </row>
    <row r="40" spans="7:7">
      <c r="G40" t="s">
        <v>228</v>
      </c>
    </row>
    <row r="41" spans="7:7">
      <c r="G41" t="s">
        <v>229</v>
      </c>
    </row>
    <row r="42" spans="7:7">
      <c r="G42" t="s">
        <v>230</v>
      </c>
    </row>
    <row r="43" spans="7:7">
      <c r="G43" t="s">
        <v>231</v>
      </c>
    </row>
    <row r="44" spans="7:7">
      <c r="G44" t="s">
        <v>232</v>
      </c>
    </row>
    <row r="45" spans="7:7">
      <c r="G45" t="s">
        <v>233</v>
      </c>
    </row>
    <row r="46" spans="7:7">
      <c r="G46" t="s">
        <v>234</v>
      </c>
    </row>
    <row r="47" spans="7:7">
      <c r="G47" t="s">
        <v>235</v>
      </c>
    </row>
    <row r="48" spans="7:7">
      <c r="G48" t="s">
        <v>236</v>
      </c>
    </row>
    <row r="49" spans="7:7">
      <c r="G49" t="s">
        <v>237</v>
      </c>
    </row>
    <row r="50" spans="7:7">
      <c r="G50" t="s">
        <v>238</v>
      </c>
    </row>
    <row r="51" spans="7:7">
      <c r="G51" t="s">
        <v>239</v>
      </c>
    </row>
    <row r="52" spans="7:7">
      <c r="G52" t="s">
        <v>240</v>
      </c>
    </row>
    <row r="53" spans="7:7">
      <c r="G53" t="s">
        <v>241</v>
      </c>
    </row>
    <row r="54" spans="7:7">
      <c r="G54" t="s">
        <v>242</v>
      </c>
    </row>
    <row r="55" spans="7:7">
      <c r="G55" t="s">
        <v>243</v>
      </c>
    </row>
    <row r="56" spans="7:7">
      <c r="G56" t="s">
        <v>244</v>
      </c>
    </row>
    <row r="57" spans="7:7">
      <c r="G57" t="s">
        <v>245</v>
      </c>
    </row>
    <row r="58" spans="7:7">
      <c r="G58" t="s">
        <v>246</v>
      </c>
    </row>
    <row r="59" spans="7:7">
      <c r="G59" t="s">
        <v>247</v>
      </c>
    </row>
    <row r="60" spans="7:7">
      <c r="G60" t="s">
        <v>248</v>
      </c>
    </row>
    <row r="61" spans="7:7">
      <c r="G61" t="s">
        <v>249</v>
      </c>
    </row>
    <row r="62" spans="7:7">
      <c r="G62" t="s">
        <v>250</v>
      </c>
    </row>
    <row r="63" spans="7:7">
      <c r="G63" t="s">
        <v>251</v>
      </c>
    </row>
    <row r="64" spans="7:7">
      <c r="G64" t="s">
        <v>252</v>
      </c>
    </row>
    <row r="65" spans="7:7">
      <c r="G65" t="s">
        <v>253</v>
      </c>
    </row>
    <row r="66" spans="7:7">
      <c r="G66" t="s">
        <v>254</v>
      </c>
    </row>
    <row r="67" spans="7:7">
      <c r="G67" t="s">
        <v>255</v>
      </c>
    </row>
    <row r="68" spans="7:7">
      <c r="G68" t="s">
        <v>256</v>
      </c>
    </row>
    <row r="69" spans="7:7">
      <c r="G69" t="s">
        <v>257</v>
      </c>
    </row>
    <row r="70" spans="7:7">
      <c r="G70" t="s">
        <v>258</v>
      </c>
    </row>
    <row r="71" spans="7:7">
      <c r="G71" t="s">
        <v>259</v>
      </c>
    </row>
    <row r="72" spans="7:7">
      <c r="G72" t="s">
        <v>260</v>
      </c>
    </row>
    <row r="73" spans="7:7">
      <c r="G73" t="s">
        <v>261</v>
      </c>
    </row>
    <row r="74" spans="7:7">
      <c r="G74" t="s">
        <v>262</v>
      </c>
    </row>
    <row r="75" spans="7:7">
      <c r="G75" t="s">
        <v>263</v>
      </c>
    </row>
    <row r="76" spans="7:7">
      <c r="G76" t="s">
        <v>264</v>
      </c>
    </row>
    <row r="77" spans="7:7">
      <c r="G77" t="s">
        <v>265</v>
      </c>
    </row>
    <row r="78" spans="7:7">
      <c r="G78" t="s">
        <v>266</v>
      </c>
    </row>
    <row r="79" spans="7:7">
      <c r="G79" t="s">
        <v>267</v>
      </c>
    </row>
    <row r="80" spans="7:7">
      <c r="G80" t="s">
        <v>268</v>
      </c>
    </row>
    <row r="81" spans="7:7">
      <c r="G81" t="s">
        <v>269</v>
      </c>
    </row>
    <row r="82" spans="7:7">
      <c r="G82" t="s">
        <v>270</v>
      </c>
    </row>
    <row r="83" spans="7:7">
      <c r="G83" t="s">
        <v>271</v>
      </c>
    </row>
    <row r="84" spans="7:7">
      <c r="G84" t="s">
        <v>272</v>
      </c>
    </row>
    <row r="85" spans="7:7">
      <c r="G85" t="s">
        <v>273</v>
      </c>
    </row>
    <row r="86" spans="7:7">
      <c r="G86" t="s">
        <v>274</v>
      </c>
    </row>
    <row r="87" spans="7:7">
      <c r="G87" t="s">
        <v>275</v>
      </c>
    </row>
    <row r="88" spans="7:7">
      <c r="G88" t="s">
        <v>276</v>
      </c>
    </row>
    <row r="89" spans="7:7">
      <c r="G89" t="s">
        <v>277</v>
      </c>
    </row>
    <row r="90" spans="7:7">
      <c r="G90" t="s">
        <v>278</v>
      </c>
    </row>
    <row r="91" spans="7:7">
      <c r="G91" t="s">
        <v>279</v>
      </c>
    </row>
    <row r="92" spans="7:7">
      <c r="G92" t="s">
        <v>280</v>
      </c>
    </row>
    <row r="93" spans="7:7">
      <c r="G93" t="s">
        <v>281</v>
      </c>
    </row>
    <row r="94" spans="7:7">
      <c r="G94" t="s">
        <v>282</v>
      </c>
    </row>
    <row r="95" spans="7:7">
      <c r="G95" t="s">
        <v>283</v>
      </c>
    </row>
    <row r="96" spans="7:7">
      <c r="G96" t="s">
        <v>284</v>
      </c>
    </row>
    <row r="97" spans="7:7">
      <c r="G97" t="s">
        <v>285</v>
      </c>
    </row>
    <row r="98" spans="7:7">
      <c r="G98" t="s">
        <v>286</v>
      </c>
    </row>
    <row r="99" spans="7:7">
      <c r="G99" t="s">
        <v>287</v>
      </c>
    </row>
    <row r="100" spans="7:7">
      <c r="G100" t="s">
        <v>288</v>
      </c>
    </row>
    <row r="101" spans="7:7">
      <c r="G101" t="s">
        <v>289</v>
      </c>
    </row>
    <row r="102" spans="7:7">
      <c r="G102" t="s">
        <v>290</v>
      </c>
    </row>
    <row r="103" spans="7:7">
      <c r="G103" t="s">
        <v>291</v>
      </c>
    </row>
    <row r="104" spans="7:7">
      <c r="G104" t="s">
        <v>292</v>
      </c>
    </row>
    <row r="105" spans="7:7">
      <c r="G105" t="s">
        <v>293</v>
      </c>
    </row>
    <row r="106" spans="7:7">
      <c r="G106" t="s">
        <v>294</v>
      </c>
    </row>
    <row r="107" spans="7:7">
      <c r="G107" t="s">
        <v>295</v>
      </c>
    </row>
    <row r="108" spans="7:7">
      <c r="G108" t="s">
        <v>296</v>
      </c>
    </row>
    <row r="109" spans="7:7">
      <c r="G109" t="s">
        <v>297</v>
      </c>
    </row>
    <row r="110" spans="7:7">
      <c r="G110" t="s">
        <v>298</v>
      </c>
    </row>
    <row r="111" spans="7:7">
      <c r="G111" t="s">
        <v>299</v>
      </c>
    </row>
    <row r="112" spans="7:7">
      <c r="G112" t="s">
        <v>300</v>
      </c>
    </row>
    <row r="113" spans="7:7">
      <c r="G113" t="s">
        <v>301</v>
      </c>
    </row>
    <row r="114" spans="7:7">
      <c r="G114" t="s">
        <v>302</v>
      </c>
    </row>
    <row r="115" spans="7:7">
      <c r="G115" t="s">
        <v>303</v>
      </c>
    </row>
    <row r="116" spans="7:7">
      <c r="G116" t="s">
        <v>304</v>
      </c>
    </row>
    <row r="117" spans="7:7">
      <c r="G117" t="s">
        <v>305</v>
      </c>
    </row>
    <row r="118" spans="7:7">
      <c r="G118" t="s">
        <v>306</v>
      </c>
    </row>
    <row r="119" spans="7:7">
      <c r="G119" t="s">
        <v>307</v>
      </c>
    </row>
    <row r="120" spans="7:7">
      <c r="G120" t="s">
        <v>308</v>
      </c>
    </row>
    <row r="121" spans="7:7">
      <c r="G121" t="s">
        <v>309</v>
      </c>
    </row>
    <row r="122" spans="7:7">
      <c r="G122" t="s">
        <v>310</v>
      </c>
    </row>
    <row r="123" spans="7:7">
      <c r="G123" t="s">
        <v>311</v>
      </c>
    </row>
    <row r="124" spans="7:7">
      <c r="G124" t="s">
        <v>312</v>
      </c>
    </row>
    <row r="125" spans="7:7">
      <c r="G125" t="s">
        <v>313</v>
      </c>
    </row>
    <row r="126" spans="7:7">
      <c r="G126" t="s">
        <v>314</v>
      </c>
    </row>
    <row r="127" spans="7:7">
      <c r="G127" t="s">
        <v>315</v>
      </c>
    </row>
    <row r="128" spans="7:7">
      <c r="G128" t="s">
        <v>316</v>
      </c>
    </row>
    <row r="129" spans="7:7">
      <c r="G129" t="s">
        <v>317</v>
      </c>
    </row>
    <row r="130" spans="7:7">
      <c r="G130" t="s">
        <v>318</v>
      </c>
    </row>
    <row r="131" spans="7:7">
      <c r="G131" t="s">
        <v>319</v>
      </c>
    </row>
    <row r="132" spans="7:7">
      <c r="G132" t="s">
        <v>320</v>
      </c>
    </row>
    <row r="133" spans="7:7">
      <c r="G133" t="s">
        <v>321</v>
      </c>
    </row>
    <row r="134" spans="7:7">
      <c r="G134" t="s">
        <v>322</v>
      </c>
    </row>
    <row r="135" spans="7:7">
      <c r="G135" t="s">
        <v>323</v>
      </c>
    </row>
    <row r="136" spans="7:7">
      <c r="G136" t="s">
        <v>324</v>
      </c>
    </row>
    <row r="137" spans="7:7">
      <c r="G137" t="s">
        <v>325</v>
      </c>
    </row>
    <row r="138" spans="7:7">
      <c r="G138" t="s">
        <v>326</v>
      </c>
    </row>
    <row r="139" spans="7:7">
      <c r="G139" t="s">
        <v>327</v>
      </c>
    </row>
    <row r="140" spans="7:7">
      <c r="G140" t="s">
        <v>328</v>
      </c>
    </row>
    <row r="141" spans="7:7">
      <c r="G141" t="s">
        <v>329</v>
      </c>
    </row>
    <row r="142" spans="7:7">
      <c r="G142" t="s">
        <v>330</v>
      </c>
    </row>
    <row r="143" spans="7:7">
      <c r="G143" t="s">
        <v>331</v>
      </c>
    </row>
    <row r="144" spans="7:7">
      <c r="G144" t="s">
        <v>332</v>
      </c>
    </row>
    <row r="145" spans="7:7">
      <c r="G145" t="s">
        <v>333</v>
      </c>
    </row>
    <row r="146" spans="7:7">
      <c r="G146" t="s">
        <v>334</v>
      </c>
    </row>
    <row r="147" spans="7:7">
      <c r="G147" t="s">
        <v>335</v>
      </c>
    </row>
    <row r="148" spans="7:7">
      <c r="G148" t="s">
        <v>336</v>
      </c>
    </row>
    <row r="149" spans="7:7">
      <c r="G149" t="s">
        <v>337</v>
      </c>
    </row>
    <row r="150" spans="7:7">
      <c r="G150" t="s">
        <v>338</v>
      </c>
    </row>
    <row r="151" spans="7:7">
      <c r="G151" t="s">
        <v>339</v>
      </c>
    </row>
    <row r="152" spans="7:7">
      <c r="G152" t="s">
        <v>340</v>
      </c>
    </row>
    <row r="153" spans="7:7">
      <c r="G153" t="s">
        <v>341</v>
      </c>
    </row>
    <row r="154" spans="7:7">
      <c r="G154" t="s">
        <v>342</v>
      </c>
    </row>
    <row r="155" spans="7:7">
      <c r="G155" t="s">
        <v>343</v>
      </c>
    </row>
    <row r="156" spans="7:7">
      <c r="G156" t="s">
        <v>344</v>
      </c>
    </row>
    <row r="157" spans="7:7">
      <c r="G157" t="s">
        <v>345</v>
      </c>
    </row>
    <row r="158" spans="7:7">
      <c r="G158" t="s">
        <v>346</v>
      </c>
    </row>
    <row r="159" spans="7:7">
      <c r="G159" t="s">
        <v>347</v>
      </c>
    </row>
    <row r="160" spans="7:7">
      <c r="G160" t="s">
        <v>348</v>
      </c>
    </row>
    <row r="161" spans="7:7">
      <c r="G161" t="s">
        <v>349</v>
      </c>
    </row>
    <row r="162" spans="7:7">
      <c r="G162" t="s">
        <v>350</v>
      </c>
    </row>
    <row r="163" spans="7:7">
      <c r="G163" t="s">
        <v>351</v>
      </c>
    </row>
    <row r="164" spans="7:7">
      <c r="G164" t="s">
        <v>352</v>
      </c>
    </row>
    <row r="165" spans="7:7">
      <c r="G165" t="s">
        <v>353</v>
      </c>
    </row>
    <row r="166" spans="7:7">
      <c r="G166" t="s">
        <v>354</v>
      </c>
    </row>
    <row r="167" spans="7:7">
      <c r="G167" t="s">
        <v>355</v>
      </c>
    </row>
    <row r="168" spans="7:7">
      <c r="G168" t="s">
        <v>356</v>
      </c>
    </row>
    <row r="169" spans="7:7">
      <c r="G169" t="s">
        <v>357</v>
      </c>
    </row>
    <row r="170" spans="7:7">
      <c r="G170" t="s">
        <v>358</v>
      </c>
    </row>
    <row r="171" spans="7:7">
      <c r="G171" t="s">
        <v>359</v>
      </c>
    </row>
    <row r="172" spans="7:7">
      <c r="G172" t="s">
        <v>360</v>
      </c>
    </row>
    <row r="173" spans="7:7">
      <c r="G173" t="s">
        <v>361</v>
      </c>
    </row>
    <row r="174" spans="7:7">
      <c r="G174" t="s">
        <v>362</v>
      </c>
    </row>
    <row r="175" spans="7:7">
      <c r="G175" t="s">
        <v>363</v>
      </c>
    </row>
    <row r="176" spans="7:7">
      <c r="G176" t="s">
        <v>364</v>
      </c>
    </row>
    <row r="177" spans="7:7">
      <c r="G177" t="s">
        <v>365</v>
      </c>
    </row>
    <row r="178" spans="7:7">
      <c r="G178" t="s">
        <v>366</v>
      </c>
    </row>
    <row r="179" spans="7:7">
      <c r="G179" t="s">
        <v>367</v>
      </c>
    </row>
    <row r="180" spans="7:7">
      <c r="G180" t="s">
        <v>368</v>
      </c>
    </row>
    <row r="181" spans="7:7">
      <c r="G181" t="s">
        <v>369</v>
      </c>
    </row>
    <row r="182" spans="7:7">
      <c r="G182" t="s">
        <v>370</v>
      </c>
    </row>
    <row r="183" spans="7:7">
      <c r="G183" t="s">
        <v>371</v>
      </c>
    </row>
    <row r="184" spans="7:7">
      <c r="G184" t="s">
        <v>372</v>
      </c>
    </row>
    <row r="185" spans="7:7">
      <c r="G185" t="s">
        <v>373</v>
      </c>
    </row>
    <row r="186" spans="7:7">
      <c r="G186" t="s">
        <v>374</v>
      </c>
    </row>
    <row r="187" spans="7:7">
      <c r="G187" t="s">
        <v>375</v>
      </c>
    </row>
    <row r="188" spans="7:7">
      <c r="G188" t="s">
        <v>376</v>
      </c>
    </row>
    <row r="189" spans="7:7">
      <c r="G189" t="s">
        <v>377</v>
      </c>
    </row>
    <row r="190" spans="7:7">
      <c r="G190" t="s">
        <v>378</v>
      </c>
    </row>
    <row r="191" spans="7:7">
      <c r="G191" t="s">
        <v>379</v>
      </c>
    </row>
    <row r="192" spans="7:7">
      <c r="G192" t="s">
        <v>380</v>
      </c>
    </row>
    <row r="193" spans="7:7">
      <c r="G193" t="s">
        <v>381</v>
      </c>
    </row>
    <row r="194" spans="7:7">
      <c r="G194" t="s">
        <v>382</v>
      </c>
    </row>
    <row r="195" spans="7:7">
      <c r="G195" t="s">
        <v>383</v>
      </c>
    </row>
    <row r="196" spans="7:7">
      <c r="G196" t="s">
        <v>384</v>
      </c>
    </row>
    <row r="197" spans="7:7">
      <c r="G197" t="s">
        <v>385</v>
      </c>
    </row>
    <row r="198" spans="7:7">
      <c r="G198" t="s">
        <v>386</v>
      </c>
    </row>
    <row r="199" spans="7:7">
      <c r="G199" t="s">
        <v>387</v>
      </c>
    </row>
    <row r="200" spans="7:7">
      <c r="G200" t="s">
        <v>388</v>
      </c>
    </row>
    <row r="201" spans="7:7">
      <c r="G201" t="s">
        <v>389</v>
      </c>
    </row>
    <row r="202" spans="7:7">
      <c r="G202" t="s">
        <v>390</v>
      </c>
    </row>
    <row r="203" spans="7:7">
      <c r="G203" t="s">
        <v>391</v>
      </c>
    </row>
    <row r="204" spans="7:7">
      <c r="G204" t="s">
        <v>392</v>
      </c>
    </row>
    <row r="205" spans="7:7">
      <c r="G205" t="s">
        <v>393</v>
      </c>
    </row>
    <row r="206" spans="7:7">
      <c r="G206" t="s">
        <v>394</v>
      </c>
    </row>
    <row r="207" spans="7:7">
      <c r="G207" t="s">
        <v>395</v>
      </c>
    </row>
    <row r="208" spans="7:7">
      <c r="G208" t="s">
        <v>396</v>
      </c>
    </row>
    <row r="209" spans="7:7">
      <c r="G209" t="s">
        <v>397</v>
      </c>
    </row>
    <row r="210" spans="7:7">
      <c r="G210" t="s">
        <v>398</v>
      </c>
    </row>
    <row r="211" spans="7:7">
      <c r="G211" t="s">
        <v>399</v>
      </c>
    </row>
    <row r="212" spans="7:7">
      <c r="G212" t="s">
        <v>400</v>
      </c>
    </row>
    <row r="213" spans="7:7">
      <c r="G213" t="s">
        <v>401</v>
      </c>
    </row>
    <row r="214" spans="7:7">
      <c r="G214" t="s">
        <v>402</v>
      </c>
    </row>
    <row r="215" spans="7:7">
      <c r="G215" t="s">
        <v>403</v>
      </c>
    </row>
    <row r="216" spans="7:7">
      <c r="G216" t="s">
        <v>404</v>
      </c>
    </row>
    <row r="217" spans="7:7">
      <c r="G217" t="s">
        <v>405</v>
      </c>
    </row>
    <row r="218" spans="7:7">
      <c r="G218" t="s">
        <v>406</v>
      </c>
    </row>
    <row r="219" spans="7:7">
      <c r="G219" t="s">
        <v>407</v>
      </c>
    </row>
    <row r="220" spans="7:7">
      <c r="G220" t="s">
        <v>408</v>
      </c>
    </row>
    <row r="221" spans="7:7">
      <c r="G221" t="s">
        <v>409</v>
      </c>
    </row>
    <row r="222" spans="7:7">
      <c r="G222" t="s">
        <v>410</v>
      </c>
    </row>
    <row r="223" spans="7:7">
      <c r="G223" t="s">
        <v>411</v>
      </c>
    </row>
    <row r="224" spans="7:7">
      <c r="G224" t="s">
        <v>412</v>
      </c>
    </row>
    <row r="225" spans="7:7">
      <c r="G225" t="s">
        <v>413</v>
      </c>
    </row>
    <row r="226" spans="7:7">
      <c r="G226" t="s">
        <v>414</v>
      </c>
    </row>
    <row r="227" spans="7:7">
      <c r="G227" t="s">
        <v>415</v>
      </c>
    </row>
    <row r="228" spans="7:7">
      <c r="G228" t="s">
        <v>416</v>
      </c>
    </row>
    <row r="229" spans="7:7">
      <c r="G229" t="s">
        <v>417</v>
      </c>
    </row>
    <row r="230" spans="7:7">
      <c r="G230" t="s">
        <v>418</v>
      </c>
    </row>
    <row r="231" spans="7:7">
      <c r="G231" t="s">
        <v>419</v>
      </c>
    </row>
    <row r="232" spans="7:7">
      <c r="G232" t="s">
        <v>420</v>
      </c>
    </row>
    <row r="233" spans="7:7">
      <c r="G233" t="s">
        <v>421</v>
      </c>
    </row>
    <row r="234" spans="7:7">
      <c r="G234" t="s">
        <v>422</v>
      </c>
    </row>
    <row r="235" spans="7:7">
      <c r="G235" t="s">
        <v>423</v>
      </c>
    </row>
    <row r="236" spans="7:7">
      <c r="G236" t="s">
        <v>424</v>
      </c>
    </row>
    <row r="237" spans="7:7">
      <c r="G237" t="s">
        <v>425</v>
      </c>
    </row>
    <row r="238" spans="7:7">
      <c r="G238" t="s">
        <v>426</v>
      </c>
    </row>
    <row r="239" spans="7:7">
      <c r="G239" t="s">
        <v>427</v>
      </c>
    </row>
    <row r="240" spans="7:7">
      <c r="G240" t="s">
        <v>428</v>
      </c>
    </row>
    <row r="241" spans="7:7">
      <c r="G241" t="s">
        <v>429</v>
      </c>
    </row>
    <row r="242" spans="7:7">
      <c r="G242" t="s">
        <v>430</v>
      </c>
    </row>
    <row r="243" spans="7:7">
      <c r="G243" t="s">
        <v>431</v>
      </c>
    </row>
    <row r="244" spans="7:7">
      <c r="G244" t="s">
        <v>432</v>
      </c>
    </row>
    <row r="245" spans="7:7">
      <c r="G245" t="s">
        <v>433</v>
      </c>
    </row>
    <row r="246" spans="7:7">
      <c r="G246" t="s">
        <v>434</v>
      </c>
    </row>
    <row r="247" spans="7:7">
      <c r="G247" t="s">
        <v>435</v>
      </c>
    </row>
    <row r="248" spans="7:7">
      <c r="G248" t="s">
        <v>436</v>
      </c>
    </row>
    <row r="249" spans="7:7">
      <c r="G249" t="s">
        <v>437</v>
      </c>
    </row>
    <row r="250" spans="7:7">
      <c r="G250" t="s">
        <v>438</v>
      </c>
    </row>
    <row r="251" spans="7:7">
      <c r="G251" t="s">
        <v>439</v>
      </c>
    </row>
    <row r="252" spans="7:7">
      <c r="G252" t="s">
        <v>440</v>
      </c>
    </row>
    <row r="253" spans="7:7">
      <c r="G253" t="s">
        <v>441</v>
      </c>
    </row>
    <row r="254" spans="7:7">
      <c r="G254" t="s">
        <v>442</v>
      </c>
    </row>
    <row r="255" spans="7:7">
      <c r="G255" t="s">
        <v>443</v>
      </c>
    </row>
    <row r="256" spans="7:7">
      <c r="G256" t="s">
        <v>444</v>
      </c>
    </row>
    <row r="257" spans="7:7">
      <c r="G257" t="s">
        <v>445</v>
      </c>
    </row>
    <row r="258" spans="7:7">
      <c r="G258" t="s">
        <v>446</v>
      </c>
    </row>
    <row r="259" spans="7:7">
      <c r="G259" t="s">
        <v>447</v>
      </c>
    </row>
    <row r="260" spans="7:7">
      <c r="G260" t="s">
        <v>448</v>
      </c>
    </row>
    <row r="261" spans="7:7">
      <c r="G261" t="s">
        <v>449</v>
      </c>
    </row>
    <row r="262" spans="7:7">
      <c r="G262" t="s">
        <v>450</v>
      </c>
    </row>
    <row r="263" spans="7:7">
      <c r="G263" t="s">
        <v>451</v>
      </c>
    </row>
    <row r="264" spans="7:7">
      <c r="G264" t="s">
        <v>452</v>
      </c>
    </row>
    <row r="265" spans="7:7">
      <c r="G265" t="s">
        <v>453</v>
      </c>
    </row>
    <row r="266" spans="7:7">
      <c r="G266" t="s">
        <v>454</v>
      </c>
    </row>
    <row r="267" spans="7:7">
      <c r="G267" t="s">
        <v>455</v>
      </c>
    </row>
    <row r="268" spans="7:7">
      <c r="G268" t="s">
        <v>456</v>
      </c>
    </row>
    <row r="269" spans="7:7">
      <c r="G269" t="s">
        <v>457</v>
      </c>
    </row>
    <row r="270" spans="7:7">
      <c r="G270" t="s">
        <v>458</v>
      </c>
    </row>
    <row r="271" spans="7:7">
      <c r="G271" t="s">
        <v>459</v>
      </c>
    </row>
    <row r="272" spans="7:7">
      <c r="G272" t="s">
        <v>460</v>
      </c>
    </row>
    <row r="273" spans="7:7">
      <c r="G273" t="s">
        <v>461</v>
      </c>
    </row>
    <row r="274" spans="7:7">
      <c r="G274" t="s">
        <v>462</v>
      </c>
    </row>
    <row r="275" spans="7:7">
      <c r="G275" t="s">
        <v>463</v>
      </c>
    </row>
    <row r="276" spans="7:7">
      <c r="G276" t="s">
        <v>464</v>
      </c>
    </row>
    <row r="277" spans="7:7">
      <c r="G277" t="s">
        <v>465</v>
      </c>
    </row>
    <row r="278" spans="7:7">
      <c r="G278" t="s">
        <v>466</v>
      </c>
    </row>
    <row r="279" spans="7:7">
      <c r="G279" t="s">
        <v>467</v>
      </c>
    </row>
    <row r="280" spans="7:7">
      <c r="G280" t="s">
        <v>468</v>
      </c>
    </row>
    <row r="281" spans="7:7">
      <c r="G281" t="s">
        <v>469</v>
      </c>
    </row>
    <row r="282" spans="7:7">
      <c r="G282" t="s">
        <v>470</v>
      </c>
    </row>
    <row r="283" spans="7:7">
      <c r="G283" t="s">
        <v>471</v>
      </c>
    </row>
    <row r="284" spans="7:7">
      <c r="G284" t="s">
        <v>472</v>
      </c>
    </row>
    <row r="285" spans="7:7">
      <c r="G285" t="s">
        <v>473</v>
      </c>
    </row>
    <row r="286" spans="7:7">
      <c r="G286" t="s">
        <v>474</v>
      </c>
    </row>
    <row r="287" spans="7:7">
      <c r="G287" t="s">
        <v>475</v>
      </c>
    </row>
    <row r="288" spans="7:7">
      <c r="G288" t="s">
        <v>476</v>
      </c>
    </row>
    <row r="289" spans="7:7">
      <c r="G289" t="s">
        <v>477</v>
      </c>
    </row>
    <row r="290" spans="7:7">
      <c r="G290" t="s">
        <v>478</v>
      </c>
    </row>
    <row r="291" spans="7:7">
      <c r="G291" t="s">
        <v>479</v>
      </c>
    </row>
    <row r="292" spans="7:7">
      <c r="G292" t="s">
        <v>480</v>
      </c>
    </row>
    <row r="293" spans="7:7">
      <c r="G293" t="s">
        <v>481</v>
      </c>
    </row>
    <row r="294" spans="7:7">
      <c r="G294" t="s">
        <v>482</v>
      </c>
    </row>
    <row r="295" spans="7:7">
      <c r="G295" t="s">
        <v>483</v>
      </c>
    </row>
    <row r="296" spans="7:7">
      <c r="G296" t="s">
        <v>484</v>
      </c>
    </row>
    <row r="297" spans="7:7">
      <c r="G297" t="s">
        <v>485</v>
      </c>
    </row>
    <row r="298" spans="7:7">
      <c r="G298" t="s">
        <v>486</v>
      </c>
    </row>
    <row r="299" spans="7:7">
      <c r="G299" t="s">
        <v>487</v>
      </c>
    </row>
    <row r="300" spans="7:7">
      <c r="G300" t="s">
        <v>488</v>
      </c>
    </row>
    <row r="301" spans="7:7">
      <c r="G301" t="s">
        <v>489</v>
      </c>
    </row>
    <row r="302" spans="7:7">
      <c r="G302" t="s">
        <v>490</v>
      </c>
    </row>
    <row r="303" spans="7:7">
      <c r="G303" t="s">
        <v>491</v>
      </c>
    </row>
    <row r="304" spans="7:7">
      <c r="G304" t="s">
        <v>492</v>
      </c>
    </row>
    <row r="305" spans="7:7">
      <c r="G305" t="s">
        <v>493</v>
      </c>
    </row>
    <row r="306" spans="7:7">
      <c r="G306" t="s">
        <v>494</v>
      </c>
    </row>
    <row r="307" spans="7:7">
      <c r="G307" t="s">
        <v>495</v>
      </c>
    </row>
    <row r="308" spans="7:7">
      <c r="G308" t="s">
        <v>496</v>
      </c>
    </row>
    <row r="309" spans="7:7">
      <c r="G309" t="s">
        <v>497</v>
      </c>
    </row>
    <row r="310" spans="7:7">
      <c r="G310" t="s">
        <v>498</v>
      </c>
    </row>
    <row r="311" spans="7:7">
      <c r="G311" t="s">
        <v>499</v>
      </c>
    </row>
    <row r="312" spans="7:7">
      <c r="G312" t="s">
        <v>500</v>
      </c>
    </row>
    <row r="313" spans="7:7">
      <c r="G313" t="s">
        <v>501</v>
      </c>
    </row>
    <row r="314" spans="7:7">
      <c r="G314" t="s">
        <v>502</v>
      </c>
    </row>
    <row r="315" spans="7:7">
      <c r="G315" t="s">
        <v>503</v>
      </c>
    </row>
    <row r="316" spans="7:7">
      <c r="G316" t="s">
        <v>504</v>
      </c>
    </row>
    <row r="317" spans="7:7">
      <c r="G317" t="s">
        <v>505</v>
      </c>
    </row>
    <row r="318" spans="7:7">
      <c r="G318" t="s">
        <v>506</v>
      </c>
    </row>
    <row r="319" spans="7:7">
      <c r="G319" t="s">
        <v>507</v>
      </c>
    </row>
    <row r="320" spans="7:7">
      <c r="G320" t="s">
        <v>508</v>
      </c>
    </row>
    <row r="321" spans="7:7">
      <c r="G321" t="s">
        <v>509</v>
      </c>
    </row>
    <row r="322" spans="7:7">
      <c r="G322" t="s">
        <v>510</v>
      </c>
    </row>
    <row r="323" spans="7:7">
      <c r="G323" t="s">
        <v>511</v>
      </c>
    </row>
    <row r="324" spans="7:7">
      <c r="G324" t="s">
        <v>512</v>
      </c>
    </row>
    <row r="325" spans="7:7">
      <c r="G325" t="s">
        <v>513</v>
      </c>
    </row>
    <row r="326" spans="7:7">
      <c r="G326" t="s">
        <v>514</v>
      </c>
    </row>
    <row r="327" spans="7:7">
      <c r="G327" t="s">
        <v>515</v>
      </c>
    </row>
    <row r="328" spans="7:7">
      <c r="G328" t="s">
        <v>516</v>
      </c>
    </row>
    <row r="329" spans="7:7">
      <c r="G329" t="s">
        <v>517</v>
      </c>
    </row>
    <row r="330" spans="7:7">
      <c r="G330" t="s">
        <v>518</v>
      </c>
    </row>
    <row r="331" spans="7:7">
      <c r="G331" t="s">
        <v>519</v>
      </c>
    </row>
    <row r="332" spans="7:7">
      <c r="G332" t="s">
        <v>520</v>
      </c>
    </row>
    <row r="333" spans="7:7">
      <c r="G333" t="s">
        <v>521</v>
      </c>
    </row>
    <row r="334" spans="7:7">
      <c r="G334" t="s">
        <v>522</v>
      </c>
    </row>
    <row r="335" spans="7:7">
      <c r="G335" t="s">
        <v>523</v>
      </c>
    </row>
    <row r="336" spans="7:7">
      <c r="G336" t="s">
        <v>524</v>
      </c>
    </row>
    <row r="337" spans="7:7">
      <c r="G337" t="s">
        <v>525</v>
      </c>
    </row>
    <row r="338" spans="7:7">
      <c r="G338" t="s">
        <v>526</v>
      </c>
    </row>
    <row r="339" spans="7:7">
      <c r="G339" t="s">
        <v>527</v>
      </c>
    </row>
    <row r="340" spans="7:7">
      <c r="G340" t="s">
        <v>528</v>
      </c>
    </row>
    <row r="341" spans="7:7">
      <c r="G341" t="s">
        <v>529</v>
      </c>
    </row>
    <row r="342" spans="7:7">
      <c r="G342" t="s">
        <v>530</v>
      </c>
    </row>
    <row r="343" spans="7:7">
      <c r="G343" t="s">
        <v>531</v>
      </c>
    </row>
    <row r="344" spans="7:7">
      <c r="G344" t="s">
        <v>532</v>
      </c>
    </row>
    <row r="345" spans="7:7">
      <c r="G345" t="s">
        <v>533</v>
      </c>
    </row>
    <row r="346" spans="7:7">
      <c r="G346" t="s">
        <v>534</v>
      </c>
    </row>
    <row r="347" spans="7:7">
      <c r="G347" t="s">
        <v>535</v>
      </c>
    </row>
    <row r="348" spans="7:7">
      <c r="G348" t="s">
        <v>536</v>
      </c>
    </row>
    <row r="349" spans="7:7">
      <c r="G349" t="s">
        <v>537</v>
      </c>
    </row>
    <row r="350" spans="7:7">
      <c r="G350" t="s">
        <v>538</v>
      </c>
    </row>
    <row r="351" spans="7:7">
      <c r="G351" t="s">
        <v>539</v>
      </c>
    </row>
    <row r="352" spans="7:7">
      <c r="G352" t="s">
        <v>540</v>
      </c>
    </row>
    <row r="353" spans="7:7">
      <c r="G353" t="s">
        <v>541</v>
      </c>
    </row>
    <row r="354" spans="7:7">
      <c r="G354" t="s">
        <v>542</v>
      </c>
    </row>
    <row r="355" spans="7:7">
      <c r="G355" t="s">
        <v>543</v>
      </c>
    </row>
    <row r="356" spans="7:7">
      <c r="G356" t="s">
        <v>544</v>
      </c>
    </row>
    <row r="357" spans="7:7">
      <c r="G357" t="s">
        <v>545</v>
      </c>
    </row>
    <row r="358" spans="7:7">
      <c r="G358" t="s">
        <v>546</v>
      </c>
    </row>
    <row r="359" spans="7:7">
      <c r="G359" t="s">
        <v>547</v>
      </c>
    </row>
    <row r="360" spans="7:7">
      <c r="G360" t="s">
        <v>548</v>
      </c>
    </row>
    <row r="361" spans="7:7">
      <c r="G361" t="s">
        <v>549</v>
      </c>
    </row>
    <row r="362" spans="7:7">
      <c r="G362" t="s">
        <v>550</v>
      </c>
    </row>
    <row r="363" spans="7:7">
      <c r="G363" t="s">
        <v>551</v>
      </c>
    </row>
    <row r="364" spans="7:7">
      <c r="G364" t="s">
        <v>552</v>
      </c>
    </row>
    <row r="365" spans="7:7">
      <c r="G365" t="s">
        <v>553</v>
      </c>
    </row>
    <row r="366" spans="7:7">
      <c r="G366" t="s">
        <v>554</v>
      </c>
    </row>
    <row r="367" spans="7:7">
      <c r="G367" t="s">
        <v>555</v>
      </c>
    </row>
    <row r="368" spans="7:7">
      <c r="G368" t="s">
        <v>556</v>
      </c>
    </row>
    <row r="369" spans="7:7">
      <c r="G369" t="s">
        <v>557</v>
      </c>
    </row>
    <row r="370" spans="7:7">
      <c r="G370" t="s">
        <v>558</v>
      </c>
    </row>
    <row r="371" spans="7:7">
      <c r="G371" t="s">
        <v>559</v>
      </c>
    </row>
    <row r="372" spans="7:7">
      <c r="G372" t="s">
        <v>560</v>
      </c>
    </row>
    <row r="373" spans="7:7">
      <c r="G373" t="s">
        <v>561</v>
      </c>
    </row>
    <row r="374" spans="7:7">
      <c r="G374" t="s">
        <v>562</v>
      </c>
    </row>
    <row r="375" spans="7:7">
      <c r="G375" t="s">
        <v>563</v>
      </c>
    </row>
    <row r="376" spans="7:7">
      <c r="G376" t="s">
        <v>564</v>
      </c>
    </row>
    <row r="377" spans="7:7">
      <c r="G377" t="s">
        <v>565</v>
      </c>
    </row>
    <row r="378" spans="7:7">
      <c r="G378" t="s">
        <v>566</v>
      </c>
    </row>
    <row r="379" spans="7:7">
      <c r="G379" t="s">
        <v>567</v>
      </c>
    </row>
    <row r="380" spans="7:7">
      <c r="G380" t="s">
        <v>568</v>
      </c>
    </row>
    <row r="381" spans="7:7">
      <c r="G381" t="s">
        <v>569</v>
      </c>
    </row>
    <row r="382" spans="7:7">
      <c r="G382" t="s">
        <v>570</v>
      </c>
    </row>
    <row r="383" spans="7:7">
      <c r="G383" t="s">
        <v>571</v>
      </c>
    </row>
    <row r="384" spans="7:7">
      <c r="G384" t="s">
        <v>572</v>
      </c>
    </row>
    <row r="385" spans="7:7">
      <c r="G385" t="s">
        <v>573</v>
      </c>
    </row>
    <row r="386" spans="7:7">
      <c r="G386" t="s">
        <v>574</v>
      </c>
    </row>
    <row r="387" spans="7:7">
      <c r="G387" t="s">
        <v>575</v>
      </c>
    </row>
    <row r="388" spans="7:7">
      <c r="G388" t="s">
        <v>576</v>
      </c>
    </row>
    <row r="389" spans="7:7">
      <c r="G389" t="s">
        <v>577</v>
      </c>
    </row>
    <row r="390" spans="7:7">
      <c r="G390" t="s">
        <v>578</v>
      </c>
    </row>
    <row r="391" spans="7:7">
      <c r="G391" t="s">
        <v>579</v>
      </c>
    </row>
    <row r="392" spans="7:7">
      <c r="G392" t="s">
        <v>580</v>
      </c>
    </row>
    <row r="393" spans="7:7">
      <c r="G393" t="s">
        <v>581</v>
      </c>
    </row>
    <row r="394" spans="7:7">
      <c r="G394" t="s">
        <v>582</v>
      </c>
    </row>
    <row r="395" spans="7:7">
      <c r="G395" t="s">
        <v>583</v>
      </c>
    </row>
    <row r="396" spans="7:7">
      <c r="G396" t="s">
        <v>584</v>
      </c>
    </row>
    <row r="397" spans="7:7">
      <c r="G397" t="s">
        <v>585</v>
      </c>
    </row>
    <row r="398" spans="7:7">
      <c r="G398" t="s">
        <v>586</v>
      </c>
    </row>
    <row r="399" spans="7:7">
      <c r="G399" t="s">
        <v>587</v>
      </c>
    </row>
    <row r="400" spans="7:7">
      <c r="G400" t="s">
        <v>588</v>
      </c>
    </row>
    <row r="401" spans="7:7">
      <c r="G401" t="s">
        <v>589</v>
      </c>
    </row>
    <row r="402" spans="7:7">
      <c r="G402" t="s">
        <v>590</v>
      </c>
    </row>
    <row r="403" spans="7:7">
      <c r="G403" t="s">
        <v>591</v>
      </c>
    </row>
    <row r="404" spans="7:7">
      <c r="G404" t="s">
        <v>592</v>
      </c>
    </row>
    <row r="405" spans="7:7">
      <c r="G405" t="s">
        <v>593</v>
      </c>
    </row>
    <row r="406" spans="7:7">
      <c r="G406" t="s">
        <v>594</v>
      </c>
    </row>
    <row r="407" spans="7:7">
      <c r="G407" t="s">
        <v>595</v>
      </c>
    </row>
    <row r="408" spans="7:7">
      <c r="G408" t="s">
        <v>596</v>
      </c>
    </row>
    <row r="409" spans="7:7">
      <c r="G409" t="s">
        <v>597</v>
      </c>
    </row>
    <row r="410" spans="7:7">
      <c r="G410" t="s">
        <v>598</v>
      </c>
    </row>
    <row r="411" spans="7:7">
      <c r="G411" t="s">
        <v>599</v>
      </c>
    </row>
    <row r="412" spans="7:7">
      <c r="G412" t="s">
        <v>600</v>
      </c>
    </row>
    <row r="413" spans="7:7">
      <c r="G413" t="s">
        <v>601</v>
      </c>
    </row>
    <row r="414" spans="7:7">
      <c r="G414" t="s">
        <v>602</v>
      </c>
    </row>
    <row r="415" spans="7:7">
      <c r="G415" t="s">
        <v>603</v>
      </c>
    </row>
    <row r="416" spans="7:7">
      <c r="G416" t="s">
        <v>604</v>
      </c>
    </row>
    <row r="417" spans="7:7">
      <c r="G417" t="s">
        <v>605</v>
      </c>
    </row>
    <row r="418" spans="7:7">
      <c r="G418" t="s">
        <v>606</v>
      </c>
    </row>
    <row r="419" spans="7:7">
      <c r="G419" t="s">
        <v>607</v>
      </c>
    </row>
    <row r="420" spans="7:7">
      <c r="G420" t="s">
        <v>608</v>
      </c>
    </row>
    <row r="421" spans="7:7">
      <c r="G421" t="s">
        <v>609</v>
      </c>
    </row>
    <row r="422" spans="7:7">
      <c r="G422" t="s">
        <v>610</v>
      </c>
    </row>
    <row r="423" spans="7:7">
      <c r="G423" t="s">
        <v>611</v>
      </c>
    </row>
    <row r="424" spans="7:7">
      <c r="G424" t="s">
        <v>612</v>
      </c>
    </row>
    <row r="425" spans="7:7">
      <c r="G425" t="s">
        <v>613</v>
      </c>
    </row>
    <row r="426" spans="7:7">
      <c r="G426" t="s">
        <v>614</v>
      </c>
    </row>
    <row r="427" spans="7:7">
      <c r="G427" t="s">
        <v>615</v>
      </c>
    </row>
    <row r="428" spans="7:7">
      <c r="G428" t="s">
        <v>616</v>
      </c>
    </row>
    <row r="429" spans="7:7">
      <c r="G429" t="s">
        <v>617</v>
      </c>
    </row>
    <row r="430" spans="7:7">
      <c r="G430" t="s">
        <v>618</v>
      </c>
    </row>
    <row r="431" spans="7:7">
      <c r="G431" t="s">
        <v>619</v>
      </c>
    </row>
    <row r="432" spans="7:7">
      <c r="G432" t="s">
        <v>620</v>
      </c>
    </row>
    <row r="433" spans="7:7">
      <c r="G433" t="s">
        <v>621</v>
      </c>
    </row>
    <row r="434" spans="7:7">
      <c r="G434" t="s">
        <v>622</v>
      </c>
    </row>
    <row r="435" spans="7:7">
      <c r="G435" t="s">
        <v>623</v>
      </c>
    </row>
    <row r="436" spans="7:7">
      <c r="G436" t="s">
        <v>624</v>
      </c>
    </row>
    <row r="437" spans="7:7">
      <c r="G437" t="s">
        <v>625</v>
      </c>
    </row>
    <row r="438" spans="7:7">
      <c r="G438" t="s">
        <v>626</v>
      </c>
    </row>
    <row r="439" spans="7:7">
      <c r="G439" t="s">
        <v>627</v>
      </c>
    </row>
    <row r="440" spans="7:7">
      <c r="G440" t="s">
        <v>628</v>
      </c>
    </row>
    <row r="441" spans="7:7">
      <c r="G441" t="s">
        <v>629</v>
      </c>
    </row>
    <row r="442" spans="7:7">
      <c r="G442" t="s">
        <v>630</v>
      </c>
    </row>
    <row r="443" spans="7:7">
      <c r="G443" t="s">
        <v>631</v>
      </c>
    </row>
    <row r="444" spans="7:7">
      <c r="G444" t="s">
        <v>632</v>
      </c>
    </row>
    <row r="445" spans="7:7">
      <c r="G445" t="s">
        <v>633</v>
      </c>
    </row>
    <row r="446" spans="7:7">
      <c r="G446" t="s">
        <v>634</v>
      </c>
    </row>
    <row r="447" spans="7:7">
      <c r="G447" t="s">
        <v>635</v>
      </c>
    </row>
    <row r="448" spans="7:7">
      <c r="G448" t="s">
        <v>636</v>
      </c>
    </row>
    <row r="449" spans="7:7">
      <c r="G449" t="s">
        <v>637</v>
      </c>
    </row>
    <row r="450" spans="7:7">
      <c r="G450" t="s">
        <v>638</v>
      </c>
    </row>
    <row r="451" spans="7:7">
      <c r="G451" t="s">
        <v>639</v>
      </c>
    </row>
    <row r="452" spans="7:7">
      <c r="G452" t="s">
        <v>640</v>
      </c>
    </row>
    <row r="453" spans="7:7">
      <c r="G453" t="s">
        <v>641</v>
      </c>
    </row>
    <row r="454" spans="7:7">
      <c r="G454" t="s">
        <v>642</v>
      </c>
    </row>
    <row r="455" spans="7:7">
      <c r="G455" t="s">
        <v>643</v>
      </c>
    </row>
    <row r="456" spans="7:7">
      <c r="G456" t="s">
        <v>644</v>
      </c>
    </row>
    <row r="457" spans="7:7">
      <c r="G457" t="s">
        <v>645</v>
      </c>
    </row>
    <row r="458" spans="7:7">
      <c r="G458" t="s">
        <v>646</v>
      </c>
    </row>
    <row r="459" spans="7:7">
      <c r="G459" t="s">
        <v>647</v>
      </c>
    </row>
    <row r="460" spans="7:7">
      <c r="G460" t="s">
        <v>648</v>
      </c>
    </row>
    <row r="461" spans="7:7">
      <c r="G461" t="s">
        <v>649</v>
      </c>
    </row>
    <row r="462" spans="7:7">
      <c r="G462" t="s">
        <v>650</v>
      </c>
    </row>
    <row r="463" spans="7:7">
      <c r="G463" t="s">
        <v>651</v>
      </c>
    </row>
    <row r="464" spans="7:7">
      <c r="G464" t="s">
        <v>652</v>
      </c>
    </row>
    <row r="465" spans="7:7">
      <c r="G465" t="s">
        <v>653</v>
      </c>
    </row>
    <row r="466" spans="7:7">
      <c r="G466" t="s">
        <v>654</v>
      </c>
    </row>
    <row r="467" spans="7:7">
      <c r="G467" t="s">
        <v>655</v>
      </c>
    </row>
    <row r="468" spans="7:7">
      <c r="G468" t="s">
        <v>656</v>
      </c>
    </row>
    <row r="469" spans="7:7">
      <c r="G469" t="s">
        <v>657</v>
      </c>
    </row>
    <row r="470" spans="7:7">
      <c r="G470" t="s">
        <v>658</v>
      </c>
    </row>
    <row r="471" spans="7:7">
      <c r="G471" t="s">
        <v>659</v>
      </c>
    </row>
    <row r="472" spans="7:7">
      <c r="G472" t="s">
        <v>660</v>
      </c>
    </row>
    <row r="473" spans="7:7">
      <c r="G473" t="s">
        <v>661</v>
      </c>
    </row>
    <row r="474" spans="7:7">
      <c r="G474" t="s">
        <v>662</v>
      </c>
    </row>
    <row r="475" spans="7:7">
      <c r="G475" t="s">
        <v>663</v>
      </c>
    </row>
    <row r="476" spans="7:7">
      <c r="G476" t="s">
        <v>664</v>
      </c>
    </row>
    <row r="477" spans="7:7">
      <c r="G477" t="s">
        <v>665</v>
      </c>
    </row>
    <row r="478" spans="7:7">
      <c r="G478" t="s">
        <v>666</v>
      </c>
    </row>
    <row r="479" spans="7:7">
      <c r="G479" t="s">
        <v>667</v>
      </c>
    </row>
    <row r="480" spans="7:7">
      <c r="G480" t="s">
        <v>668</v>
      </c>
    </row>
    <row r="481" spans="7:7">
      <c r="G481" t="s">
        <v>669</v>
      </c>
    </row>
    <row r="482" spans="7:7">
      <c r="G482" t="s">
        <v>670</v>
      </c>
    </row>
    <row r="483" spans="7:7">
      <c r="G483" t="s">
        <v>671</v>
      </c>
    </row>
    <row r="484" spans="7:7">
      <c r="G484" t="s">
        <v>672</v>
      </c>
    </row>
    <row r="485" spans="7:7">
      <c r="G485" t="s">
        <v>673</v>
      </c>
    </row>
    <row r="486" spans="7:7">
      <c r="G486" t="s">
        <v>674</v>
      </c>
    </row>
    <row r="487" spans="7:7">
      <c r="G487" t="s">
        <v>675</v>
      </c>
    </row>
    <row r="488" spans="7:7">
      <c r="G488" t="s">
        <v>676</v>
      </c>
    </row>
    <row r="489" spans="7:7">
      <c r="G489" t="s">
        <v>677</v>
      </c>
    </row>
    <row r="490" spans="7:7">
      <c r="G490" t="s">
        <v>678</v>
      </c>
    </row>
    <row r="491" spans="7:7">
      <c r="G491" t="s">
        <v>679</v>
      </c>
    </row>
    <row r="492" spans="7:7">
      <c r="G492" t="s">
        <v>680</v>
      </c>
    </row>
    <row r="493" spans="7:7">
      <c r="G493" t="s">
        <v>681</v>
      </c>
    </row>
    <row r="494" spans="7:7">
      <c r="G494" t="s">
        <v>682</v>
      </c>
    </row>
    <row r="495" spans="7:7">
      <c r="G495" t="s">
        <v>683</v>
      </c>
    </row>
    <row r="496" spans="7:7">
      <c r="G496" t="s">
        <v>684</v>
      </c>
    </row>
    <row r="497" spans="7:7">
      <c r="G497" t="s">
        <v>685</v>
      </c>
    </row>
    <row r="498" spans="7:7">
      <c r="G498" t="s">
        <v>686</v>
      </c>
    </row>
    <row r="499" spans="7:7">
      <c r="G499" t="s">
        <v>687</v>
      </c>
    </row>
    <row r="500" spans="7:7">
      <c r="G500" t="s">
        <v>688</v>
      </c>
    </row>
    <row r="501" spans="7:7">
      <c r="G501" t="s">
        <v>689</v>
      </c>
    </row>
    <row r="502" spans="7:7">
      <c r="G502" t="s">
        <v>690</v>
      </c>
    </row>
    <row r="503" spans="7:7">
      <c r="G503" t="s">
        <v>691</v>
      </c>
    </row>
    <row r="504" spans="7:7">
      <c r="G504" t="s">
        <v>692</v>
      </c>
    </row>
    <row r="505" spans="7:7">
      <c r="G505" t="s">
        <v>693</v>
      </c>
    </row>
    <row r="506" spans="7:7">
      <c r="G506" t="s">
        <v>694</v>
      </c>
    </row>
    <row r="507" spans="7:7">
      <c r="G507" t="s">
        <v>695</v>
      </c>
    </row>
    <row r="508" spans="7:7">
      <c r="G508" t="s">
        <v>696</v>
      </c>
    </row>
    <row r="509" spans="7:7">
      <c r="G509" t="s">
        <v>697</v>
      </c>
    </row>
    <row r="510" spans="7:7">
      <c r="G510" t="s">
        <v>698</v>
      </c>
    </row>
    <row r="511" spans="7:7">
      <c r="G511" t="s">
        <v>699</v>
      </c>
    </row>
    <row r="512" spans="7:7">
      <c r="G512" t="s">
        <v>700</v>
      </c>
    </row>
    <row r="513" spans="7:7">
      <c r="G513" t="s">
        <v>701</v>
      </c>
    </row>
    <row r="514" spans="7:7">
      <c r="G514" t="s">
        <v>702</v>
      </c>
    </row>
    <row r="515" spans="7:7">
      <c r="G515" t="s">
        <v>703</v>
      </c>
    </row>
    <row r="516" spans="7:7">
      <c r="G516" t="s">
        <v>704</v>
      </c>
    </row>
    <row r="517" spans="7:7">
      <c r="G517" t="s">
        <v>705</v>
      </c>
    </row>
    <row r="518" spans="7:7">
      <c r="G518" t="s">
        <v>706</v>
      </c>
    </row>
    <row r="519" spans="7:7">
      <c r="G519" t="s">
        <v>707</v>
      </c>
    </row>
    <row r="520" spans="7:7">
      <c r="G520" t="s">
        <v>708</v>
      </c>
    </row>
    <row r="521" spans="7:7">
      <c r="G521" t="s">
        <v>709</v>
      </c>
    </row>
    <row r="522" spans="7:7">
      <c r="G522" t="s">
        <v>710</v>
      </c>
    </row>
    <row r="523" spans="7:7">
      <c r="G523" t="s">
        <v>711</v>
      </c>
    </row>
    <row r="524" spans="7:7">
      <c r="G524" t="s">
        <v>712</v>
      </c>
    </row>
    <row r="525" spans="7:7">
      <c r="G525" t="s">
        <v>713</v>
      </c>
    </row>
    <row r="526" spans="7:7">
      <c r="G526" t="s">
        <v>714</v>
      </c>
    </row>
    <row r="527" spans="7:7">
      <c r="G527" t="s">
        <v>715</v>
      </c>
    </row>
    <row r="528" spans="7:7">
      <c r="G528" t="s">
        <v>716</v>
      </c>
    </row>
    <row r="529" spans="7:7">
      <c r="G529" t="s">
        <v>717</v>
      </c>
    </row>
    <row r="530" spans="7:7">
      <c r="G530" t="s">
        <v>718</v>
      </c>
    </row>
    <row r="531" spans="7:7">
      <c r="G531" t="s">
        <v>719</v>
      </c>
    </row>
    <row r="532" spans="7:7">
      <c r="G532" t="s">
        <v>720</v>
      </c>
    </row>
    <row r="533" spans="7:7">
      <c r="G533" t="s">
        <v>721</v>
      </c>
    </row>
    <row r="534" spans="7:7">
      <c r="G534" t="s">
        <v>722</v>
      </c>
    </row>
    <row r="535" spans="7:7">
      <c r="G535" t="s">
        <v>723</v>
      </c>
    </row>
    <row r="536" spans="7:7">
      <c r="G536" t="s">
        <v>724</v>
      </c>
    </row>
    <row r="537" spans="7:7">
      <c r="G537" t="s">
        <v>725</v>
      </c>
    </row>
    <row r="538" spans="7:7">
      <c r="G538" t="s">
        <v>726</v>
      </c>
    </row>
    <row r="539" spans="7:7">
      <c r="G539" t="s">
        <v>727</v>
      </c>
    </row>
    <row r="540" spans="7:7">
      <c r="G540" t="s">
        <v>728</v>
      </c>
    </row>
    <row r="541" spans="7:7">
      <c r="G541" t="s">
        <v>729</v>
      </c>
    </row>
    <row r="542" spans="7:7">
      <c r="G542" t="s">
        <v>730</v>
      </c>
    </row>
    <row r="543" spans="7:7">
      <c r="G543" t="s">
        <v>731</v>
      </c>
    </row>
    <row r="544" spans="7:7">
      <c r="G544" t="s">
        <v>732</v>
      </c>
    </row>
    <row r="545" spans="7:7">
      <c r="G545" t="s">
        <v>733</v>
      </c>
    </row>
    <row r="546" spans="7:7">
      <c r="G546" t="s">
        <v>734</v>
      </c>
    </row>
    <row r="547" spans="7:7">
      <c r="G547" t="s">
        <v>735</v>
      </c>
    </row>
    <row r="548" spans="7:7">
      <c r="G548" t="s">
        <v>736</v>
      </c>
    </row>
    <row r="549" spans="7:7">
      <c r="G549" t="s">
        <v>737</v>
      </c>
    </row>
    <row r="550" spans="7:7">
      <c r="G550" t="s">
        <v>738</v>
      </c>
    </row>
    <row r="551" spans="7:7">
      <c r="G551" t="s">
        <v>739</v>
      </c>
    </row>
    <row r="552" spans="7:7">
      <c r="G552" t="s">
        <v>740</v>
      </c>
    </row>
    <row r="553" spans="7:7">
      <c r="G553" t="s">
        <v>741</v>
      </c>
    </row>
    <row r="554" spans="7:7">
      <c r="G554" t="s">
        <v>742</v>
      </c>
    </row>
    <row r="555" spans="7:7">
      <c r="G555" t="s">
        <v>743</v>
      </c>
    </row>
    <row r="556" spans="7:7">
      <c r="G556" t="s">
        <v>744</v>
      </c>
    </row>
    <row r="557" spans="7:7">
      <c r="G557" t="s">
        <v>745</v>
      </c>
    </row>
    <row r="558" spans="7:7">
      <c r="G558" t="s">
        <v>746</v>
      </c>
    </row>
    <row r="559" spans="7:7">
      <c r="G559" t="s">
        <v>747</v>
      </c>
    </row>
    <row r="560" spans="7:7">
      <c r="G560" t="s">
        <v>748</v>
      </c>
    </row>
    <row r="561" spans="7:7">
      <c r="G561" t="s">
        <v>749</v>
      </c>
    </row>
    <row r="562" spans="7:7">
      <c r="G562" t="s">
        <v>750</v>
      </c>
    </row>
    <row r="563" spans="7:7">
      <c r="G563" t="s">
        <v>751</v>
      </c>
    </row>
    <row r="564" spans="7:7">
      <c r="G564" t="s">
        <v>752</v>
      </c>
    </row>
    <row r="565" spans="7:7">
      <c r="G565" t="s">
        <v>753</v>
      </c>
    </row>
    <row r="566" spans="7:7">
      <c r="G566" t="s">
        <v>754</v>
      </c>
    </row>
    <row r="567" spans="7:7">
      <c r="G567" t="s">
        <v>755</v>
      </c>
    </row>
    <row r="568" spans="7:7">
      <c r="G568" t="s">
        <v>756</v>
      </c>
    </row>
    <row r="569" spans="7:7">
      <c r="G569" t="s">
        <v>757</v>
      </c>
    </row>
    <row r="570" spans="7:7">
      <c r="G570" t="s">
        <v>758</v>
      </c>
    </row>
    <row r="571" spans="7:7">
      <c r="G571" t="s">
        <v>759</v>
      </c>
    </row>
    <row r="572" spans="7:7">
      <c r="G572" t="s">
        <v>760</v>
      </c>
    </row>
    <row r="573" spans="7:7">
      <c r="G573" t="s">
        <v>761</v>
      </c>
    </row>
    <row r="574" spans="7:7">
      <c r="G574" t="s">
        <v>762</v>
      </c>
    </row>
    <row r="575" spans="7:7">
      <c r="G575" t="s">
        <v>763</v>
      </c>
    </row>
    <row r="576" spans="7:7">
      <c r="G576" t="s">
        <v>764</v>
      </c>
    </row>
    <row r="577" spans="7:7">
      <c r="G577" t="s">
        <v>765</v>
      </c>
    </row>
    <row r="578" spans="7:7">
      <c r="G578" t="s">
        <v>766</v>
      </c>
    </row>
    <row r="579" spans="7:7">
      <c r="G579" t="s">
        <v>767</v>
      </c>
    </row>
    <row r="580" spans="7:7">
      <c r="G580" t="s">
        <v>768</v>
      </c>
    </row>
    <row r="581" spans="7:7">
      <c r="G581" t="s">
        <v>769</v>
      </c>
    </row>
    <row r="582" spans="7:7">
      <c r="G582" t="s">
        <v>770</v>
      </c>
    </row>
    <row r="583" spans="7:7">
      <c r="G583" t="s">
        <v>771</v>
      </c>
    </row>
    <row r="584" spans="7:7">
      <c r="G584" t="s">
        <v>772</v>
      </c>
    </row>
    <row r="585" spans="7:7">
      <c r="G585" t="s">
        <v>773</v>
      </c>
    </row>
    <row r="586" spans="7:7">
      <c r="G586" t="s">
        <v>774</v>
      </c>
    </row>
    <row r="587" spans="7:7">
      <c r="G587" t="s">
        <v>775</v>
      </c>
    </row>
    <row r="588" spans="7:7">
      <c r="G588" t="s">
        <v>776</v>
      </c>
    </row>
    <row r="589" spans="7:7">
      <c r="G589" t="s">
        <v>777</v>
      </c>
    </row>
    <row r="590" spans="7:7">
      <c r="G590" t="s">
        <v>778</v>
      </c>
    </row>
    <row r="591" spans="7:7">
      <c r="G591" t="s">
        <v>779</v>
      </c>
    </row>
    <row r="592" spans="7:7">
      <c r="G592" t="s">
        <v>780</v>
      </c>
    </row>
    <row r="593" spans="7:7">
      <c r="G593" t="s">
        <v>781</v>
      </c>
    </row>
    <row r="594" spans="7:7">
      <c r="G594" t="s">
        <v>782</v>
      </c>
    </row>
    <row r="595" spans="7:7">
      <c r="G595" t="s">
        <v>783</v>
      </c>
    </row>
    <row r="596" spans="7:7">
      <c r="G596" t="s">
        <v>784</v>
      </c>
    </row>
    <row r="597" spans="7:7">
      <c r="G597" t="s">
        <v>785</v>
      </c>
    </row>
    <row r="598" spans="7:7">
      <c r="G598" t="s">
        <v>786</v>
      </c>
    </row>
    <row r="599" spans="7:7">
      <c r="G599" t="s">
        <v>787</v>
      </c>
    </row>
    <row r="600" spans="7:7">
      <c r="G600" t="s">
        <v>788</v>
      </c>
    </row>
    <row r="601" spans="7:7">
      <c r="G601" t="s">
        <v>789</v>
      </c>
    </row>
    <row r="602" spans="7:7">
      <c r="G602" t="s">
        <v>790</v>
      </c>
    </row>
    <row r="603" spans="7:7">
      <c r="G603" t="s">
        <v>791</v>
      </c>
    </row>
    <row r="604" spans="7:7">
      <c r="G604" t="s">
        <v>792</v>
      </c>
    </row>
    <row r="605" spans="7:7">
      <c r="G605" t="s">
        <v>793</v>
      </c>
    </row>
    <row r="606" spans="7:7">
      <c r="G606" t="s">
        <v>794</v>
      </c>
    </row>
    <row r="607" spans="7:7">
      <c r="G607" t="s">
        <v>795</v>
      </c>
    </row>
    <row r="608" spans="7:7">
      <c r="G608" t="s">
        <v>796</v>
      </c>
    </row>
    <row r="609" spans="7:7">
      <c r="G609" t="s">
        <v>797</v>
      </c>
    </row>
    <row r="610" spans="7:7">
      <c r="G610" t="s">
        <v>798</v>
      </c>
    </row>
    <row r="611" spans="7:7">
      <c r="G611" t="s">
        <v>799</v>
      </c>
    </row>
    <row r="612" spans="7:7">
      <c r="G612" t="s">
        <v>800</v>
      </c>
    </row>
    <row r="613" spans="7:7">
      <c r="G613" t="s">
        <v>801</v>
      </c>
    </row>
    <row r="614" spans="7:7">
      <c r="G614" t="s">
        <v>802</v>
      </c>
    </row>
    <row r="615" spans="7:7">
      <c r="G615" t="s">
        <v>803</v>
      </c>
    </row>
    <row r="616" spans="7:7">
      <c r="G616" t="s">
        <v>804</v>
      </c>
    </row>
    <row r="617" spans="7:7">
      <c r="G617" t="s">
        <v>805</v>
      </c>
    </row>
    <row r="618" spans="7:7">
      <c r="G618" t="s">
        <v>806</v>
      </c>
    </row>
    <row r="619" spans="7:7">
      <c r="G619" t="s">
        <v>807</v>
      </c>
    </row>
    <row r="620" spans="7:7">
      <c r="G620" t="s">
        <v>808</v>
      </c>
    </row>
    <row r="621" spans="7:7">
      <c r="G621" t="s">
        <v>809</v>
      </c>
    </row>
    <row r="622" spans="7:7">
      <c r="G622" t="s">
        <v>810</v>
      </c>
    </row>
    <row r="623" spans="7:7">
      <c r="G623" t="s">
        <v>811</v>
      </c>
    </row>
    <row r="624" spans="7:7">
      <c r="G624" t="s">
        <v>812</v>
      </c>
    </row>
    <row r="625" spans="7:7">
      <c r="G625" t="s">
        <v>813</v>
      </c>
    </row>
    <row r="626" spans="7:7">
      <c r="G626" t="s">
        <v>814</v>
      </c>
    </row>
    <row r="627" spans="7:7">
      <c r="G627" t="s">
        <v>815</v>
      </c>
    </row>
    <row r="628" spans="7:7">
      <c r="G628" t="s">
        <v>816</v>
      </c>
    </row>
    <row r="629" spans="7:7">
      <c r="G629" t="s">
        <v>817</v>
      </c>
    </row>
    <row r="630" spans="7:7">
      <c r="G630" t="s">
        <v>818</v>
      </c>
    </row>
    <row r="631" spans="7:7">
      <c r="G631" t="s">
        <v>819</v>
      </c>
    </row>
    <row r="632" spans="7:7">
      <c r="G632" t="s">
        <v>820</v>
      </c>
    </row>
    <row r="633" spans="7:7">
      <c r="G633" t="s">
        <v>821</v>
      </c>
    </row>
    <row r="634" spans="7:7">
      <c r="G634" t="s">
        <v>822</v>
      </c>
    </row>
    <row r="635" spans="7:7">
      <c r="G635" t="s">
        <v>823</v>
      </c>
    </row>
    <row r="636" spans="7:7">
      <c r="G636" t="s">
        <v>824</v>
      </c>
    </row>
    <row r="637" spans="7:7">
      <c r="G637" t="s">
        <v>825</v>
      </c>
    </row>
    <row r="638" spans="7:7">
      <c r="G638" t="s">
        <v>826</v>
      </c>
    </row>
    <row r="639" spans="7:7">
      <c r="G639" t="s">
        <v>827</v>
      </c>
    </row>
    <row r="640" spans="7:7">
      <c r="G640" t="s">
        <v>828</v>
      </c>
    </row>
    <row r="641" spans="7:7">
      <c r="G641" t="s">
        <v>829</v>
      </c>
    </row>
    <row r="642" spans="7:7">
      <c r="G642" t="s">
        <v>830</v>
      </c>
    </row>
    <row r="643" spans="7:7">
      <c r="G643" t="s">
        <v>831</v>
      </c>
    </row>
    <row r="644" spans="7:7">
      <c r="G644" t="s">
        <v>832</v>
      </c>
    </row>
    <row r="645" spans="7:7">
      <c r="G645" t="s">
        <v>833</v>
      </c>
    </row>
    <row r="646" spans="7:7">
      <c r="G646" t="s">
        <v>834</v>
      </c>
    </row>
    <row r="647" spans="7:7">
      <c r="G647" t="s">
        <v>835</v>
      </c>
    </row>
    <row r="648" spans="7:7">
      <c r="G648" t="s">
        <v>836</v>
      </c>
    </row>
    <row r="649" spans="7:7">
      <c r="G649" t="s">
        <v>837</v>
      </c>
    </row>
    <row r="650" spans="7:7">
      <c r="G650" t="s">
        <v>838</v>
      </c>
    </row>
    <row r="651" spans="7:7">
      <c r="G651" t="s">
        <v>839</v>
      </c>
    </row>
    <row r="652" spans="7:7">
      <c r="G652" t="s">
        <v>840</v>
      </c>
    </row>
    <row r="653" spans="7:7">
      <c r="G653" t="s">
        <v>841</v>
      </c>
    </row>
    <row r="654" spans="7:7">
      <c r="G654" t="s">
        <v>842</v>
      </c>
    </row>
    <row r="655" spans="7:7">
      <c r="G655" t="s">
        <v>843</v>
      </c>
    </row>
    <row r="656" spans="7:7">
      <c r="G656" t="s">
        <v>844</v>
      </c>
    </row>
    <row r="657" spans="7:7">
      <c r="G657" t="s">
        <v>845</v>
      </c>
    </row>
    <row r="658" spans="7:7">
      <c r="G658" t="s">
        <v>846</v>
      </c>
    </row>
    <row r="659" spans="7:7">
      <c r="G659" t="s">
        <v>847</v>
      </c>
    </row>
    <row r="660" spans="7:7">
      <c r="G660" t="s">
        <v>848</v>
      </c>
    </row>
    <row r="661" spans="7:7">
      <c r="G661" t="s">
        <v>849</v>
      </c>
    </row>
    <row r="662" spans="7:7">
      <c r="G662" t="s">
        <v>850</v>
      </c>
    </row>
    <row r="663" spans="7:7">
      <c r="G663" t="s">
        <v>851</v>
      </c>
    </row>
    <row r="664" spans="7:7">
      <c r="G664" t="s">
        <v>852</v>
      </c>
    </row>
    <row r="665" spans="7:7">
      <c r="G665" t="s">
        <v>853</v>
      </c>
    </row>
    <row r="666" spans="7:7">
      <c r="G666" t="s">
        <v>854</v>
      </c>
    </row>
    <row r="667" spans="7:7">
      <c r="G667" t="s">
        <v>855</v>
      </c>
    </row>
    <row r="668" spans="7:7">
      <c r="G668" t="s">
        <v>856</v>
      </c>
    </row>
    <row r="669" spans="7:7">
      <c r="G669" t="s">
        <v>857</v>
      </c>
    </row>
    <row r="670" spans="7:7">
      <c r="G670" t="s">
        <v>858</v>
      </c>
    </row>
    <row r="671" spans="7:7">
      <c r="G671" t="s">
        <v>859</v>
      </c>
    </row>
    <row r="672" spans="7:7">
      <c r="G672" t="s">
        <v>860</v>
      </c>
    </row>
    <row r="673" spans="7:7">
      <c r="G673" t="s">
        <v>861</v>
      </c>
    </row>
    <row r="674" spans="7:7">
      <c r="G674" t="s">
        <v>862</v>
      </c>
    </row>
    <row r="675" spans="7:7">
      <c r="G675" t="s">
        <v>863</v>
      </c>
    </row>
    <row r="676" spans="7:7">
      <c r="G676" t="s">
        <v>864</v>
      </c>
    </row>
    <row r="677" spans="7:7">
      <c r="G677" t="s">
        <v>865</v>
      </c>
    </row>
    <row r="678" spans="7:7">
      <c r="G678" t="s">
        <v>866</v>
      </c>
    </row>
    <row r="679" spans="7:7">
      <c r="G679" t="s">
        <v>867</v>
      </c>
    </row>
    <row r="680" spans="7:7">
      <c r="G680" t="s">
        <v>868</v>
      </c>
    </row>
    <row r="681" spans="7:7">
      <c r="G681" t="s">
        <v>869</v>
      </c>
    </row>
    <row r="682" spans="7:7">
      <c r="G682" t="s">
        <v>870</v>
      </c>
    </row>
    <row r="683" spans="7:7">
      <c r="G683" t="s">
        <v>871</v>
      </c>
    </row>
    <row r="684" spans="7:7">
      <c r="G684" t="s">
        <v>872</v>
      </c>
    </row>
    <row r="685" spans="7:7">
      <c r="G685" t="s">
        <v>873</v>
      </c>
    </row>
    <row r="686" spans="7:7">
      <c r="G686" t="s">
        <v>874</v>
      </c>
    </row>
    <row r="687" spans="7:7">
      <c r="G687" t="s">
        <v>875</v>
      </c>
    </row>
    <row r="688" spans="7:7">
      <c r="G688" t="s">
        <v>876</v>
      </c>
    </row>
    <row r="689" spans="7:7">
      <c r="G689" t="s">
        <v>877</v>
      </c>
    </row>
    <row r="690" spans="7:7">
      <c r="G690" t="s">
        <v>878</v>
      </c>
    </row>
    <row r="691" spans="7:7">
      <c r="G691" t="s">
        <v>879</v>
      </c>
    </row>
    <row r="692" spans="7:7">
      <c r="G692" t="s">
        <v>880</v>
      </c>
    </row>
    <row r="693" spans="7:7">
      <c r="G693" t="s">
        <v>881</v>
      </c>
    </row>
    <row r="694" spans="7:7">
      <c r="G694" t="s">
        <v>882</v>
      </c>
    </row>
    <row r="695" spans="7:7">
      <c r="G695" t="s">
        <v>883</v>
      </c>
    </row>
    <row r="696" spans="7:7">
      <c r="G696" t="s">
        <v>884</v>
      </c>
    </row>
    <row r="697" spans="7:7">
      <c r="G697" t="s">
        <v>885</v>
      </c>
    </row>
    <row r="698" spans="7:7">
      <c r="G698" t="s">
        <v>886</v>
      </c>
    </row>
    <row r="699" spans="7:7">
      <c r="G699" t="s">
        <v>887</v>
      </c>
    </row>
    <row r="700" spans="7:7">
      <c r="G700" t="s">
        <v>888</v>
      </c>
    </row>
    <row r="701" spans="7:7">
      <c r="G701" t="s">
        <v>889</v>
      </c>
    </row>
    <row r="702" spans="7:7">
      <c r="G702" t="s">
        <v>890</v>
      </c>
    </row>
    <row r="703" spans="7:7">
      <c r="G703" t="s">
        <v>891</v>
      </c>
    </row>
    <row r="704" spans="7:7">
      <c r="G704" t="s">
        <v>892</v>
      </c>
    </row>
    <row r="705" spans="7:7">
      <c r="G705" t="s">
        <v>893</v>
      </c>
    </row>
    <row r="706" spans="7:7">
      <c r="G706" t="s">
        <v>894</v>
      </c>
    </row>
    <row r="707" spans="7:7">
      <c r="G707" t="s">
        <v>895</v>
      </c>
    </row>
    <row r="708" spans="7:7">
      <c r="G708" t="s">
        <v>896</v>
      </c>
    </row>
    <row r="709" spans="7:7">
      <c r="G709" t="s">
        <v>897</v>
      </c>
    </row>
    <row r="710" spans="7:7">
      <c r="G710" t="s">
        <v>898</v>
      </c>
    </row>
    <row r="711" spans="7:7">
      <c r="G711" t="s">
        <v>899</v>
      </c>
    </row>
    <row r="712" spans="7:7">
      <c r="G712" t="s">
        <v>900</v>
      </c>
    </row>
    <row r="713" spans="7:7">
      <c r="G713" t="s">
        <v>901</v>
      </c>
    </row>
    <row r="714" spans="7:7">
      <c r="G714" t="s">
        <v>902</v>
      </c>
    </row>
    <row r="715" spans="7:7">
      <c r="G715" t="s">
        <v>903</v>
      </c>
    </row>
    <row r="716" spans="7:7">
      <c r="G716" t="s">
        <v>904</v>
      </c>
    </row>
    <row r="717" spans="7:7">
      <c r="G717" t="s">
        <v>905</v>
      </c>
    </row>
    <row r="718" spans="7:7">
      <c r="G718" t="s">
        <v>906</v>
      </c>
    </row>
    <row r="719" spans="7:7">
      <c r="G719" t="s">
        <v>907</v>
      </c>
    </row>
    <row r="720" spans="7:7">
      <c r="G720" t="s">
        <v>908</v>
      </c>
    </row>
    <row r="721" spans="7:7">
      <c r="G721" t="s">
        <v>909</v>
      </c>
    </row>
    <row r="722" spans="7:7">
      <c r="G722" t="s">
        <v>910</v>
      </c>
    </row>
    <row r="723" spans="7:7">
      <c r="G723" t="s">
        <v>911</v>
      </c>
    </row>
    <row r="724" spans="7:7">
      <c r="G724" t="s">
        <v>912</v>
      </c>
    </row>
    <row r="725" spans="7:7">
      <c r="G725" t="s">
        <v>913</v>
      </c>
    </row>
    <row r="726" spans="7:7">
      <c r="G726" t="s">
        <v>914</v>
      </c>
    </row>
    <row r="727" spans="7:7">
      <c r="G727" t="s">
        <v>915</v>
      </c>
    </row>
    <row r="728" spans="7:7">
      <c r="G728" t="s">
        <v>916</v>
      </c>
    </row>
    <row r="729" spans="7:7">
      <c r="G729" t="s">
        <v>917</v>
      </c>
    </row>
    <row r="730" spans="7:7">
      <c r="G730" t="s">
        <v>918</v>
      </c>
    </row>
    <row r="731" spans="7:7">
      <c r="G731" t="s">
        <v>919</v>
      </c>
    </row>
    <row r="732" spans="7:7">
      <c r="G732" t="s">
        <v>920</v>
      </c>
    </row>
    <row r="733" spans="7:7">
      <c r="G733" t="s">
        <v>921</v>
      </c>
    </row>
    <row r="734" spans="7:7">
      <c r="G734" t="s">
        <v>922</v>
      </c>
    </row>
    <row r="735" spans="7:7">
      <c r="G735" t="s">
        <v>923</v>
      </c>
    </row>
    <row r="736" spans="7:7">
      <c r="G736" t="s">
        <v>924</v>
      </c>
    </row>
    <row r="737" spans="7:7">
      <c r="G737" t="s">
        <v>925</v>
      </c>
    </row>
    <row r="738" spans="7:7">
      <c r="G738" t="s">
        <v>926</v>
      </c>
    </row>
    <row r="739" spans="7:7">
      <c r="G739" t="s">
        <v>927</v>
      </c>
    </row>
    <row r="740" spans="7:7">
      <c r="G740" t="s">
        <v>928</v>
      </c>
    </row>
    <row r="741" spans="7:7">
      <c r="G741" t="s">
        <v>929</v>
      </c>
    </row>
    <row r="742" spans="7:7">
      <c r="G742" t="s">
        <v>930</v>
      </c>
    </row>
    <row r="743" spans="7:7">
      <c r="G743" t="s">
        <v>931</v>
      </c>
    </row>
    <row r="744" spans="7:7">
      <c r="G744" t="s">
        <v>932</v>
      </c>
    </row>
    <row r="745" spans="7:7">
      <c r="G745" t="s">
        <v>933</v>
      </c>
    </row>
    <row r="746" spans="7:7">
      <c r="G746" t="s">
        <v>934</v>
      </c>
    </row>
    <row r="747" spans="7:7">
      <c r="G747" t="s">
        <v>935</v>
      </c>
    </row>
    <row r="748" spans="7:7">
      <c r="G748" t="s">
        <v>936</v>
      </c>
    </row>
    <row r="749" spans="7:7">
      <c r="G749" t="s">
        <v>937</v>
      </c>
    </row>
    <row r="750" spans="7:7">
      <c r="G750" t="s">
        <v>938</v>
      </c>
    </row>
    <row r="751" spans="7:7">
      <c r="G751" t="s">
        <v>939</v>
      </c>
    </row>
    <row r="752" spans="7:7">
      <c r="G752" t="s">
        <v>940</v>
      </c>
    </row>
    <row r="753" spans="7:7">
      <c r="G753" t="s">
        <v>941</v>
      </c>
    </row>
    <row r="754" spans="7:7">
      <c r="G754" t="s">
        <v>942</v>
      </c>
    </row>
    <row r="755" spans="7:7">
      <c r="G755" t="s">
        <v>943</v>
      </c>
    </row>
    <row r="756" spans="7:7">
      <c r="G756" t="s">
        <v>944</v>
      </c>
    </row>
    <row r="757" spans="7:7">
      <c r="G757" t="s">
        <v>945</v>
      </c>
    </row>
    <row r="758" spans="7:7">
      <c r="G758" t="s">
        <v>946</v>
      </c>
    </row>
    <row r="759" spans="7:7">
      <c r="G759" t="s">
        <v>947</v>
      </c>
    </row>
    <row r="760" spans="7:7">
      <c r="G760" t="s">
        <v>948</v>
      </c>
    </row>
    <row r="761" spans="7:7">
      <c r="G761" t="s">
        <v>949</v>
      </c>
    </row>
    <row r="762" spans="7:7">
      <c r="G762" t="s">
        <v>950</v>
      </c>
    </row>
    <row r="763" spans="7:7">
      <c r="G763" t="s">
        <v>951</v>
      </c>
    </row>
    <row r="764" spans="7:7">
      <c r="G764" t="s">
        <v>952</v>
      </c>
    </row>
    <row r="765" spans="7:7">
      <c r="G765" t="s">
        <v>953</v>
      </c>
    </row>
    <row r="766" spans="7:7">
      <c r="G766" t="s">
        <v>954</v>
      </c>
    </row>
    <row r="767" spans="7:7">
      <c r="G767" t="s">
        <v>955</v>
      </c>
    </row>
    <row r="768" spans="7:7">
      <c r="G768" t="s">
        <v>956</v>
      </c>
    </row>
    <row r="769" spans="7:7">
      <c r="G769" t="s">
        <v>957</v>
      </c>
    </row>
    <row r="770" spans="7:7">
      <c r="G770" t="s">
        <v>958</v>
      </c>
    </row>
    <row r="771" spans="7:7">
      <c r="G771" t="s">
        <v>959</v>
      </c>
    </row>
    <row r="772" spans="7:7">
      <c r="G772" t="s">
        <v>960</v>
      </c>
    </row>
    <row r="773" spans="7:7">
      <c r="G773" t="s">
        <v>961</v>
      </c>
    </row>
    <row r="774" spans="7:7">
      <c r="G774" t="s">
        <v>962</v>
      </c>
    </row>
    <row r="775" spans="7:7">
      <c r="G775" t="s">
        <v>963</v>
      </c>
    </row>
    <row r="776" spans="7:7">
      <c r="G776" t="s">
        <v>964</v>
      </c>
    </row>
    <row r="777" spans="7:7">
      <c r="G777" t="s">
        <v>965</v>
      </c>
    </row>
    <row r="778" spans="7:7">
      <c r="G778" t="s">
        <v>966</v>
      </c>
    </row>
    <row r="779" spans="7:7">
      <c r="G779" t="s">
        <v>967</v>
      </c>
    </row>
    <row r="780" spans="7:7">
      <c r="G780" t="s">
        <v>968</v>
      </c>
    </row>
    <row r="781" spans="7:7">
      <c r="G781" t="s">
        <v>969</v>
      </c>
    </row>
    <row r="782" spans="7:7">
      <c r="G782" t="s">
        <v>970</v>
      </c>
    </row>
    <row r="783" spans="7:7">
      <c r="G783" t="s">
        <v>971</v>
      </c>
    </row>
    <row r="784" spans="7:7">
      <c r="G784" t="s">
        <v>972</v>
      </c>
    </row>
    <row r="785" spans="7:7">
      <c r="G785" t="s">
        <v>973</v>
      </c>
    </row>
    <row r="786" spans="7:7">
      <c r="G786" t="s">
        <v>974</v>
      </c>
    </row>
    <row r="787" spans="7:7">
      <c r="G787" t="s">
        <v>975</v>
      </c>
    </row>
    <row r="788" spans="7:7">
      <c r="G788" t="s">
        <v>976</v>
      </c>
    </row>
    <row r="789" spans="7:7">
      <c r="G789" t="s">
        <v>977</v>
      </c>
    </row>
    <row r="790" spans="7:7">
      <c r="G790" t="s">
        <v>978</v>
      </c>
    </row>
    <row r="791" spans="7:7">
      <c r="G791" t="s">
        <v>979</v>
      </c>
    </row>
    <row r="792" spans="7:7">
      <c r="G792" t="s">
        <v>980</v>
      </c>
    </row>
    <row r="793" spans="7:7">
      <c r="G793" t="s">
        <v>981</v>
      </c>
    </row>
    <row r="794" spans="7:7">
      <c r="G794" t="s">
        <v>982</v>
      </c>
    </row>
    <row r="795" spans="7:7">
      <c r="G795" t="s">
        <v>983</v>
      </c>
    </row>
    <row r="796" spans="7:7">
      <c r="G796" t="s">
        <v>984</v>
      </c>
    </row>
    <row r="797" spans="7:7">
      <c r="G797" t="s">
        <v>985</v>
      </c>
    </row>
    <row r="798" spans="7:7">
      <c r="G798" t="s">
        <v>986</v>
      </c>
    </row>
    <row r="799" spans="7:7">
      <c r="G799" t="s">
        <v>987</v>
      </c>
    </row>
    <row r="800" spans="7:7">
      <c r="G800" t="s">
        <v>988</v>
      </c>
    </row>
    <row r="801" spans="7:7">
      <c r="G801" t="s">
        <v>989</v>
      </c>
    </row>
    <row r="802" spans="7:7">
      <c r="G802" t="s">
        <v>990</v>
      </c>
    </row>
    <row r="803" spans="7:7">
      <c r="G803" t="s">
        <v>991</v>
      </c>
    </row>
    <row r="804" spans="7:7">
      <c r="G804" t="s">
        <v>992</v>
      </c>
    </row>
    <row r="805" spans="7:7">
      <c r="G805" t="s">
        <v>993</v>
      </c>
    </row>
    <row r="806" spans="7:7">
      <c r="G806" t="s">
        <v>994</v>
      </c>
    </row>
    <row r="807" spans="7:7">
      <c r="G807" t="s">
        <v>995</v>
      </c>
    </row>
    <row r="808" spans="7:7">
      <c r="G808" t="s">
        <v>996</v>
      </c>
    </row>
    <row r="809" spans="7:7">
      <c r="G809" t="s">
        <v>997</v>
      </c>
    </row>
    <row r="810" spans="7:7">
      <c r="G810" t="s">
        <v>998</v>
      </c>
    </row>
    <row r="811" spans="7:7">
      <c r="G811" t="s">
        <v>999</v>
      </c>
    </row>
    <row r="812" spans="7:7">
      <c r="G812" t="s">
        <v>1000</v>
      </c>
    </row>
    <row r="813" spans="7:7">
      <c r="G813" t="s">
        <v>1001</v>
      </c>
    </row>
    <row r="814" spans="7:7">
      <c r="G814" t="s">
        <v>1002</v>
      </c>
    </row>
    <row r="815" spans="7:7">
      <c r="G815" t="s">
        <v>1003</v>
      </c>
    </row>
    <row r="816" spans="7:7">
      <c r="G816" t="s">
        <v>1004</v>
      </c>
    </row>
    <row r="817" spans="7:7">
      <c r="G817" t="s">
        <v>1005</v>
      </c>
    </row>
    <row r="818" spans="7:7">
      <c r="G818" t="s">
        <v>1006</v>
      </c>
    </row>
    <row r="819" spans="7:7">
      <c r="G819" t="s">
        <v>1007</v>
      </c>
    </row>
    <row r="820" spans="7:7">
      <c r="G820" t="s">
        <v>1008</v>
      </c>
    </row>
    <row r="821" spans="7:7">
      <c r="G821" t="s">
        <v>1009</v>
      </c>
    </row>
    <row r="822" spans="7:7">
      <c r="G822" t="s">
        <v>1010</v>
      </c>
    </row>
    <row r="823" spans="7:7">
      <c r="G823" t="s">
        <v>1011</v>
      </c>
    </row>
    <row r="824" spans="7:7">
      <c r="G824" t="s">
        <v>1012</v>
      </c>
    </row>
    <row r="825" spans="7:7">
      <c r="G825" t="s">
        <v>1013</v>
      </c>
    </row>
    <row r="826" spans="7:7">
      <c r="G826" t="s">
        <v>1014</v>
      </c>
    </row>
    <row r="827" spans="7:7">
      <c r="G827" t="s">
        <v>1015</v>
      </c>
    </row>
    <row r="828" spans="7:7">
      <c r="G828" t="s">
        <v>1016</v>
      </c>
    </row>
    <row r="829" spans="7:7">
      <c r="G829" t="s">
        <v>1017</v>
      </c>
    </row>
    <row r="830" spans="7:7">
      <c r="G830" t="s">
        <v>1018</v>
      </c>
    </row>
    <row r="831" spans="7:7">
      <c r="G831" t="s">
        <v>1019</v>
      </c>
    </row>
    <row r="832" spans="7:7">
      <c r="G832" t="s">
        <v>1020</v>
      </c>
    </row>
    <row r="833" spans="7:7">
      <c r="G833" t="s">
        <v>1021</v>
      </c>
    </row>
    <row r="834" spans="7:7">
      <c r="G834" t="s">
        <v>1022</v>
      </c>
    </row>
    <row r="835" spans="7:7">
      <c r="G835" t="s">
        <v>1023</v>
      </c>
    </row>
    <row r="836" spans="7:7">
      <c r="G836" t="s">
        <v>1024</v>
      </c>
    </row>
    <row r="837" spans="7:7">
      <c r="G837" t="s">
        <v>1025</v>
      </c>
    </row>
    <row r="838" spans="7:7">
      <c r="G838" t="s">
        <v>1026</v>
      </c>
    </row>
    <row r="839" spans="7:7">
      <c r="G839" t="s">
        <v>1027</v>
      </c>
    </row>
    <row r="840" spans="7:7">
      <c r="G840" t="s">
        <v>1028</v>
      </c>
    </row>
    <row r="841" spans="7:7">
      <c r="G841" t="s">
        <v>1029</v>
      </c>
    </row>
    <row r="842" spans="7:7">
      <c r="G842" t="s">
        <v>1030</v>
      </c>
    </row>
    <row r="843" spans="7:7">
      <c r="G843" t="s">
        <v>1031</v>
      </c>
    </row>
    <row r="844" spans="7:7">
      <c r="G844" t="s">
        <v>1032</v>
      </c>
    </row>
    <row r="845" spans="7:7">
      <c r="G845" t="s">
        <v>1033</v>
      </c>
    </row>
    <row r="846" spans="7:7">
      <c r="G846" t="s">
        <v>1034</v>
      </c>
    </row>
    <row r="847" spans="7:7">
      <c r="G847" t="s">
        <v>1035</v>
      </c>
    </row>
    <row r="848" spans="7:7">
      <c r="G848" t="s">
        <v>1036</v>
      </c>
    </row>
    <row r="849" spans="7:7">
      <c r="G849" t="s">
        <v>1037</v>
      </c>
    </row>
    <row r="850" spans="7:7">
      <c r="G850" t="s">
        <v>1038</v>
      </c>
    </row>
    <row r="851" spans="7:7">
      <c r="G851" t="s">
        <v>1039</v>
      </c>
    </row>
    <row r="852" spans="7:7">
      <c r="G852" t="s">
        <v>1040</v>
      </c>
    </row>
    <row r="853" spans="7:7">
      <c r="G853" t="s">
        <v>1041</v>
      </c>
    </row>
    <row r="854" spans="7:7">
      <c r="G854" t="s">
        <v>1042</v>
      </c>
    </row>
    <row r="855" spans="7:7">
      <c r="G855" t="s">
        <v>1043</v>
      </c>
    </row>
    <row r="856" spans="7:7">
      <c r="G856" t="s">
        <v>1044</v>
      </c>
    </row>
    <row r="857" spans="7:7">
      <c r="G857" t="s">
        <v>1045</v>
      </c>
    </row>
    <row r="858" spans="7:7">
      <c r="G858" t="s">
        <v>1046</v>
      </c>
    </row>
    <row r="859" spans="7:7">
      <c r="G859" t="s">
        <v>1047</v>
      </c>
    </row>
    <row r="860" spans="7:7">
      <c r="G860" t="s">
        <v>1048</v>
      </c>
    </row>
    <row r="861" spans="7:7">
      <c r="G861" t="s">
        <v>1049</v>
      </c>
    </row>
    <row r="862" spans="7:7">
      <c r="G862" t="s">
        <v>1050</v>
      </c>
    </row>
    <row r="863" spans="7:7">
      <c r="G863" t="s">
        <v>1051</v>
      </c>
    </row>
    <row r="864" spans="7:7">
      <c r="G864" t="s">
        <v>1052</v>
      </c>
    </row>
    <row r="865" spans="7:7">
      <c r="G865" t="s">
        <v>1053</v>
      </c>
    </row>
    <row r="866" spans="7:7">
      <c r="G866" t="s">
        <v>1054</v>
      </c>
    </row>
    <row r="867" spans="7:7">
      <c r="G867" t="s">
        <v>1055</v>
      </c>
    </row>
    <row r="868" spans="7:7">
      <c r="G868" t="s">
        <v>1056</v>
      </c>
    </row>
    <row r="869" spans="7:7">
      <c r="G869" t="s">
        <v>1057</v>
      </c>
    </row>
    <row r="870" spans="7:7">
      <c r="G870" t="s">
        <v>1058</v>
      </c>
    </row>
    <row r="871" spans="7:7">
      <c r="G871" t="s">
        <v>1059</v>
      </c>
    </row>
    <row r="872" spans="7:7">
      <c r="G872" t="s">
        <v>1060</v>
      </c>
    </row>
    <row r="873" spans="7:7">
      <c r="G873" t="s">
        <v>1061</v>
      </c>
    </row>
    <row r="874" spans="7:7">
      <c r="G874" t="s">
        <v>1062</v>
      </c>
    </row>
    <row r="875" spans="7:7">
      <c r="G875" t="s">
        <v>1063</v>
      </c>
    </row>
    <row r="876" spans="7:7">
      <c r="G876" t="s">
        <v>1064</v>
      </c>
    </row>
    <row r="877" spans="7:7">
      <c r="G877" t="s">
        <v>1065</v>
      </c>
    </row>
    <row r="878" spans="7:7">
      <c r="G878" t="s">
        <v>1066</v>
      </c>
    </row>
    <row r="879" spans="7:7">
      <c r="G879" t="s">
        <v>1067</v>
      </c>
    </row>
    <row r="880" spans="7:7">
      <c r="G880" t="s">
        <v>1068</v>
      </c>
    </row>
    <row r="881" spans="7:7">
      <c r="G881" t="s">
        <v>1069</v>
      </c>
    </row>
    <row r="882" spans="7:7">
      <c r="G882" t="s">
        <v>1070</v>
      </c>
    </row>
    <row r="883" spans="7:7">
      <c r="G883" t="s">
        <v>1071</v>
      </c>
    </row>
    <row r="884" spans="7:7">
      <c r="G884" t="s">
        <v>1072</v>
      </c>
    </row>
    <row r="885" spans="7:7">
      <c r="G885" t="s">
        <v>1073</v>
      </c>
    </row>
    <row r="886" spans="7:7">
      <c r="G886" t="s">
        <v>1074</v>
      </c>
    </row>
    <row r="887" spans="7:7">
      <c r="G887" t="s">
        <v>1075</v>
      </c>
    </row>
    <row r="888" spans="7:7">
      <c r="G888" t="s">
        <v>1076</v>
      </c>
    </row>
    <row r="889" spans="7:7">
      <c r="G889" t="s">
        <v>1077</v>
      </c>
    </row>
    <row r="890" spans="7:7">
      <c r="G890" t="s">
        <v>1078</v>
      </c>
    </row>
    <row r="891" spans="7:7">
      <c r="G891" t="s">
        <v>1079</v>
      </c>
    </row>
    <row r="892" spans="7:7">
      <c r="G892" t="s">
        <v>1080</v>
      </c>
    </row>
    <row r="893" spans="7:7">
      <c r="G893" t="s">
        <v>1081</v>
      </c>
    </row>
    <row r="894" spans="7:7">
      <c r="G894" t="s">
        <v>1082</v>
      </c>
    </row>
    <row r="895" spans="7:7">
      <c r="G895" t="s">
        <v>1083</v>
      </c>
    </row>
    <row r="896" spans="7:7">
      <c r="G896" t="s">
        <v>1084</v>
      </c>
    </row>
    <row r="897" spans="7:7">
      <c r="G897" t="s">
        <v>1085</v>
      </c>
    </row>
    <row r="898" spans="7:7">
      <c r="G898" t="s">
        <v>1086</v>
      </c>
    </row>
    <row r="899" spans="7:7">
      <c r="G899" t="s">
        <v>1087</v>
      </c>
    </row>
    <row r="900" spans="7:7">
      <c r="G900" t="s">
        <v>1088</v>
      </c>
    </row>
    <row r="901" spans="7:7">
      <c r="G901" t="s">
        <v>1089</v>
      </c>
    </row>
    <row r="902" spans="7:7">
      <c r="G902" t="s">
        <v>1090</v>
      </c>
    </row>
    <row r="903" spans="7:7">
      <c r="G903" t="s">
        <v>1091</v>
      </c>
    </row>
    <row r="904" spans="7:7">
      <c r="G904" t="s">
        <v>1092</v>
      </c>
    </row>
    <row r="905" spans="7:7">
      <c r="G905" t="s">
        <v>1093</v>
      </c>
    </row>
    <row r="906" spans="7:7">
      <c r="G906" t="s">
        <v>1094</v>
      </c>
    </row>
    <row r="907" spans="7:7">
      <c r="G907" t="s">
        <v>1095</v>
      </c>
    </row>
    <row r="908" spans="7:7">
      <c r="G908" t="s">
        <v>1096</v>
      </c>
    </row>
    <row r="909" spans="7:7">
      <c r="G909" t="s">
        <v>1097</v>
      </c>
    </row>
    <row r="910" spans="7:7">
      <c r="G910" t="s">
        <v>1098</v>
      </c>
    </row>
    <row r="911" spans="7:7">
      <c r="G911" t="s">
        <v>1099</v>
      </c>
    </row>
    <row r="912" spans="7:7">
      <c r="G912" t="s">
        <v>1100</v>
      </c>
    </row>
    <row r="913" spans="7:7">
      <c r="G913" t="s">
        <v>1101</v>
      </c>
    </row>
    <row r="914" spans="7:7">
      <c r="G914" t="s">
        <v>1102</v>
      </c>
    </row>
    <row r="915" spans="7:7">
      <c r="G915" t="s">
        <v>1103</v>
      </c>
    </row>
    <row r="916" spans="7:7">
      <c r="G916" t="s">
        <v>1104</v>
      </c>
    </row>
    <row r="917" spans="7:7">
      <c r="G917" t="s">
        <v>1105</v>
      </c>
    </row>
    <row r="918" spans="7:7">
      <c r="G918" t="s">
        <v>1106</v>
      </c>
    </row>
    <row r="919" spans="7:7">
      <c r="G919" t="s">
        <v>1107</v>
      </c>
    </row>
    <row r="920" spans="7:7">
      <c r="G920" t="s">
        <v>1108</v>
      </c>
    </row>
    <row r="921" spans="7:7">
      <c r="G921" t="s">
        <v>1109</v>
      </c>
    </row>
    <row r="922" spans="7:7">
      <c r="G922" t="s">
        <v>1110</v>
      </c>
    </row>
    <row r="923" spans="7:7">
      <c r="G923" t="s">
        <v>1111</v>
      </c>
    </row>
    <row r="924" spans="7:7">
      <c r="G924" t="s">
        <v>1112</v>
      </c>
    </row>
    <row r="925" spans="7:7">
      <c r="G925" t="s">
        <v>1113</v>
      </c>
    </row>
    <row r="926" spans="7:7">
      <c r="G926" t="s">
        <v>1114</v>
      </c>
    </row>
    <row r="927" spans="7:7">
      <c r="G927" t="s">
        <v>1115</v>
      </c>
    </row>
    <row r="928" spans="7:7">
      <c r="G928" t="s">
        <v>1116</v>
      </c>
    </row>
    <row r="929" spans="7:7">
      <c r="G929" t="s">
        <v>1117</v>
      </c>
    </row>
    <row r="930" spans="7:7">
      <c r="G930" t="s">
        <v>1118</v>
      </c>
    </row>
    <row r="931" spans="7:7">
      <c r="G931" t="s">
        <v>1119</v>
      </c>
    </row>
    <row r="932" spans="7:7">
      <c r="G932" t="s">
        <v>1120</v>
      </c>
    </row>
    <row r="933" spans="7:7">
      <c r="G933" t="s">
        <v>1121</v>
      </c>
    </row>
    <row r="934" spans="7:7">
      <c r="G934" t="s">
        <v>1122</v>
      </c>
    </row>
    <row r="935" spans="7:7">
      <c r="G935" t="s">
        <v>1123</v>
      </c>
    </row>
    <row r="936" spans="7:7">
      <c r="G936" t="s">
        <v>1124</v>
      </c>
    </row>
    <row r="937" spans="7:7">
      <c r="G937" t="s">
        <v>1125</v>
      </c>
    </row>
    <row r="938" spans="7:7">
      <c r="G938" t="s">
        <v>1126</v>
      </c>
    </row>
    <row r="939" spans="7:7">
      <c r="G939" t="s">
        <v>1127</v>
      </c>
    </row>
    <row r="940" spans="7:7">
      <c r="G940" t="s">
        <v>1128</v>
      </c>
    </row>
    <row r="941" spans="7:7">
      <c r="G941" t="s">
        <v>1129</v>
      </c>
    </row>
    <row r="942" spans="7:7">
      <c r="G942" t="s">
        <v>1130</v>
      </c>
    </row>
    <row r="943" spans="7:7">
      <c r="G943" t="s">
        <v>1131</v>
      </c>
    </row>
    <row r="944" spans="7:7">
      <c r="G944" t="s">
        <v>1132</v>
      </c>
    </row>
    <row r="945" spans="7:7">
      <c r="G945" t="s">
        <v>1133</v>
      </c>
    </row>
    <row r="946" spans="7:7">
      <c r="G946" t="s">
        <v>1134</v>
      </c>
    </row>
    <row r="947" spans="7:7">
      <c r="G947" t="s">
        <v>1135</v>
      </c>
    </row>
    <row r="948" spans="7:7">
      <c r="G948" t="s">
        <v>1136</v>
      </c>
    </row>
    <row r="949" spans="7:7">
      <c r="G949" t="s">
        <v>1137</v>
      </c>
    </row>
    <row r="950" spans="7:7">
      <c r="G950" t="s">
        <v>1138</v>
      </c>
    </row>
    <row r="951" spans="7:7">
      <c r="G951" t="s">
        <v>1139</v>
      </c>
    </row>
    <row r="952" spans="7:7">
      <c r="G952" t="s">
        <v>1140</v>
      </c>
    </row>
    <row r="953" spans="7:7">
      <c r="G953" t="s">
        <v>1141</v>
      </c>
    </row>
    <row r="954" spans="7:7">
      <c r="G954" t="s">
        <v>1142</v>
      </c>
    </row>
    <row r="955" spans="7:7">
      <c r="G955" t="s">
        <v>1143</v>
      </c>
    </row>
    <row r="956" spans="7:7">
      <c r="G956" t="s">
        <v>1144</v>
      </c>
    </row>
    <row r="957" spans="7:7">
      <c r="G957" t="s">
        <v>1145</v>
      </c>
    </row>
    <row r="958" spans="7:7">
      <c r="G958" t="s">
        <v>1146</v>
      </c>
    </row>
    <row r="959" spans="7:7">
      <c r="G959" t="s">
        <v>1147</v>
      </c>
    </row>
    <row r="960" spans="7:7">
      <c r="G960" t="s">
        <v>1148</v>
      </c>
    </row>
    <row r="961" spans="7:7">
      <c r="G961" t="s">
        <v>1149</v>
      </c>
    </row>
    <row r="962" spans="7:7">
      <c r="G962" t="s">
        <v>1150</v>
      </c>
    </row>
    <row r="963" spans="7:7">
      <c r="G963" t="s">
        <v>1151</v>
      </c>
    </row>
    <row r="964" spans="7:7">
      <c r="G964" t="s">
        <v>1152</v>
      </c>
    </row>
    <row r="965" spans="7:7">
      <c r="G965" t="s">
        <v>1153</v>
      </c>
    </row>
    <row r="966" spans="7:7">
      <c r="G966" t="s">
        <v>1154</v>
      </c>
    </row>
    <row r="967" spans="7:7">
      <c r="G967" t="s">
        <v>1155</v>
      </c>
    </row>
    <row r="968" spans="7:7">
      <c r="G968" t="s">
        <v>1156</v>
      </c>
    </row>
    <row r="969" spans="7:7">
      <c r="G969" t="s">
        <v>1157</v>
      </c>
    </row>
    <row r="970" spans="7:7">
      <c r="G970" t="s">
        <v>1158</v>
      </c>
    </row>
    <row r="971" spans="7:7">
      <c r="G971" t="s">
        <v>1159</v>
      </c>
    </row>
    <row r="972" spans="7:7">
      <c r="G972" t="s">
        <v>1160</v>
      </c>
    </row>
    <row r="973" spans="7:7">
      <c r="G973" t="s">
        <v>1161</v>
      </c>
    </row>
    <row r="974" spans="7:7">
      <c r="G974" t="s">
        <v>1162</v>
      </c>
    </row>
    <row r="975" spans="7:7">
      <c r="G975" t="s">
        <v>1163</v>
      </c>
    </row>
    <row r="976" spans="7:7">
      <c r="G976" t="s">
        <v>1164</v>
      </c>
    </row>
    <row r="977" spans="7:7">
      <c r="G977" t="s">
        <v>1165</v>
      </c>
    </row>
    <row r="978" spans="7:7">
      <c r="G978" t="s">
        <v>1166</v>
      </c>
    </row>
    <row r="979" spans="7:7">
      <c r="G979" t="s">
        <v>1167</v>
      </c>
    </row>
    <row r="980" spans="7:7">
      <c r="G980" t="s">
        <v>1168</v>
      </c>
    </row>
    <row r="981" spans="7:7">
      <c r="G981" t="s">
        <v>1169</v>
      </c>
    </row>
    <row r="982" spans="7:7">
      <c r="G982" t="s">
        <v>1170</v>
      </c>
    </row>
    <row r="983" spans="7:7">
      <c r="G983" t="s">
        <v>1171</v>
      </c>
    </row>
    <row r="984" spans="7:7">
      <c r="G984" t="s">
        <v>1172</v>
      </c>
    </row>
    <row r="985" spans="7:7">
      <c r="G985" t="s">
        <v>1173</v>
      </c>
    </row>
    <row r="986" spans="7:7">
      <c r="G986" t="s">
        <v>1174</v>
      </c>
    </row>
    <row r="987" spans="7:7">
      <c r="G987" t="s">
        <v>1175</v>
      </c>
    </row>
    <row r="988" spans="7:7">
      <c r="G988" t="s">
        <v>1176</v>
      </c>
    </row>
    <row r="989" spans="7:7">
      <c r="G989" t="s">
        <v>1177</v>
      </c>
    </row>
    <row r="990" spans="7:7">
      <c r="G990" t="s">
        <v>1178</v>
      </c>
    </row>
    <row r="991" spans="7:7">
      <c r="G991" t="s">
        <v>1179</v>
      </c>
    </row>
    <row r="992" spans="7:7">
      <c r="G992" t="s">
        <v>1180</v>
      </c>
    </row>
    <row r="993" spans="7:7">
      <c r="G993" t="s">
        <v>1181</v>
      </c>
    </row>
    <row r="994" spans="7:7">
      <c r="G994" t="s">
        <v>1182</v>
      </c>
    </row>
    <row r="995" spans="7:7">
      <c r="G995" t="s">
        <v>1183</v>
      </c>
    </row>
    <row r="996" spans="7:7">
      <c r="G996" t="s">
        <v>1184</v>
      </c>
    </row>
    <row r="997" spans="7:7">
      <c r="G997" t="s">
        <v>1185</v>
      </c>
    </row>
    <row r="998" spans="7:7">
      <c r="G998" t="s">
        <v>1186</v>
      </c>
    </row>
    <row r="999" spans="7:7">
      <c r="G999" t="s">
        <v>1187</v>
      </c>
    </row>
    <row r="1000" spans="7:7">
      <c r="G1000" t="s">
        <v>1188</v>
      </c>
    </row>
    <row r="1001" spans="7:7">
      <c r="G1001" t="s">
        <v>1189</v>
      </c>
    </row>
    <row r="1002" spans="7:7">
      <c r="G1002" t="s">
        <v>1190</v>
      </c>
    </row>
    <row r="1003" spans="7:7">
      <c r="G1003" t="s">
        <v>1191</v>
      </c>
    </row>
    <row r="1004" spans="7:7">
      <c r="G1004" t="s">
        <v>1192</v>
      </c>
    </row>
    <row r="1005" spans="7:7">
      <c r="G1005" t="s">
        <v>1193</v>
      </c>
    </row>
    <row r="1006" spans="7:7">
      <c r="G1006" t="s">
        <v>1194</v>
      </c>
    </row>
    <row r="1007" spans="7:7">
      <c r="G1007" t="s">
        <v>1195</v>
      </c>
    </row>
    <row r="1008" spans="7:7">
      <c r="G1008" t="s">
        <v>1196</v>
      </c>
    </row>
    <row r="1009" spans="7:7">
      <c r="G1009" t="s">
        <v>1197</v>
      </c>
    </row>
    <row r="1010" spans="7:7">
      <c r="G1010" t="s">
        <v>1198</v>
      </c>
    </row>
    <row r="1011" spans="7:7">
      <c r="G1011" t="s">
        <v>1199</v>
      </c>
    </row>
    <row r="1012" spans="7:7">
      <c r="G1012" t="s">
        <v>1200</v>
      </c>
    </row>
    <row r="1013" spans="7:7">
      <c r="G1013" t="s">
        <v>1201</v>
      </c>
    </row>
    <row r="1014" spans="7:7">
      <c r="G1014" t="s">
        <v>1202</v>
      </c>
    </row>
    <row r="1015" spans="7:7">
      <c r="G1015" t="s">
        <v>1203</v>
      </c>
    </row>
    <row r="1016" spans="7:7">
      <c r="G1016" t="s">
        <v>1204</v>
      </c>
    </row>
    <row r="1017" spans="7:7">
      <c r="G1017" t="s">
        <v>1205</v>
      </c>
    </row>
    <row r="1018" spans="7:7">
      <c r="G1018" t="s">
        <v>1206</v>
      </c>
    </row>
    <row r="1019" spans="7:7">
      <c r="G1019" t="s">
        <v>1207</v>
      </c>
    </row>
    <row r="1020" spans="7:7">
      <c r="G1020" t="s">
        <v>1208</v>
      </c>
    </row>
    <row r="1021" spans="7:7">
      <c r="G1021" t="s">
        <v>1209</v>
      </c>
    </row>
    <row r="1022" spans="7:7">
      <c r="G1022" t="s">
        <v>1210</v>
      </c>
    </row>
    <row r="1023" spans="7:7">
      <c r="G1023" t="s">
        <v>1211</v>
      </c>
    </row>
    <row r="1024" spans="7:7">
      <c r="G1024" t="s">
        <v>1212</v>
      </c>
    </row>
    <row r="1025" spans="7:7">
      <c r="G1025" t="s">
        <v>1213</v>
      </c>
    </row>
    <row r="1026" spans="7:7">
      <c r="G1026" t="s">
        <v>1214</v>
      </c>
    </row>
    <row r="1027" spans="7:7">
      <c r="G1027" t="s">
        <v>1215</v>
      </c>
    </row>
    <row r="1028" spans="7:7">
      <c r="G1028" t="s">
        <v>1216</v>
      </c>
    </row>
    <row r="1029" spans="7:7">
      <c r="G1029" t="s">
        <v>1217</v>
      </c>
    </row>
    <row r="1030" spans="7:7">
      <c r="G1030" t="s">
        <v>1218</v>
      </c>
    </row>
    <row r="1031" spans="7:7">
      <c r="G1031" t="s">
        <v>1219</v>
      </c>
    </row>
    <row r="1032" spans="7:7">
      <c r="G1032" t="s">
        <v>1220</v>
      </c>
    </row>
    <row r="1033" spans="7:7">
      <c r="G1033" t="s">
        <v>1221</v>
      </c>
    </row>
    <row r="1034" spans="7:7">
      <c r="G1034" t="s">
        <v>1222</v>
      </c>
    </row>
    <row r="1035" spans="7:7">
      <c r="G1035" t="s">
        <v>1223</v>
      </c>
    </row>
    <row r="1036" spans="7:7">
      <c r="G1036" t="s">
        <v>1224</v>
      </c>
    </row>
    <row r="1037" spans="7:7">
      <c r="G1037" t="s">
        <v>1225</v>
      </c>
    </row>
    <row r="1038" spans="7:7">
      <c r="G1038" t="s">
        <v>1226</v>
      </c>
    </row>
    <row r="1039" spans="7:7">
      <c r="G1039" t="s">
        <v>1227</v>
      </c>
    </row>
    <row r="1040" spans="7:7">
      <c r="G1040" t="s">
        <v>1228</v>
      </c>
    </row>
    <row r="1041" spans="7:7">
      <c r="G1041" t="s">
        <v>1229</v>
      </c>
    </row>
    <row r="1042" spans="7:7">
      <c r="G1042" t="s">
        <v>1230</v>
      </c>
    </row>
    <row r="1043" spans="7:7">
      <c r="G1043" t="s">
        <v>1231</v>
      </c>
    </row>
    <row r="1044" spans="7:7">
      <c r="G1044" t="s">
        <v>1232</v>
      </c>
    </row>
    <row r="1045" spans="7:7">
      <c r="G1045" t="s">
        <v>1233</v>
      </c>
    </row>
    <row r="1046" spans="7:7">
      <c r="G1046" t="s">
        <v>1234</v>
      </c>
    </row>
    <row r="1047" spans="7:7">
      <c r="G1047" t="s">
        <v>1235</v>
      </c>
    </row>
    <row r="1048" spans="7:7">
      <c r="G1048" t="s">
        <v>1236</v>
      </c>
    </row>
    <row r="1049" spans="7:7">
      <c r="G1049" t="s">
        <v>1237</v>
      </c>
    </row>
    <row r="1050" spans="7:7">
      <c r="G1050" t="s">
        <v>1238</v>
      </c>
    </row>
    <row r="1051" spans="7:7">
      <c r="G1051" t="s">
        <v>1239</v>
      </c>
    </row>
    <row r="1052" spans="7:7">
      <c r="G1052" t="s">
        <v>1240</v>
      </c>
    </row>
    <row r="1053" spans="7:7">
      <c r="G1053" t="s">
        <v>1241</v>
      </c>
    </row>
    <row r="1054" spans="7:7">
      <c r="G1054" t="s">
        <v>1242</v>
      </c>
    </row>
    <row r="1055" spans="7:7">
      <c r="G1055" t="s">
        <v>1243</v>
      </c>
    </row>
    <row r="1056" spans="7:7">
      <c r="G1056" t="s">
        <v>1244</v>
      </c>
    </row>
    <row r="1057" spans="7:7">
      <c r="G1057" t="s">
        <v>1245</v>
      </c>
    </row>
    <row r="1058" spans="7:7">
      <c r="G1058" t="s">
        <v>1246</v>
      </c>
    </row>
    <row r="1059" spans="7:7">
      <c r="G1059" t="s">
        <v>1247</v>
      </c>
    </row>
    <row r="1060" spans="7:7">
      <c r="G1060" t="s">
        <v>1248</v>
      </c>
    </row>
    <row r="1061" spans="7:7">
      <c r="G1061" t="s">
        <v>1249</v>
      </c>
    </row>
    <row r="1062" spans="7:7">
      <c r="G1062" t="s">
        <v>1250</v>
      </c>
    </row>
    <row r="1063" spans="7:7">
      <c r="G1063" t="s">
        <v>1251</v>
      </c>
    </row>
    <row r="1064" spans="7:7">
      <c r="G1064" t="s">
        <v>1252</v>
      </c>
    </row>
    <row r="1065" spans="7:7">
      <c r="G1065" t="s">
        <v>1253</v>
      </c>
    </row>
    <row r="1066" spans="7:7">
      <c r="G1066" t="s">
        <v>1254</v>
      </c>
    </row>
    <row r="1067" spans="7:7">
      <c r="G1067" t="s">
        <v>1255</v>
      </c>
    </row>
    <row r="1068" spans="7:7">
      <c r="G1068" t="s">
        <v>1256</v>
      </c>
    </row>
    <row r="1069" spans="7:7">
      <c r="G1069" t="s">
        <v>1257</v>
      </c>
    </row>
    <row r="1070" spans="7:7">
      <c r="G1070" t="s">
        <v>1258</v>
      </c>
    </row>
    <row r="1071" spans="7:7">
      <c r="G1071" t="s">
        <v>1259</v>
      </c>
    </row>
    <row r="1072" spans="7:7">
      <c r="G1072" t="s">
        <v>1260</v>
      </c>
    </row>
    <row r="1073" spans="7:7">
      <c r="G1073" t="s">
        <v>1261</v>
      </c>
    </row>
    <row r="1074" spans="7:7">
      <c r="G1074" t="s">
        <v>1262</v>
      </c>
    </row>
    <row r="1075" spans="7:7">
      <c r="G1075" t="s">
        <v>1263</v>
      </c>
    </row>
    <row r="1076" spans="7:7">
      <c r="G1076" t="s">
        <v>1264</v>
      </c>
    </row>
    <row r="1077" spans="7:7">
      <c r="G1077" t="s">
        <v>1265</v>
      </c>
    </row>
    <row r="1078" spans="7:7">
      <c r="G1078" t="s">
        <v>1266</v>
      </c>
    </row>
    <row r="1079" spans="7:7">
      <c r="G1079" t="s">
        <v>1267</v>
      </c>
    </row>
    <row r="1080" spans="7:7">
      <c r="G1080" t="s">
        <v>1268</v>
      </c>
    </row>
    <row r="1081" spans="7:7">
      <c r="G1081" t="s">
        <v>1269</v>
      </c>
    </row>
    <row r="1082" spans="7:7">
      <c r="G1082" t="s">
        <v>1270</v>
      </c>
    </row>
    <row r="1083" spans="7:7">
      <c r="G1083" t="s">
        <v>1271</v>
      </c>
    </row>
    <row r="1084" spans="7:7">
      <c r="G1084" t="s">
        <v>1272</v>
      </c>
    </row>
    <row r="1085" spans="7:7">
      <c r="G1085" t="s">
        <v>1273</v>
      </c>
    </row>
    <row r="1086" spans="7:7">
      <c r="G1086" t="s">
        <v>1274</v>
      </c>
    </row>
    <row r="1087" spans="7:7">
      <c r="G1087" t="s">
        <v>1275</v>
      </c>
    </row>
    <row r="1088" spans="7:7">
      <c r="G1088" t="s">
        <v>1276</v>
      </c>
    </row>
    <row r="1089" spans="7:7">
      <c r="G1089" t="s">
        <v>1277</v>
      </c>
    </row>
    <row r="1090" spans="7:7">
      <c r="G1090" t="s">
        <v>1278</v>
      </c>
    </row>
    <row r="1091" spans="7:7">
      <c r="G1091" t="s">
        <v>1279</v>
      </c>
    </row>
    <row r="1092" spans="7:7">
      <c r="G1092" t="s">
        <v>1280</v>
      </c>
    </row>
    <row r="1093" spans="7:7">
      <c r="G1093" t="s">
        <v>1281</v>
      </c>
    </row>
    <row r="1094" spans="7:7">
      <c r="G1094" t="s">
        <v>1282</v>
      </c>
    </row>
    <row r="1095" spans="7:7">
      <c r="G1095" t="s">
        <v>1283</v>
      </c>
    </row>
    <row r="1096" spans="7:7">
      <c r="G1096" t="s">
        <v>1284</v>
      </c>
    </row>
    <row r="1097" spans="7:7">
      <c r="G1097" t="s">
        <v>1285</v>
      </c>
    </row>
    <row r="1098" spans="7:7">
      <c r="G1098" t="s">
        <v>1286</v>
      </c>
    </row>
    <row r="1099" spans="7:7">
      <c r="G1099" t="s">
        <v>1287</v>
      </c>
    </row>
    <row r="1100" spans="7:7">
      <c r="G1100" t="s">
        <v>1288</v>
      </c>
    </row>
    <row r="1101" spans="7:7">
      <c r="G1101" t="s">
        <v>1289</v>
      </c>
    </row>
    <row r="1102" spans="7:7">
      <c r="G1102" t="s">
        <v>1290</v>
      </c>
    </row>
    <row r="1103" spans="7:7">
      <c r="G1103" t="s">
        <v>1291</v>
      </c>
    </row>
    <row r="1104" spans="7:7">
      <c r="G1104" t="s">
        <v>1292</v>
      </c>
    </row>
    <row r="1105" spans="7:7">
      <c r="G1105" t="s">
        <v>1293</v>
      </c>
    </row>
    <row r="1106" spans="7:7">
      <c r="G1106" t="s">
        <v>1294</v>
      </c>
    </row>
    <row r="1107" spans="7:7">
      <c r="G1107" t="s">
        <v>1295</v>
      </c>
    </row>
    <row r="1108" spans="7:7">
      <c r="G1108" t="s">
        <v>1296</v>
      </c>
    </row>
    <row r="1109" spans="7:7">
      <c r="G1109" t="s">
        <v>1297</v>
      </c>
    </row>
    <row r="1110" spans="7:7">
      <c r="G1110" t="s">
        <v>1298</v>
      </c>
    </row>
    <row r="1111" spans="7:7">
      <c r="G1111" t="s">
        <v>1299</v>
      </c>
    </row>
    <row r="1112" spans="7:7">
      <c r="G1112" t="s">
        <v>1300</v>
      </c>
    </row>
    <row r="1113" spans="7:7">
      <c r="G1113" t="s">
        <v>1301</v>
      </c>
    </row>
    <row r="1114" spans="7:7">
      <c r="G1114" t="s">
        <v>1302</v>
      </c>
    </row>
    <row r="1115" spans="7:7">
      <c r="G1115" t="s">
        <v>1303</v>
      </c>
    </row>
    <row r="1116" spans="7:7">
      <c r="G1116" t="s">
        <v>1304</v>
      </c>
    </row>
    <row r="1117" spans="7:7">
      <c r="G1117" t="s">
        <v>1305</v>
      </c>
    </row>
    <row r="1118" spans="7:7">
      <c r="G1118" t="s">
        <v>1306</v>
      </c>
    </row>
    <row r="1119" spans="7:7">
      <c r="G1119" t="s">
        <v>1307</v>
      </c>
    </row>
    <row r="1120" spans="7:7">
      <c r="G1120" t="s">
        <v>1308</v>
      </c>
    </row>
    <row r="1121" spans="7:7">
      <c r="G1121" t="s">
        <v>1309</v>
      </c>
    </row>
    <row r="1122" spans="7:7">
      <c r="G1122" t="s">
        <v>1310</v>
      </c>
    </row>
    <row r="1123" spans="7:7">
      <c r="G1123" t="s">
        <v>1311</v>
      </c>
    </row>
    <row r="1124" spans="7:7">
      <c r="G1124" t="s">
        <v>1312</v>
      </c>
    </row>
    <row r="1125" spans="7:7">
      <c r="G1125" t="s">
        <v>1313</v>
      </c>
    </row>
    <row r="1126" spans="7:7">
      <c r="G1126" t="s">
        <v>1314</v>
      </c>
    </row>
    <row r="1127" spans="7:7">
      <c r="G1127" t="s">
        <v>1315</v>
      </c>
    </row>
    <row r="1128" spans="7:7">
      <c r="G1128" t="s">
        <v>1316</v>
      </c>
    </row>
    <row r="1129" spans="7:7">
      <c r="G1129" t="s">
        <v>1317</v>
      </c>
    </row>
    <row r="1130" spans="7:7">
      <c r="G1130" t="s">
        <v>1318</v>
      </c>
    </row>
    <row r="1131" spans="7:7">
      <c r="G1131" t="s">
        <v>1319</v>
      </c>
    </row>
    <row r="1132" spans="7:7">
      <c r="G1132" t="s">
        <v>1320</v>
      </c>
    </row>
    <row r="1133" spans="7:7">
      <c r="G1133" t="s">
        <v>1321</v>
      </c>
    </row>
    <row r="1134" spans="7:7">
      <c r="G1134" t="s">
        <v>1322</v>
      </c>
    </row>
    <row r="1135" spans="7:7">
      <c r="G1135" t="s">
        <v>1323</v>
      </c>
    </row>
    <row r="1136" spans="7:7">
      <c r="G1136" t="s">
        <v>1324</v>
      </c>
    </row>
    <row r="1137" spans="7:7">
      <c r="G1137" t="s">
        <v>1325</v>
      </c>
    </row>
    <row r="1138" spans="7:7">
      <c r="G1138" t="s">
        <v>1326</v>
      </c>
    </row>
    <row r="1139" spans="7:7">
      <c r="G1139" t="s">
        <v>1327</v>
      </c>
    </row>
    <row r="1140" spans="7:7">
      <c r="G1140" t="s">
        <v>1328</v>
      </c>
    </row>
    <row r="1141" spans="7:7">
      <c r="G1141" t="s">
        <v>1329</v>
      </c>
    </row>
    <row r="1142" spans="7:7">
      <c r="G1142" t="s">
        <v>1330</v>
      </c>
    </row>
    <row r="1143" spans="7:7">
      <c r="G1143" t="s">
        <v>1331</v>
      </c>
    </row>
    <row r="1144" spans="7:7">
      <c r="G1144" t="s">
        <v>1332</v>
      </c>
    </row>
    <row r="1145" spans="7:7">
      <c r="G1145" t="s">
        <v>1333</v>
      </c>
    </row>
    <row r="1146" spans="7:7">
      <c r="G1146" t="s">
        <v>1334</v>
      </c>
    </row>
    <row r="1147" spans="7:7">
      <c r="G1147" t="s">
        <v>1335</v>
      </c>
    </row>
    <row r="1148" spans="7:7">
      <c r="G1148" t="s">
        <v>1336</v>
      </c>
    </row>
    <row r="1149" spans="7:7">
      <c r="G1149" t="s">
        <v>1337</v>
      </c>
    </row>
    <row r="1150" spans="7:7">
      <c r="G1150" t="s">
        <v>1338</v>
      </c>
    </row>
    <row r="1151" spans="7:7">
      <c r="G1151" t="s">
        <v>1339</v>
      </c>
    </row>
    <row r="1152" spans="7:7">
      <c r="G1152" t="s">
        <v>1340</v>
      </c>
    </row>
    <row r="1153" spans="7:7">
      <c r="G1153" t="s">
        <v>1341</v>
      </c>
    </row>
    <row r="1154" spans="7:7">
      <c r="G1154" t="s">
        <v>1342</v>
      </c>
    </row>
    <row r="1155" spans="7:7">
      <c r="G1155" t="s">
        <v>1343</v>
      </c>
    </row>
    <row r="1156" spans="7:7">
      <c r="G1156" t="s">
        <v>1344</v>
      </c>
    </row>
    <row r="1157" spans="7:7">
      <c r="G1157" t="s">
        <v>1345</v>
      </c>
    </row>
    <row r="1158" spans="7:7">
      <c r="G1158" t="s">
        <v>1346</v>
      </c>
    </row>
    <row r="1159" spans="7:7">
      <c r="G1159" t="s">
        <v>1347</v>
      </c>
    </row>
    <row r="1160" spans="7:7">
      <c r="G1160" t="s">
        <v>1348</v>
      </c>
    </row>
    <row r="1161" spans="7:7">
      <c r="G1161" t="s">
        <v>1349</v>
      </c>
    </row>
    <row r="1162" spans="7:7">
      <c r="G1162" t="s">
        <v>1350</v>
      </c>
    </row>
    <row r="1163" spans="7:7">
      <c r="G1163" t="s">
        <v>1351</v>
      </c>
    </row>
    <row r="1164" spans="7:7">
      <c r="G1164" t="s">
        <v>1352</v>
      </c>
    </row>
    <row r="1165" spans="7:7">
      <c r="G1165" t="s">
        <v>1353</v>
      </c>
    </row>
    <row r="1166" spans="7:7">
      <c r="G1166" t="s">
        <v>1354</v>
      </c>
    </row>
    <row r="1167" spans="7:7">
      <c r="G1167" t="s">
        <v>1355</v>
      </c>
    </row>
    <row r="1168" spans="7:7">
      <c r="G1168" t="s">
        <v>1356</v>
      </c>
    </row>
    <row r="1169" spans="7:7">
      <c r="G1169" t="s">
        <v>1357</v>
      </c>
    </row>
    <row r="1170" spans="7:7">
      <c r="G1170" t="s">
        <v>1358</v>
      </c>
    </row>
    <row r="1171" spans="7:7">
      <c r="G1171" t="s">
        <v>1359</v>
      </c>
    </row>
    <row r="1172" spans="7:7">
      <c r="G1172" t="s">
        <v>1360</v>
      </c>
    </row>
    <row r="1173" spans="7:7">
      <c r="G1173" t="s">
        <v>1361</v>
      </c>
    </row>
    <row r="1174" spans="7:7">
      <c r="G1174" t="s">
        <v>1362</v>
      </c>
    </row>
    <row r="1175" spans="7:7">
      <c r="G1175" t="s">
        <v>1363</v>
      </c>
    </row>
    <row r="1176" spans="7:7">
      <c r="G1176" t="s">
        <v>1364</v>
      </c>
    </row>
    <row r="1177" spans="7:7">
      <c r="G1177" t="s">
        <v>1365</v>
      </c>
    </row>
    <row r="1178" spans="7:7">
      <c r="G1178" t="s">
        <v>1366</v>
      </c>
    </row>
    <row r="1179" spans="7:7">
      <c r="G1179" t="s">
        <v>1367</v>
      </c>
    </row>
    <row r="1180" spans="7:7">
      <c r="G1180" t="s">
        <v>1368</v>
      </c>
    </row>
    <row r="1181" spans="7:7">
      <c r="G1181" t="s">
        <v>1369</v>
      </c>
    </row>
    <row r="1182" spans="7:7">
      <c r="G1182" t="s">
        <v>1370</v>
      </c>
    </row>
    <row r="1183" spans="7:7">
      <c r="G1183" t="s">
        <v>1371</v>
      </c>
    </row>
    <row r="1184" spans="7:7">
      <c r="G1184" t="s">
        <v>1372</v>
      </c>
    </row>
    <row r="1185" spans="7:7">
      <c r="G1185" t="s">
        <v>1373</v>
      </c>
    </row>
    <row r="1186" spans="7:7">
      <c r="G1186" t="s">
        <v>1374</v>
      </c>
    </row>
    <row r="1187" spans="7:7">
      <c r="G1187" t="s">
        <v>1375</v>
      </c>
    </row>
    <row r="1188" spans="7:7">
      <c r="G1188" t="s">
        <v>1376</v>
      </c>
    </row>
    <row r="1189" spans="7:7">
      <c r="G1189" t="s">
        <v>1377</v>
      </c>
    </row>
    <row r="1190" spans="7:7">
      <c r="G1190" t="s">
        <v>1378</v>
      </c>
    </row>
    <row r="1191" spans="7:7">
      <c r="G1191" t="s">
        <v>1379</v>
      </c>
    </row>
    <row r="1192" spans="7:7">
      <c r="G1192" t="s">
        <v>1380</v>
      </c>
    </row>
    <row r="1193" spans="7:7">
      <c r="G1193" t="s">
        <v>1381</v>
      </c>
    </row>
    <row r="1194" spans="7:7">
      <c r="G1194" t="s">
        <v>1382</v>
      </c>
    </row>
    <row r="1195" spans="7:7">
      <c r="G1195" t="s">
        <v>1383</v>
      </c>
    </row>
    <row r="1196" spans="7:7">
      <c r="G1196" t="s">
        <v>1384</v>
      </c>
    </row>
    <row r="1197" spans="7:7">
      <c r="G1197" t="s">
        <v>1385</v>
      </c>
    </row>
    <row r="1198" spans="7:7">
      <c r="G1198" t="s">
        <v>1386</v>
      </c>
    </row>
    <row r="1199" spans="7:7">
      <c r="G1199" t="s">
        <v>1387</v>
      </c>
    </row>
    <row r="1200" spans="7:7">
      <c r="G1200" t="s">
        <v>1388</v>
      </c>
    </row>
    <row r="1201" spans="7:7">
      <c r="G1201" t="s">
        <v>1389</v>
      </c>
    </row>
    <row r="1202" spans="7:7">
      <c r="G1202" t="s">
        <v>1390</v>
      </c>
    </row>
    <row r="1203" spans="7:7">
      <c r="G1203" t="s">
        <v>1391</v>
      </c>
    </row>
    <row r="1204" spans="7:7">
      <c r="G1204" t="s">
        <v>1392</v>
      </c>
    </row>
    <row r="1205" spans="7:7">
      <c r="G1205" t="s">
        <v>1393</v>
      </c>
    </row>
    <row r="1206" spans="7:7">
      <c r="G1206" t="s">
        <v>1394</v>
      </c>
    </row>
    <row r="1207" spans="7:7">
      <c r="G1207" t="s">
        <v>1395</v>
      </c>
    </row>
    <row r="1208" spans="7:7">
      <c r="G1208" t="s">
        <v>1396</v>
      </c>
    </row>
    <row r="1209" spans="7:7">
      <c r="G1209" t="s">
        <v>1397</v>
      </c>
    </row>
    <row r="1210" spans="7:7">
      <c r="G1210" t="s">
        <v>1398</v>
      </c>
    </row>
    <row r="1211" spans="7:7">
      <c r="G1211" t="s">
        <v>1399</v>
      </c>
    </row>
    <row r="1212" spans="7:7">
      <c r="G1212" t="s">
        <v>1400</v>
      </c>
    </row>
    <row r="1213" spans="7:7">
      <c r="G1213" t="s">
        <v>1401</v>
      </c>
    </row>
    <row r="1214" spans="7:7">
      <c r="G1214" t="s">
        <v>1402</v>
      </c>
    </row>
    <row r="1215" spans="7:7">
      <c r="G1215" t="s">
        <v>1403</v>
      </c>
    </row>
    <row r="1216" spans="7:7">
      <c r="G1216" t="s">
        <v>1404</v>
      </c>
    </row>
    <row r="1217" spans="7:7">
      <c r="G1217" t="s">
        <v>1405</v>
      </c>
    </row>
    <row r="1218" spans="7:7">
      <c r="G1218" t="s">
        <v>1406</v>
      </c>
    </row>
    <row r="1219" spans="7:7">
      <c r="G1219" t="s">
        <v>1407</v>
      </c>
    </row>
    <row r="1220" spans="7:7">
      <c r="G1220" t="s">
        <v>1408</v>
      </c>
    </row>
    <row r="1221" spans="7:7">
      <c r="G1221" t="s">
        <v>1409</v>
      </c>
    </row>
    <row r="1222" spans="7:7">
      <c r="G1222" t="s">
        <v>1410</v>
      </c>
    </row>
    <row r="1223" spans="7:7">
      <c r="G1223" t="s">
        <v>1411</v>
      </c>
    </row>
    <row r="1224" spans="7:7">
      <c r="G1224" t="s">
        <v>1412</v>
      </c>
    </row>
    <row r="1225" spans="7:7">
      <c r="G1225" t="s">
        <v>1413</v>
      </c>
    </row>
    <row r="1226" spans="7:7">
      <c r="G1226" t="s">
        <v>1414</v>
      </c>
    </row>
    <row r="1227" spans="7:7">
      <c r="G1227" t="s">
        <v>1415</v>
      </c>
    </row>
    <row r="1228" spans="7:7">
      <c r="G1228" t="s">
        <v>1416</v>
      </c>
    </row>
    <row r="1229" spans="7:7">
      <c r="G1229" t="s">
        <v>1417</v>
      </c>
    </row>
    <row r="1230" spans="7:7">
      <c r="G1230" t="s">
        <v>1418</v>
      </c>
    </row>
    <row r="1231" spans="7:7">
      <c r="G1231" t="s">
        <v>1419</v>
      </c>
    </row>
    <row r="1232" spans="7:7">
      <c r="G1232" t="s">
        <v>1420</v>
      </c>
    </row>
    <row r="1233" spans="7:7">
      <c r="G1233" t="s">
        <v>1421</v>
      </c>
    </row>
    <row r="1234" spans="7:7">
      <c r="G1234" t="s">
        <v>1422</v>
      </c>
    </row>
    <row r="1235" spans="7:7">
      <c r="G1235" t="s">
        <v>1423</v>
      </c>
    </row>
    <row r="1236" spans="7:7">
      <c r="G1236" t="s">
        <v>1424</v>
      </c>
    </row>
    <row r="1237" spans="7:7">
      <c r="G1237" t="s">
        <v>1425</v>
      </c>
    </row>
    <row r="1238" spans="7:7">
      <c r="G1238" t="s">
        <v>1426</v>
      </c>
    </row>
    <row r="1239" spans="7:7">
      <c r="G1239" t="s">
        <v>1427</v>
      </c>
    </row>
    <row r="1240" spans="7:7">
      <c r="G1240" t="s">
        <v>1428</v>
      </c>
    </row>
    <row r="1241" spans="7:7">
      <c r="G1241" t="s">
        <v>1429</v>
      </c>
    </row>
    <row r="1242" spans="7:7">
      <c r="G1242" t="s">
        <v>1430</v>
      </c>
    </row>
    <row r="1243" spans="7:7">
      <c r="G1243" t="s">
        <v>1431</v>
      </c>
    </row>
    <row r="1244" spans="7:7">
      <c r="G1244" t="s">
        <v>1432</v>
      </c>
    </row>
    <row r="1245" spans="7:7">
      <c r="G1245" t="s">
        <v>1433</v>
      </c>
    </row>
    <row r="1246" spans="7:7">
      <c r="G1246" t="s">
        <v>1434</v>
      </c>
    </row>
    <row r="1247" spans="7:7">
      <c r="G1247" t="s">
        <v>1435</v>
      </c>
    </row>
    <row r="1248" spans="7:7">
      <c r="G1248" t="s">
        <v>1436</v>
      </c>
    </row>
    <row r="1249" spans="7:7">
      <c r="G1249" t="s">
        <v>1437</v>
      </c>
    </row>
    <row r="1250" spans="7:7">
      <c r="G1250" t="s">
        <v>1438</v>
      </c>
    </row>
    <row r="1251" spans="7:7">
      <c r="G1251" t="s">
        <v>1439</v>
      </c>
    </row>
    <row r="1252" spans="7:7">
      <c r="G1252" t="s">
        <v>1440</v>
      </c>
    </row>
    <row r="1253" spans="7:7">
      <c r="G1253" t="s">
        <v>1441</v>
      </c>
    </row>
    <row r="1254" spans="7:7">
      <c r="G1254" t="s">
        <v>1442</v>
      </c>
    </row>
    <row r="1255" spans="7:7">
      <c r="G1255" t="s">
        <v>1443</v>
      </c>
    </row>
    <row r="1256" spans="7:7">
      <c r="G1256" t="s">
        <v>1444</v>
      </c>
    </row>
    <row r="1257" spans="7:7">
      <c r="G1257" t="s">
        <v>1445</v>
      </c>
    </row>
    <row r="1258" spans="7:7">
      <c r="G1258" t="s">
        <v>1446</v>
      </c>
    </row>
    <row r="1259" spans="7:7">
      <c r="G1259" t="s">
        <v>1447</v>
      </c>
    </row>
    <row r="1260" spans="7:7">
      <c r="G1260" t="s">
        <v>1448</v>
      </c>
    </row>
    <row r="1261" spans="7:7">
      <c r="G1261" t="s">
        <v>1449</v>
      </c>
    </row>
    <row r="1262" spans="7:7">
      <c r="G1262" t="s">
        <v>1450</v>
      </c>
    </row>
    <row r="1263" spans="7:7">
      <c r="G1263" t="s">
        <v>1451</v>
      </c>
    </row>
    <row r="1264" spans="7:7">
      <c r="G1264" t="s">
        <v>1452</v>
      </c>
    </row>
    <row r="1265" spans="7:7">
      <c r="G1265" t="s">
        <v>1453</v>
      </c>
    </row>
    <row r="1266" spans="7:7">
      <c r="G1266" t="s">
        <v>1454</v>
      </c>
    </row>
    <row r="1267" spans="7:7">
      <c r="G1267" t="s">
        <v>1455</v>
      </c>
    </row>
    <row r="1268" spans="7:7">
      <c r="G1268" t="s">
        <v>1456</v>
      </c>
    </row>
    <row r="1269" spans="7:7">
      <c r="G1269" t="s">
        <v>1457</v>
      </c>
    </row>
    <row r="1270" spans="7:7">
      <c r="G1270" t="s">
        <v>1458</v>
      </c>
    </row>
    <row r="1271" spans="7:7">
      <c r="G1271" t="s">
        <v>1459</v>
      </c>
    </row>
    <row r="1272" spans="7:7">
      <c r="G1272" t="s">
        <v>1460</v>
      </c>
    </row>
    <row r="1273" spans="7:7">
      <c r="G1273" t="s">
        <v>1461</v>
      </c>
    </row>
    <row r="1274" spans="7:7">
      <c r="G1274" t="s">
        <v>1462</v>
      </c>
    </row>
    <row r="1275" spans="7:7">
      <c r="G1275" t="s">
        <v>1463</v>
      </c>
    </row>
    <row r="1276" spans="7:7">
      <c r="G1276" t="s">
        <v>1464</v>
      </c>
    </row>
    <row r="1277" spans="7:7">
      <c r="G1277" t="s">
        <v>1465</v>
      </c>
    </row>
    <row r="1278" spans="7:7">
      <c r="G1278" t="s">
        <v>1466</v>
      </c>
    </row>
    <row r="1279" spans="7:7">
      <c r="G1279" t="s">
        <v>1467</v>
      </c>
    </row>
    <row r="1280" spans="7:7">
      <c r="G1280" t="s">
        <v>1468</v>
      </c>
    </row>
    <row r="1281" spans="7:7">
      <c r="G1281" t="s">
        <v>1469</v>
      </c>
    </row>
    <row r="1282" spans="7:7">
      <c r="G1282" t="s">
        <v>1470</v>
      </c>
    </row>
    <row r="1283" spans="7:7">
      <c r="G1283" t="s">
        <v>1471</v>
      </c>
    </row>
    <row r="1284" spans="7:7">
      <c r="G1284" t="s">
        <v>1472</v>
      </c>
    </row>
    <row r="1285" spans="7:7">
      <c r="G1285" t="s">
        <v>1473</v>
      </c>
    </row>
    <row r="1286" spans="7:7">
      <c r="G1286" t="s">
        <v>1474</v>
      </c>
    </row>
    <row r="1287" spans="7:7">
      <c r="G1287" t="s">
        <v>1475</v>
      </c>
    </row>
    <row r="1288" spans="7:7">
      <c r="G1288" t="s">
        <v>1476</v>
      </c>
    </row>
    <row r="1289" spans="7:7">
      <c r="G1289" t="s">
        <v>1477</v>
      </c>
    </row>
    <row r="1290" spans="7:7">
      <c r="G1290" t="s">
        <v>1478</v>
      </c>
    </row>
    <row r="1291" spans="7:7">
      <c r="G1291" t="s">
        <v>1479</v>
      </c>
    </row>
    <row r="1292" spans="7:7">
      <c r="G1292" t="s">
        <v>1480</v>
      </c>
    </row>
    <row r="1293" spans="7:7">
      <c r="G1293" t="s">
        <v>1481</v>
      </c>
    </row>
    <row r="1294" spans="7:7">
      <c r="G1294" t="s">
        <v>1482</v>
      </c>
    </row>
    <row r="1295" spans="7:7">
      <c r="G1295" t="s">
        <v>1483</v>
      </c>
    </row>
    <row r="1296" spans="7:7">
      <c r="G1296" t="s">
        <v>1484</v>
      </c>
    </row>
    <row r="1297" spans="7:7">
      <c r="G1297" t="s">
        <v>1485</v>
      </c>
    </row>
    <row r="1298" spans="7:7">
      <c r="G1298" t="s">
        <v>1486</v>
      </c>
    </row>
    <row r="1299" spans="7:7">
      <c r="G1299" t="s">
        <v>1487</v>
      </c>
    </row>
    <row r="1300" spans="7:7">
      <c r="G1300" t="s">
        <v>1488</v>
      </c>
    </row>
    <row r="1301" spans="7:7">
      <c r="G1301" t="s">
        <v>1489</v>
      </c>
    </row>
    <row r="1302" spans="7:7">
      <c r="G1302" t="s">
        <v>1490</v>
      </c>
    </row>
    <row r="1303" spans="7:7">
      <c r="G1303" t="s">
        <v>1491</v>
      </c>
    </row>
    <row r="1304" spans="7:7">
      <c r="G1304" t="s">
        <v>1492</v>
      </c>
    </row>
    <row r="1305" spans="7:7">
      <c r="G1305" t="s">
        <v>1493</v>
      </c>
    </row>
    <row r="1306" spans="7:7">
      <c r="G1306" t="s">
        <v>1494</v>
      </c>
    </row>
    <row r="1307" spans="7:7">
      <c r="G1307" t="s">
        <v>1495</v>
      </c>
    </row>
    <row r="1308" spans="7:7">
      <c r="G1308" t="s">
        <v>1496</v>
      </c>
    </row>
    <row r="1309" spans="7:7">
      <c r="G1309" t="s">
        <v>1497</v>
      </c>
    </row>
    <row r="1310" spans="7:7">
      <c r="G1310" t="s">
        <v>1498</v>
      </c>
    </row>
    <row r="1311" spans="7:7">
      <c r="G1311" t="s">
        <v>1499</v>
      </c>
    </row>
    <row r="1312" spans="7:7">
      <c r="G1312" t="s">
        <v>1500</v>
      </c>
    </row>
    <row r="1313" spans="7:7">
      <c r="G1313" t="s">
        <v>1501</v>
      </c>
    </row>
    <row r="1314" spans="7:7">
      <c r="G1314" t="s">
        <v>1502</v>
      </c>
    </row>
    <row r="1315" spans="7:7">
      <c r="G1315" t="s">
        <v>1503</v>
      </c>
    </row>
    <row r="1316" spans="7:7">
      <c r="G1316" t="s">
        <v>1504</v>
      </c>
    </row>
    <row r="1317" spans="7:7">
      <c r="G1317" t="s">
        <v>1505</v>
      </c>
    </row>
    <row r="1318" spans="7:7">
      <c r="G1318" t="s">
        <v>1506</v>
      </c>
    </row>
    <row r="1319" spans="7:7">
      <c r="G1319" t="s">
        <v>1507</v>
      </c>
    </row>
    <row r="1320" spans="7:7">
      <c r="G1320" t="s">
        <v>1508</v>
      </c>
    </row>
    <row r="1321" spans="7:7">
      <c r="G1321" t="s">
        <v>1509</v>
      </c>
    </row>
    <row r="1322" spans="7:7">
      <c r="G1322" t="s">
        <v>1510</v>
      </c>
    </row>
    <row r="1323" spans="7:7">
      <c r="G1323" t="s">
        <v>1511</v>
      </c>
    </row>
    <row r="1324" spans="7:7">
      <c r="G1324" t="s">
        <v>1512</v>
      </c>
    </row>
    <row r="1325" spans="7:7">
      <c r="G1325" t="s">
        <v>1513</v>
      </c>
    </row>
    <row r="1326" spans="7:7">
      <c r="G1326" t="s">
        <v>1514</v>
      </c>
    </row>
    <row r="1327" spans="7:7">
      <c r="G1327" t="s">
        <v>1515</v>
      </c>
    </row>
    <row r="1328" spans="7:7">
      <c r="G1328" t="s">
        <v>1516</v>
      </c>
    </row>
    <row r="1329" spans="7:7">
      <c r="G1329" t="s">
        <v>1517</v>
      </c>
    </row>
    <row r="1330" spans="7:7">
      <c r="G1330" t="s">
        <v>1518</v>
      </c>
    </row>
    <row r="1331" spans="7:7">
      <c r="G1331" t="s">
        <v>1519</v>
      </c>
    </row>
    <row r="1332" spans="7:7">
      <c r="G1332" t="s">
        <v>1520</v>
      </c>
    </row>
    <row r="1333" spans="7:7">
      <c r="G1333" t="s">
        <v>1521</v>
      </c>
    </row>
    <row r="1334" spans="7:7">
      <c r="G1334" t="s">
        <v>1522</v>
      </c>
    </row>
    <row r="1335" spans="7:7">
      <c r="G1335" t="s">
        <v>1523</v>
      </c>
    </row>
    <row r="1336" spans="7:7">
      <c r="G1336" t="s">
        <v>1524</v>
      </c>
    </row>
    <row r="1337" spans="7:7">
      <c r="G1337" t="s">
        <v>1525</v>
      </c>
    </row>
    <row r="1338" spans="7:7">
      <c r="G1338" t="s">
        <v>1526</v>
      </c>
    </row>
    <row r="1339" spans="7:7">
      <c r="G1339" t="s">
        <v>1527</v>
      </c>
    </row>
    <row r="1340" spans="7:7">
      <c r="G1340" t="s">
        <v>1528</v>
      </c>
    </row>
    <row r="1341" spans="7:7">
      <c r="G1341" t="s">
        <v>1529</v>
      </c>
    </row>
    <row r="1342" spans="7:7">
      <c r="G1342" t="s">
        <v>1530</v>
      </c>
    </row>
    <row r="1343" spans="7:7">
      <c r="G1343" t="s">
        <v>1531</v>
      </c>
    </row>
    <row r="1344" spans="7:7">
      <c r="G1344" t="s">
        <v>1532</v>
      </c>
    </row>
    <row r="1345" spans="7:7">
      <c r="G1345" t="s">
        <v>1533</v>
      </c>
    </row>
    <row r="1346" spans="7:7">
      <c r="G1346" t="s">
        <v>1534</v>
      </c>
    </row>
    <row r="1347" spans="7:7">
      <c r="G1347" t="s">
        <v>1535</v>
      </c>
    </row>
    <row r="1348" spans="7:7">
      <c r="G1348" t="s">
        <v>1536</v>
      </c>
    </row>
    <row r="1349" spans="7:7">
      <c r="G1349" t="s">
        <v>1537</v>
      </c>
    </row>
    <row r="1350" spans="7:7">
      <c r="G1350" t="s">
        <v>1538</v>
      </c>
    </row>
    <row r="1351" spans="7:7">
      <c r="G1351" t="s">
        <v>1539</v>
      </c>
    </row>
    <row r="1352" spans="7:7">
      <c r="G1352" t="s">
        <v>1540</v>
      </c>
    </row>
    <row r="1353" spans="7:7">
      <c r="G1353" t="s">
        <v>1541</v>
      </c>
    </row>
    <row r="1354" spans="7:7">
      <c r="G1354" t="s">
        <v>1542</v>
      </c>
    </row>
    <row r="1355" spans="7:7">
      <c r="G1355" t="s">
        <v>1543</v>
      </c>
    </row>
    <row r="1356" spans="7:7">
      <c r="G1356" t="s">
        <v>1544</v>
      </c>
    </row>
    <row r="1357" spans="7:7">
      <c r="G1357" t="s">
        <v>1545</v>
      </c>
    </row>
    <row r="1358" spans="7:7">
      <c r="G1358" t="s">
        <v>1546</v>
      </c>
    </row>
    <row r="1359" spans="7:7">
      <c r="G1359" t="s">
        <v>1547</v>
      </c>
    </row>
    <row r="1360" spans="7:7">
      <c r="G1360" t="s">
        <v>1548</v>
      </c>
    </row>
    <row r="1361" spans="7:7">
      <c r="G1361" t="s">
        <v>1549</v>
      </c>
    </row>
    <row r="1362" spans="7:7">
      <c r="G1362" t="s">
        <v>1550</v>
      </c>
    </row>
    <row r="1363" spans="7:7">
      <c r="G1363" t="s">
        <v>1551</v>
      </c>
    </row>
    <row r="1364" spans="7:7">
      <c r="G1364" t="s">
        <v>1552</v>
      </c>
    </row>
    <row r="1365" spans="7:7">
      <c r="G1365" t="s">
        <v>1553</v>
      </c>
    </row>
    <row r="1366" spans="7:7">
      <c r="G1366" t="s">
        <v>1554</v>
      </c>
    </row>
    <row r="1367" spans="7:7">
      <c r="G1367" t="s">
        <v>1555</v>
      </c>
    </row>
    <row r="1368" spans="7:7">
      <c r="G1368" t="s">
        <v>1556</v>
      </c>
    </row>
    <row r="1369" spans="7:7">
      <c r="G1369" t="s">
        <v>1557</v>
      </c>
    </row>
    <row r="1370" spans="7:7">
      <c r="G1370" t="s">
        <v>1558</v>
      </c>
    </row>
    <row r="1371" spans="7:7">
      <c r="G1371" t="s">
        <v>1559</v>
      </c>
    </row>
    <row r="1372" spans="7:7">
      <c r="G1372" t="s">
        <v>1560</v>
      </c>
    </row>
    <row r="1373" spans="7:7">
      <c r="G1373" t="s">
        <v>1561</v>
      </c>
    </row>
    <row r="1374" spans="7:7">
      <c r="G1374" t="s">
        <v>1562</v>
      </c>
    </row>
    <row r="1375" spans="7:7">
      <c r="G1375" t="s">
        <v>1563</v>
      </c>
    </row>
    <row r="1376" spans="7:7">
      <c r="G1376" t="s">
        <v>1564</v>
      </c>
    </row>
    <row r="1377" spans="7:7">
      <c r="G1377" t="s">
        <v>1565</v>
      </c>
    </row>
    <row r="1378" spans="7:7">
      <c r="G1378" t="s">
        <v>1566</v>
      </c>
    </row>
    <row r="1379" spans="7:7">
      <c r="G1379" t="s">
        <v>1567</v>
      </c>
    </row>
    <row r="1380" spans="7:7">
      <c r="G1380" t="s">
        <v>1568</v>
      </c>
    </row>
    <row r="1381" spans="7:7">
      <c r="G1381" t="s">
        <v>1569</v>
      </c>
    </row>
    <row r="1382" spans="7:7">
      <c r="G1382" t="s">
        <v>1570</v>
      </c>
    </row>
    <row r="1383" spans="7:7">
      <c r="G1383" t="s">
        <v>1571</v>
      </c>
    </row>
    <row r="1384" spans="7:7">
      <c r="G1384" t="s">
        <v>1572</v>
      </c>
    </row>
    <row r="1385" spans="7:7">
      <c r="G1385" t="s">
        <v>1573</v>
      </c>
    </row>
    <row r="1386" spans="7:7">
      <c r="G1386" t="s">
        <v>1574</v>
      </c>
    </row>
    <row r="1387" spans="7:7">
      <c r="G1387" t="s">
        <v>1575</v>
      </c>
    </row>
    <row r="1388" spans="7:7">
      <c r="G1388" t="s">
        <v>1576</v>
      </c>
    </row>
    <row r="1389" spans="7:7">
      <c r="G1389" t="s">
        <v>1577</v>
      </c>
    </row>
    <row r="1390" spans="7:7">
      <c r="G1390" t="s">
        <v>1578</v>
      </c>
    </row>
    <row r="1391" spans="7:7">
      <c r="G1391" t="s">
        <v>1579</v>
      </c>
    </row>
    <row r="1392" spans="7:7">
      <c r="G1392" t="s">
        <v>1580</v>
      </c>
    </row>
    <row r="1393" spans="7:7">
      <c r="G1393" t="s">
        <v>1581</v>
      </c>
    </row>
    <row r="1394" spans="7:7">
      <c r="G1394" t="s">
        <v>1582</v>
      </c>
    </row>
    <row r="1395" spans="7:7">
      <c r="G1395" t="s">
        <v>1583</v>
      </c>
    </row>
    <row r="1396" spans="7:7">
      <c r="G1396" t="s">
        <v>1584</v>
      </c>
    </row>
    <row r="1397" spans="7:7">
      <c r="G1397" t="s">
        <v>1585</v>
      </c>
    </row>
    <row r="1398" spans="7:7">
      <c r="G1398" t="s">
        <v>1586</v>
      </c>
    </row>
    <row r="1399" spans="7:7">
      <c r="G1399" t="s">
        <v>1587</v>
      </c>
    </row>
    <row r="1400" spans="7:7">
      <c r="G1400" t="s">
        <v>1588</v>
      </c>
    </row>
    <row r="1401" spans="7:7">
      <c r="G1401" t="s">
        <v>1589</v>
      </c>
    </row>
    <row r="1402" spans="7:7">
      <c r="G1402" t="s">
        <v>1590</v>
      </c>
    </row>
    <row r="1403" spans="7:7">
      <c r="G1403" t="s">
        <v>1591</v>
      </c>
    </row>
    <row r="1404" spans="7:7">
      <c r="G1404" t="s">
        <v>1592</v>
      </c>
    </row>
    <row r="1405" spans="7:7">
      <c r="G1405" t="s">
        <v>1593</v>
      </c>
    </row>
    <row r="1406" spans="7:7">
      <c r="G1406" t="s">
        <v>1594</v>
      </c>
    </row>
    <row r="1407" spans="7:7">
      <c r="G1407" t="s">
        <v>1595</v>
      </c>
    </row>
    <row r="1408" spans="7:7">
      <c r="G1408" t="s">
        <v>1596</v>
      </c>
    </row>
    <row r="1409" spans="7:7">
      <c r="G1409" t="s">
        <v>1597</v>
      </c>
    </row>
    <row r="1410" spans="7:7">
      <c r="G1410" t="s">
        <v>1598</v>
      </c>
    </row>
    <row r="1411" spans="7:7">
      <c r="G1411" t="s">
        <v>1599</v>
      </c>
    </row>
    <row r="1412" spans="7:7">
      <c r="G1412" t="s">
        <v>1600</v>
      </c>
    </row>
    <row r="1413" spans="7:7">
      <c r="G1413" t="s">
        <v>1601</v>
      </c>
    </row>
    <row r="1414" spans="7:7">
      <c r="G1414" t="s">
        <v>1602</v>
      </c>
    </row>
    <row r="1415" spans="7:7">
      <c r="G1415" t="s">
        <v>1603</v>
      </c>
    </row>
    <row r="1416" spans="7:7">
      <c r="G1416" t="s">
        <v>1604</v>
      </c>
    </row>
    <row r="1417" spans="7:7">
      <c r="G1417" t="s">
        <v>1605</v>
      </c>
    </row>
    <row r="1418" spans="7:7">
      <c r="G1418" t="s">
        <v>1606</v>
      </c>
    </row>
    <row r="1419" spans="7:7">
      <c r="G1419" t="s">
        <v>1607</v>
      </c>
    </row>
    <row r="1420" spans="7:7">
      <c r="G1420" t="s">
        <v>1608</v>
      </c>
    </row>
    <row r="1421" spans="7:7">
      <c r="G1421" t="s">
        <v>1609</v>
      </c>
    </row>
    <row r="1422" spans="7:7">
      <c r="G1422" t="s">
        <v>1610</v>
      </c>
    </row>
    <row r="1423" spans="7:7">
      <c r="G1423" t="s">
        <v>1611</v>
      </c>
    </row>
    <row r="1424" spans="7:7">
      <c r="G1424" t="s">
        <v>1612</v>
      </c>
    </row>
    <row r="1425" spans="7:7">
      <c r="G1425" t="s">
        <v>1613</v>
      </c>
    </row>
    <row r="1426" spans="7:7">
      <c r="G1426" t="s">
        <v>1614</v>
      </c>
    </row>
    <row r="1427" spans="7:7">
      <c r="G1427" t="s">
        <v>1615</v>
      </c>
    </row>
    <row r="1428" spans="7:7">
      <c r="G1428" t="s">
        <v>1616</v>
      </c>
    </row>
    <row r="1429" spans="7:7">
      <c r="G1429" t="s">
        <v>1617</v>
      </c>
    </row>
    <row r="1430" spans="7:7">
      <c r="G1430" t="s">
        <v>1618</v>
      </c>
    </row>
    <row r="1431" spans="7:7">
      <c r="G1431" t="s">
        <v>1619</v>
      </c>
    </row>
    <row r="1432" spans="7:7">
      <c r="G1432" t="s">
        <v>1620</v>
      </c>
    </row>
    <row r="1433" spans="7:7">
      <c r="G1433" t="s">
        <v>1621</v>
      </c>
    </row>
    <row r="1434" spans="7:7">
      <c r="G1434" t="s">
        <v>1622</v>
      </c>
    </row>
    <row r="1435" spans="7:7">
      <c r="G1435" t="s">
        <v>1623</v>
      </c>
    </row>
    <row r="1436" spans="7:7">
      <c r="G1436" t="s">
        <v>1624</v>
      </c>
    </row>
    <row r="1437" spans="7:7">
      <c r="G1437" t="s">
        <v>1625</v>
      </c>
    </row>
    <row r="1438" spans="7:7">
      <c r="G1438" t="s">
        <v>1626</v>
      </c>
    </row>
    <row r="1439" spans="7:7">
      <c r="G1439" t="s">
        <v>1627</v>
      </c>
    </row>
    <row r="1440" spans="7:7">
      <c r="G1440" t="s">
        <v>1628</v>
      </c>
    </row>
    <row r="1441" spans="7:7">
      <c r="G1441" t="s">
        <v>1629</v>
      </c>
    </row>
    <row r="1442" spans="7:7">
      <c r="G1442" t="s">
        <v>1630</v>
      </c>
    </row>
    <row r="1443" spans="7:7">
      <c r="G1443" t="s">
        <v>1631</v>
      </c>
    </row>
    <row r="1444" spans="7:7">
      <c r="G1444" t="s">
        <v>1632</v>
      </c>
    </row>
    <row r="1445" spans="7:7">
      <c r="G1445" t="s">
        <v>1633</v>
      </c>
    </row>
    <row r="1446" spans="7:7">
      <c r="G1446" t="s">
        <v>1634</v>
      </c>
    </row>
    <row r="1447" spans="7:7">
      <c r="G1447" t="s">
        <v>1635</v>
      </c>
    </row>
    <row r="1448" spans="7:7">
      <c r="G1448" t="s">
        <v>1636</v>
      </c>
    </row>
    <row r="1449" spans="7:7">
      <c r="G1449" t="s">
        <v>1637</v>
      </c>
    </row>
    <row r="1450" spans="7:7">
      <c r="G1450" t="s">
        <v>1638</v>
      </c>
    </row>
    <row r="1451" spans="7:7">
      <c r="G1451" t="s">
        <v>1639</v>
      </c>
    </row>
    <row r="1452" spans="7:7">
      <c r="G1452" t="s">
        <v>1640</v>
      </c>
    </row>
    <row r="1453" spans="7:7">
      <c r="G1453" t="s">
        <v>1641</v>
      </c>
    </row>
    <row r="1454" spans="7:7">
      <c r="G1454" t="s">
        <v>1642</v>
      </c>
    </row>
    <row r="1455" spans="7:7">
      <c r="G1455" t="s">
        <v>1643</v>
      </c>
    </row>
    <row r="1456" spans="7:7">
      <c r="G1456" t="s">
        <v>1644</v>
      </c>
    </row>
    <row r="1457" spans="7:7">
      <c r="G1457" t="s">
        <v>1645</v>
      </c>
    </row>
    <row r="1458" spans="7:7">
      <c r="G1458" t="s">
        <v>1646</v>
      </c>
    </row>
    <row r="1459" spans="7:7">
      <c r="G1459" t="s">
        <v>1647</v>
      </c>
    </row>
    <row r="1460" spans="7:7">
      <c r="G1460" t="s">
        <v>1648</v>
      </c>
    </row>
    <row r="1461" spans="7:7">
      <c r="G1461" t="s">
        <v>1649</v>
      </c>
    </row>
    <row r="1462" spans="7:7">
      <c r="G1462" t="s">
        <v>1650</v>
      </c>
    </row>
    <row r="1463" spans="7:7">
      <c r="G1463" t="s">
        <v>1651</v>
      </c>
    </row>
    <row r="1464" spans="7:7">
      <c r="G1464" t="s">
        <v>1652</v>
      </c>
    </row>
    <row r="1465" spans="7:7">
      <c r="G1465" t="s">
        <v>1653</v>
      </c>
    </row>
    <row r="1466" spans="7:7">
      <c r="G1466" t="s">
        <v>1654</v>
      </c>
    </row>
    <row r="1467" spans="7:7">
      <c r="G1467" t="s">
        <v>1655</v>
      </c>
    </row>
    <row r="1468" spans="7:7">
      <c r="G1468" t="s">
        <v>1656</v>
      </c>
    </row>
    <row r="1469" spans="7:7">
      <c r="G1469" t="s">
        <v>1657</v>
      </c>
    </row>
    <row r="1470" spans="7:7">
      <c r="G1470" t="s">
        <v>1658</v>
      </c>
    </row>
    <row r="1471" spans="7:7">
      <c r="G1471" t="s">
        <v>1659</v>
      </c>
    </row>
    <row r="1472" spans="7:7">
      <c r="G1472" t="s">
        <v>1660</v>
      </c>
    </row>
    <row r="1473" spans="7:7">
      <c r="G1473" t="s">
        <v>1661</v>
      </c>
    </row>
    <row r="1474" spans="7:7">
      <c r="G1474" t="s">
        <v>1662</v>
      </c>
    </row>
    <row r="1475" spans="7:7">
      <c r="G1475" t="s">
        <v>1663</v>
      </c>
    </row>
    <row r="1476" spans="7:7">
      <c r="G1476" t="s">
        <v>1664</v>
      </c>
    </row>
    <row r="1477" spans="7:7">
      <c r="G1477" t="s">
        <v>1665</v>
      </c>
    </row>
    <row r="1478" spans="7:7">
      <c r="G1478" t="s">
        <v>1666</v>
      </c>
    </row>
    <row r="1479" spans="7:7">
      <c r="G1479" t="s">
        <v>1667</v>
      </c>
    </row>
    <row r="1480" spans="7:7">
      <c r="G1480" t="s">
        <v>1668</v>
      </c>
    </row>
    <row r="1481" spans="7:7">
      <c r="G1481" t="s">
        <v>1669</v>
      </c>
    </row>
    <row r="1482" spans="7:7">
      <c r="G1482" t="s">
        <v>1670</v>
      </c>
    </row>
    <row r="1483" spans="7:7">
      <c r="G1483" t="s">
        <v>1671</v>
      </c>
    </row>
    <row r="1484" spans="7:7">
      <c r="G1484" t="s">
        <v>1672</v>
      </c>
    </row>
    <row r="1485" spans="7:7">
      <c r="G1485" t="s">
        <v>1673</v>
      </c>
    </row>
    <row r="1486" spans="7:7">
      <c r="G1486" t="s">
        <v>1674</v>
      </c>
    </row>
    <row r="1487" spans="7:7">
      <c r="G1487" t="s">
        <v>1675</v>
      </c>
    </row>
    <row r="1488" spans="7:7">
      <c r="G1488" t="s">
        <v>1676</v>
      </c>
    </row>
    <row r="1489" spans="7:7">
      <c r="G1489" t="s">
        <v>1677</v>
      </c>
    </row>
    <row r="1490" spans="7:7">
      <c r="G1490" t="s">
        <v>1678</v>
      </c>
    </row>
    <row r="1491" spans="7:7">
      <c r="G1491" t="s">
        <v>1679</v>
      </c>
    </row>
    <row r="1492" spans="7:7">
      <c r="G1492" t="s">
        <v>1680</v>
      </c>
    </row>
    <row r="1493" spans="7:7">
      <c r="G1493" t="s">
        <v>1681</v>
      </c>
    </row>
    <row r="1494" spans="7:7">
      <c r="G1494" t="s">
        <v>1682</v>
      </c>
    </row>
    <row r="1495" spans="7:7">
      <c r="G1495" t="s">
        <v>1683</v>
      </c>
    </row>
    <row r="1496" spans="7:7">
      <c r="G1496" t="s">
        <v>1684</v>
      </c>
    </row>
    <row r="1497" spans="7:7">
      <c r="G1497" t="s">
        <v>1685</v>
      </c>
    </row>
    <row r="1498" spans="7:7">
      <c r="G1498" t="s">
        <v>1686</v>
      </c>
    </row>
    <row r="1499" spans="7:7">
      <c r="G1499" t="s">
        <v>1687</v>
      </c>
    </row>
    <row r="1500" spans="7:7">
      <c r="G1500" t="s">
        <v>1688</v>
      </c>
    </row>
    <row r="1501" spans="7:7">
      <c r="G1501" t="s">
        <v>1689</v>
      </c>
    </row>
    <row r="1502" spans="7:7">
      <c r="G1502" t="s">
        <v>1690</v>
      </c>
    </row>
    <row r="1503" spans="7:7">
      <c r="G1503" t="s">
        <v>1691</v>
      </c>
    </row>
    <row r="1504" spans="7:7">
      <c r="G1504" t="s">
        <v>1692</v>
      </c>
    </row>
    <row r="1505" spans="7:7">
      <c r="G1505" t="s">
        <v>1693</v>
      </c>
    </row>
    <row r="1506" spans="7:7">
      <c r="G1506" t="s">
        <v>1694</v>
      </c>
    </row>
    <row r="1507" spans="7:7">
      <c r="G1507" t="s">
        <v>1695</v>
      </c>
    </row>
    <row r="1508" spans="7:7">
      <c r="G1508" t="s">
        <v>1696</v>
      </c>
    </row>
    <row r="1509" spans="7:7">
      <c r="G1509" t="s">
        <v>1697</v>
      </c>
    </row>
    <row r="1510" spans="7:7">
      <c r="G1510" t="s">
        <v>1698</v>
      </c>
    </row>
    <row r="1511" spans="7:7">
      <c r="G1511" t="s">
        <v>1699</v>
      </c>
    </row>
    <row r="1512" spans="7:7">
      <c r="G1512" t="s">
        <v>1700</v>
      </c>
    </row>
    <row r="1513" spans="7:7">
      <c r="G1513" t="s">
        <v>1701</v>
      </c>
    </row>
    <row r="1514" spans="7:7">
      <c r="G1514" t="s">
        <v>1702</v>
      </c>
    </row>
    <row r="1515" spans="7:7">
      <c r="G1515" t="s">
        <v>1703</v>
      </c>
    </row>
    <row r="1516" spans="7:7">
      <c r="G1516" t="s">
        <v>1704</v>
      </c>
    </row>
    <row r="1517" spans="7:7">
      <c r="G1517" t="s">
        <v>1705</v>
      </c>
    </row>
    <row r="1518" spans="7:7">
      <c r="G1518" t="s">
        <v>1706</v>
      </c>
    </row>
    <row r="1519" spans="7:7">
      <c r="G1519" t="s">
        <v>1707</v>
      </c>
    </row>
    <row r="1520" spans="7:7">
      <c r="G1520" t="s">
        <v>1708</v>
      </c>
    </row>
    <row r="1521" spans="7:7">
      <c r="G1521" t="s">
        <v>1709</v>
      </c>
    </row>
    <row r="1522" spans="7:7">
      <c r="G1522" t="s">
        <v>1710</v>
      </c>
    </row>
    <row r="1523" spans="7:7">
      <c r="G1523" t="s">
        <v>1711</v>
      </c>
    </row>
    <row r="1524" spans="7:7">
      <c r="G1524" t="s">
        <v>1712</v>
      </c>
    </row>
    <row r="1525" spans="7:7">
      <c r="G1525" t="s">
        <v>1713</v>
      </c>
    </row>
    <row r="1526" spans="7:7">
      <c r="G1526" t="s">
        <v>1714</v>
      </c>
    </row>
    <row r="1527" spans="7:7">
      <c r="G1527" t="s">
        <v>1715</v>
      </c>
    </row>
    <row r="1528" spans="7:7">
      <c r="G1528" t="s">
        <v>1716</v>
      </c>
    </row>
    <row r="1529" spans="7:7">
      <c r="G1529" t="s">
        <v>1717</v>
      </c>
    </row>
    <row r="1530" spans="7:7">
      <c r="G1530" t="s">
        <v>1718</v>
      </c>
    </row>
    <row r="1531" spans="7:7">
      <c r="G1531" t="s">
        <v>1719</v>
      </c>
    </row>
    <row r="1532" spans="7:7">
      <c r="G1532" t="s">
        <v>1720</v>
      </c>
    </row>
    <row r="1533" spans="7:7">
      <c r="G1533" t="s">
        <v>1721</v>
      </c>
    </row>
    <row r="1534" spans="7:7">
      <c r="G1534" t="s">
        <v>1722</v>
      </c>
    </row>
    <row r="1535" spans="7:7">
      <c r="G1535" t="s">
        <v>1723</v>
      </c>
    </row>
    <row r="1536" spans="7:7">
      <c r="G1536" t="s">
        <v>1724</v>
      </c>
    </row>
    <row r="1537" spans="7:7">
      <c r="G1537" t="s">
        <v>1725</v>
      </c>
    </row>
    <row r="1538" spans="7:7">
      <c r="G1538" t="s">
        <v>1726</v>
      </c>
    </row>
    <row r="1539" spans="7:7">
      <c r="G1539" t="s">
        <v>1727</v>
      </c>
    </row>
    <row r="1540" spans="7:7">
      <c r="G1540" t="s">
        <v>1728</v>
      </c>
    </row>
    <row r="1541" spans="7:7">
      <c r="G1541" t="s">
        <v>1729</v>
      </c>
    </row>
    <row r="1542" spans="7:7">
      <c r="G1542" t="s">
        <v>1730</v>
      </c>
    </row>
    <row r="1543" spans="7:7">
      <c r="G1543" t="s">
        <v>1731</v>
      </c>
    </row>
    <row r="1544" spans="7:7">
      <c r="G1544" t="s">
        <v>1732</v>
      </c>
    </row>
    <row r="1545" spans="7:7">
      <c r="G1545" t="s">
        <v>1733</v>
      </c>
    </row>
    <row r="1546" spans="7:7">
      <c r="G1546" t="s">
        <v>1734</v>
      </c>
    </row>
    <row r="1547" spans="7:7">
      <c r="G1547" t="s">
        <v>1735</v>
      </c>
    </row>
    <row r="1548" spans="7:7">
      <c r="G1548" t="s">
        <v>1736</v>
      </c>
    </row>
    <row r="1549" spans="7:7">
      <c r="G1549" t="s">
        <v>1737</v>
      </c>
    </row>
    <row r="1550" spans="7:7">
      <c r="G1550" t="s">
        <v>1738</v>
      </c>
    </row>
    <row r="1551" spans="7:7">
      <c r="G1551" t="s">
        <v>1739</v>
      </c>
    </row>
    <row r="1552" spans="7:7">
      <c r="G1552" t="s">
        <v>1740</v>
      </c>
    </row>
    <row r="1553" spans="7:7">
      <c r="G1553" t="s">
        <v>1741</v>
      </c>
    </row>
    <row r="1554" spans="7:7">
      <c r="G1554" t="s">
        <v>1742</v>
      </c>
    </row>
    <row r="1555" spans="7:7">
      <c r="G1555" t="s">
        <v>1743</v>
      </c>
    </row>
    <row r="1556" spans="7:7">
      <c r="G1556" t="s">
        <v>1744</v>
      </c>
    </row>
    <row r="1557" spans="7:7">
      <c r="G1557" t="s">
        <v>1745</v>
      </c>
    </row>
    <row r="1558" spans="7:7">
      <c r="G1558" t="s">
        <v>1746</v>
      </c>
    </row>
    <row r="1559" spans="7:7">
      <c r="G1559" t="s">
        <v>1747</v>
      </c>
    </row>
    <row r="1560" spans="7:7">
      <c r="G1560" t="s">
        <v>1748</v>
      </c>
    </row>
    <row r="1561" spans="7:7">
      <c r="G1561" t="s">
        <v>1749</v>
      </c>
    </row>
    <row r="1562" spans="7:7">
      <c r="G1562" t="s">
        <v>1750</v>
      </c>
    </row>
    <row r="1563" spans="7:7">
      <c r="G1563" t="s">
        <v>1751</v>
      </c>
    </row>
    <row r="1564" spans="7:7">
      <c r="G1564" t="s">
        <v>1752</v>
      </c>
    </row>
    <row r="1565" spans="7:7">
      <c r="G1565" t="s">
        <v>1753</v>
      </c>
    </row>
    <row r="1566" spans="7:7">
      <c r="G1566" t="s">
        <v>1754</v>
      </c>
    </row>
    <row r="1567" spans="7:7">
      <c r="G1567" t="s">
        <v>1755</v>
      </c>
    </row>
    <row r="1568" spans="7:7">
      <c r="G1568" t="s">
        <v>1756</v>
      </c>
    </row>
    <row r="1569" spans="7:7">
      <c r="G1569" t="s">
        <v>1757</v>
      </c>
    </row>
    <row r="1570" spans="7:7">
      <c r="G1570" t="s">
        <v>1758</v>
      </c>
    </row>
    <row r="1571" spans="7:7">
      <c r="G1571" t="s">
        <v>1759</v>
      </c>
    </row>
    <row r="1572" spans="7:7">
      <c r="G1572" t="s">
        <v>1760</v>
      </c>
    </row>
    <row r="1573" spans="7:7">
      <c r="G1573" t="s">
        <v>1761</v>
      </c>
    </row>
    <row r="1574" spans="7:7">
      <c r="G1574" t="s">
        <v>1762</v>
      </c>
    </row>
    <row r="1575" spans="7:7">
      <c r="G1575" t="s">
        <v>1763</v>
      </c>
    </row>
    <row r="1576" spans="7:7">
      <c r="G1576" t="s">
        <v>1764</v>
      </c>
    </row>
    <row r="1577" spans="7:7">
      <c r="G1577" t="s">
        <v>1765</v>
      </c>
    </row>
    <row r="1578" spans="7:7">
      <c r="G1578" t="s">
        <v>1766</v>
      </c>
    </row>
    <row r="1579" spans="7:7">
      <c r="G1579" t="s">
        <v>1767</v>
      </c>
    </row>
    <row r="1580" spans="7:7">
      <c r="G1580" t="s">
        <v>1768</v>
      </c>
    </row>
    <row r="1581" spans="7:7">
      <c r="G1581" t="s">
        <v>1769</v>
      </c>
    </row>
    <row r="1582" spans="7:7">
      <c r="G1582" t="s">
        <v>1770</v>
      </c>
    </row>
    <row r="1583" spans="7:7">
      <c r="G1583" t="s">
        <v>1771</v>
      </c>
    </row>
    <row r="1584" spans="7:7">
      <c r="G1584" t="s">
        <v>1772</v>
      </c>
    </row>
    <row r="1585" spans="7:7">
      <c r="G1585" t="s">
        <v>1773</v>
      </c>
    </row>
    <row r="1586" spans="7:7">
      <c r="G1586" t="s">
        <v>1774</v>
      </c>
    </row>
    <row r="1587" spans="7:7">
      <c r="G1587" t="s">
        <v>1775</v>
      </c>
    </row>
    <row r="1588" spans="7:7">
      <c r="G1588" t="s">
        <v>1776</v>
      </c>
    </row>
    <row r="1589" spans="7:7">
      <c r="G1589" t="s">
        <v>1777</v>
      </c>
    </row>
    <row r="1590" spans="7:7">
      <c r="G1590" t="s">
        <v>1778</v>
      </c>
    </row>
    <row r="1591" spans="7:7">
      <c r="G1591" t="s">
        <v>1779</v>
      </c>
    </row>
    <row r="1592" spans="7:7">
      <c r="G1592" t="s">
        <v>1780</v>
      </c>
    </row>
    <row r="1593" spans="7:7">
      <c r="G1593" t="s">
        <v>1781</v>
      </c>
    </row>
    <row r="1594" spans="7:7">
      <c r="G1594" t="s">
        <v>1782</v>
      </c>
    </row>
    <row r="1595" spans="7:7">
      <c r="G1595" t="s">
        <v>1783</v>
      </c>
    </row>
    <row r="1596" spans="7:7">
      <c r="G1596" t="s">
        <v>1784</v>
      </c>
    </row>
    <row r="1597" spans="7:7">
      <c r="G1597" t="s">
        <v>1785</v>
      </c>
    </row>
    <row r="1598" spans="7:7">
      <c r="G1598" t="s">
        <v>1786</v>
      </c>
    </row>
    <row r="1599" spans="7:7">
      <c r="G1599" t="s">
        <v>1787</v>
      </c>
    </row>
    <row r="1600" spans="7:7">
      <c r="G1600" t="s">
        <v>1788</v>
      </c>
    </row>
    <row r="1601" spans="7:7">
      <c r="G1601" t="s">
        <v>1789</v>
      </c>
    </row>
    <row r="1602" spans="7:7">
      <c r="G1602" t="s">
        <v>1790</v>
      </c>
    </row>
    <row r="1603" spans="7:7">
      <c r="G1603" t="s">
        <v>1791</v>
      </c>
    </row>
    <row r="1604" spans="7:7">
      <c r="G1604" t="s">
        <v>1792</v>
      </c>
    </row>
    <row r="1605" spans="7:7">
      <c r="G1605" t="s">
        <v>1793</v>
      </c>
    </row>
    <row r="1606" spans="7:7">
      <c r="G1606" t="s">
        <v>1794</v>
      </c>
    </row>
    <row r="1607" spans="7:7">
      <c r="G1607" t="s">
        <v>1795</v>
      </c>
    </row>
    <row r="1608" spans="7:7">
      <c r="G1608" t="s">
        <v>1796</v>
      </c>
    </row>
    <row r="1609" spans="7:7">
      <c r="G1609" t="s">
        <v>1797</v>
      </c>
    </row>
    <row r="1610" spans="7:7">
      <c r="G1610" t="s">
        <v>1798</v>
      </c>
    </row>
    <row r="1611" spans="7:7">
      <c r="G1611" t="s">
        <v>1799</v>
      </c>
    </row>
    <row r="1612" spans="7:7">
      <c r="G1612" t="s">
        <v>1800</v>
      </c>
    </row>
    <row r="1613" spans="7:7">
      <c r="G1613" t="s">
        <v>1801</v>
      </c>
    </row>
    <row r="1614" spans="7:7">
      <c r="G1614" t="s">
        <v>1802</v>
      </c>
    </row>
    <row r="1615" spans="7:7">
      <c r="G1615" t="s">
        <v>1803</v>
      </c>
    </row>
    <row r="1616" spans="7:7">
      <c r="G1616" t="s">
        <v>1804</v>
      </c>
    </row>
    <row r="1617" spans="7:7">
      <c r="G1617" t="s">
        <v>1805</v>
      </c>
    </row>
    <row r="1618" spans="7:7">
      <c r="G1618" t="s">
        <v>1806</v>
      </c>
    </row>
    <row r="1619" spans="7:7">
      <c r="G1619" t="s">
        <v>1807</v>
      </c>
    </row>
    <row r="1620" spans="7:7">
      <c r="G1620" t="s">
        <v>1808</v>
      </c>
    </row>
    <row r="1621" spans="7:7">
      <c r="G1621" t="s">
        <v>1809</v>
      </c>
    </row>
    <row r="1622" spans="7:7">
      <c r="G1622" t="s">
        <v>1810</v>
      </c>
    </row>
    <row r="1623" spans="7:7">
      <c r="G1623" t="s">
        <v>1811</v>
      </c>
    </row>
    <row r="1624" spans="7:7">
      <c r="G1624" t="s">
        <v>1812</v>
      </c>
    </row>
    <row r="1625" spans="7:7">
      <c r="G1625" t="s">
        <v>1813</v>
      </c>
    </row>
    <row r="1626" spans="7:7">
      <c r="G1626" t="s">
        <v>1814</v>
      </c>
    </row>
    <row r="1627" spans="7:7">
      <c r="G1627" t="s">
        <v>1815</v>
      </c>
    </row>
    <row r="1628" spans="7:7">
      <c r="G1628" t="s">
        <v>1816</v>
      </c>
    </row>
    <row r="1629" spans="7:7">
      <c r="G1629" t="s">
        <v>1817</v>
      </c>
    </row>
    <row r="1630" spans="7:7">
      <c r="G1630" t="s">
        <v>1818</v>
      </c>
    </row>
    <row r="1631" spans="7:7">
      <c r="G1631" t="s">
        <v>1819</v>
      </c>
    </row>
    <row r="1632" spans="7:7">
      <c r="G1632" t="s">
        <v>1820</v>
      </c>
    </row>
    <row r="1633" spans="7:7">
      <c r="G1633" t="s">
        <v>1821</v>
      </c>
    </row>
    <row r="1634" spans="7:7">
      <c r="G1634" t="s">
        <v>1822</v>
      </c>
    </row>
    <row r="1635" spans="7:7">
      <c r="G1635" t="s">
        <v>1823</v>
      </c>
    </row>
    <row r="1636" spans="7:7">
      <c r="G1636" t="s">
        <v>1824</v>
      </c>
    </row>
    <row r="1637" spans="7:7">
      <c r="G1637" t="s">
        <v>1825</v>
      </c>
    </row>
    <row r="1638" spans="7:7">
      <c r="G1638" t="s">
        <v>1826</v>
      </c>
    </row>
    <row r="1639" spans="7:7">
      <c r="G1639" t="s">
        <v>1827</v>
      </c>
    </row>
    <row r="1640" spans="7:7">
      <c r="G1640" t="s">
        <v>1828</v>
      </c>
    </row>
    <row r="1641" spans="7:7">
      <c r="G1641" t="s">
        <v>1829</v>
      </c>
    </row>
    <row r="1642" spans="7:7">
      <c r="G1642" t="s">
        <v>1830</v>
      </c>
    </row>
    <row r="1643" spans="7:7">
      <c r="G1643" t="s">
        <v>1831</v>
      </c>
    </row>
    <row r="1644" spans="7:7">
      <c r="G1644" t="s">
        <v>1832</v>
      </c>
    </row>
    <row r="1645" spans="7:7">
      <c r="G1645" t="s">
        <v>1833</v>
      </c>
    </row>
    <row r="1646" spans="7:7">
      <c r="G1646" t="s">
        <v>1834</v>
      </c>
    </row>
    <row r="1647" spans="7:7">
      <c r="G1647" t="s">
        <v>1835</v>
      </c>
    </row>
    <row r="1648" spans="7:7">
      <c r="G1648" t="s">
        <v>1836</v>
      </c>
    </row>
    <row r="1649" spans="7:7">
      <c r="G1649" t="s">
        <v>1837</v>
      </c>
    </row>
    <row r="1650" spans="7:7">
      <c r="G1650" t="s">
        <v>1838</v>
      </c>
    </row>
    <row r="1651" spans="7:7">
      <c r="G1651" t="s">
        <v>1839</v>
      </c>
    </row>
    <row r="1652" spans="7:7">
      <c r="G1652" t="s">
        <v>1840</v>
      </c>
    </row>
    <row r="1653" spans="7:7">
      <c r="G1653" t="s">
        <v>1841</v>
      </c>
    </row>
    <row r="1654" spans="7:7">
      <c r="G1654" t="s">
        <v>1842</v>
      </c>
    </row>
    <row r="1655" spans="7:7">
      <c r="G1655" t="s">
        <v>1843</v>
      </c>
    </row>
    <row r="1656" spans="7:7">
      <c r="G1656" t="s">
        <v>1844</v>
      </c>
    </row>
    <row r="1657" spans="7:7">
      <c r="G1657" t="s">
        <v>1845</v>
      </c>
    </row>
    <row r="1658" spans="7:7">
      <c r="G1658" t="s">
        <v>1846</v>
      </c>
    </row>
    <row r="1659" spans="7:7">
      <c r="G1659" t="s">
        <v>1847</v>
      </c>
    </row>
    <row r="1660" spans="7:7">
      <c r="G1660" t="s">
        <v>1848</v>
      </c>
    </row>
    <row r="1661" spans="7:7">
      <c r="G1661" t="s">
        <v>1849</v>
      </c>
    </row>
    <row r="1662" spans="7:7">
      <c r="G1662" t="s">
        <v>1850</v>
      </c>
    </row>
    <row r="1663" spans="7:7">
      <c r="G1663" t="s">
        <v>1851</v>
      </c>
    </row>
    <row r="1664" spans="7:7">
      <c r="G1664" t="s">
        <v>1852</v>
      </c>
    </row>
    <row r="1665" spans="7:7">
      <c r="G1665" t="s">
        <v>1853</v>
      </c>
    </row>
    <row r="1666" spans="7:7">
      <c r="G1666" t="s">
        <v>1854</v>
      </c>
    </row>
    <row r="1667" spans="7:7">
      <c r="G1667" t="s">
        <v>1855</v>
      </c>
    </row>
    <row r="1668" spans="7:7">
      <c r="G1668" t="s">
        <v>1856</v>
      </c>
    </row>
    <row r="1669" spans="7:7">
      <c r="G1669" t="s">
        <v>1857</v>
      </c>
    </row>
    <row r="1670" spans="7:7">
      <c r="G1670" t="s">
        <v>1858</v>
      </c>
    </row>
    <row r="1671" spans="7:7">
      <c r="G1671" t="s">
        <v>1859</v>
      </c>
    </row>
    <row r="1672" spans="7:7">
      <c r="G1672" t="s">
        <v>1860</v>
      </c>
    </row>
    <row r="1673" spans="7:7">
      <c r="G1673" t="s">
        <v>1861</v>
      </c>
    </row>
    <row r="1674" spans="7:7">
      <c r="G1674" t="s">
        <v>1862</v>
      </c>
    </row>
    <row r="1675" spans="7:7">
      <c r="G1675" t="s">
        <v>1863</v>
      </c>
    </row>
    <row r="1676" spans="7:7">
      <c r="G1676" t="s">
        <v>1864</v>
      </c>
    </row>
    <row r="1677" spans="7:7">
      <c r="G1677" t="s">
        <v>1865</v>
      </c>
    </row>
    <row r="1678" spans="7:7">
      <c r="G1678" t="s">
        <v>1866</v>
      </c>
    </row>
    <row r="1679" spans="7:7">
      <c r="G1679" t="s">
        <v>1867</v>
      </c>
    </row>
    <row r="1680" spans="7:7">
      <c r="G1680" t="s">
        <v>1868</v>
      </c>
    </row>
    <row r="1681" spans="7:7">
      <c r="G1681" t="s">
        <v>1869</v>
      </c>
    </row>
    <row r="1682" spans="7:7">
      <c r="G1682" t="s">
        <v>1870</v>
      </c>
    </row>
    <row r="1683" spans="7:7">
      <c r="G1683" t="s">
        <v>1871</v>
      </c>
    </row>
    <row r="1684" spans="7:7">
      <c r="G1684" t="s">
        <v>1872</v>
      </c>
    </row>
    <row r="1685" spans="7:7">
      <c r="G1685" t="s">
        <v>1873</v>
      </c>
    </row>
    <row r="1686" spans="7:7">
      <c r="G1686" t="s">
        <v>1874</v>
      </c>
    </row>
    <row r="1687" spans="7:7">
      <c r="G1687" t="s">
        <v>1875</v>
      </c>
    </row>
    <row r="1688" spans="7:7">
      <c r="G1688" t="s">
        <v>1876</v>
      </c>
    </row>
    <row r="1689" spans="7:7">
      <c r="G1689" t="s">
        <v>1877</v>
      </c>
    </row>
    <row r="1690" spans="7:7">
      <c r="G1690" t="s">
        <v>1878</v>
      </c>
    </row>
    <row r="1691" spans="7:7">
      <c r="G1691" t="s">
        <v>1879</v>
      </c>
    </row>
    <row r="1692" spans="7:7">
      <c r="G1692" t="s">
        <v>1880</v>
      </c>
    </row>
    <row r="1693" spans="7:7">
      <c r="G1693" t="s">
        <v>1881</v>
      </c>
    </row>
    <row r="1694" spans="7:7">
      <c r="G1694" t="s">
        <v>1882</v>
      </c>
    </row>
    <row r="1695" spans="7:7">
      <c r="G1695" t="s">
        <v>1883</v>
      </c>
    </row>
    <row r="1696" spans="7:7">
      <c r="G1696" t="s">
        <v>1884</v>
      </c>
    </row>
    <row r="1697" spans="7:7">
      <c r="G1697" t="s">
        <v>1885</v>
      </c>
    </row>
    <row r="1698" spans="7:7">
      <c r="G1698" t="s">
        <v>1886</v>
      </c>
    </row>
    <row r="1699" spans="7:7">
      <c r="G1699" t="s">
        <v>1887</v>
      </c>
    </row>
    <row r="1700" spans="7:7">
      <c r="G1700" t="s">
        <v>1888</v>
      </c>
    </row>
    <row r="1701" spans="7:7">
      <c r="G1701" t="s">
        <v>1889</v>
      </c>
    </row>
    <row r="1702" spans="7:7">
      <c r="G1702" t="s">
        <v>1890</v>
      </c>
    </row>
    <row r="1703" spans="7:7">
      <c r="G1703" t="s">
        <v>1891</v>
      </c>
    </row>
    <row r="1704" spans="7:7">
      <c r="G1704" t="s">
        <v>1892</v>
      </c>
    </row>
    <row r="1705" spans="7:7">
      <c r="G1705" t="s">
        <v>1893</v>
      </c>
    </row>
    <row r="1706" spans="7:7">
      <c r="G1706" t="s">
        <v>1894</v>
      </c>
    </row>
    <row r="1707" spans="7:7">
      <c r="G1707" t="s">
        <v>1895</v>
      </c>
    </row>
    <row r="1708" spans="7:7">
      <c r="G1708" t="s">
        <v>1896</v>
      </c>
    </row>
    <row r="1709" spans="7:7">
      <c r="G1709" t="s">
        <v>1897</v>
      </c>
    </row>
    <row r="1710" spans="7:7">
      <c r="G1710" t="s">
        <v>1898</v>
      </c>
    </row>
    <row r="1711" spans="7:7">
      <c r="G1711" t="s">
        <v>1899</v>
      </c>
    </row>
    <row r="1712" spans="7:7">
      <c r="G1712" t="s">
        <v>1900</v>
      </c>
    </row>
    <row r="1713" spans="7:7">
      <c r="G1713" t="s">
        <v>1901</v>
      </c>
    </row>
    <row r="1714" spans="7:7">
      <c r="G1714" t="s">
        <v>1902</v>
      </c>
    </row>
    <row r="1715" spans="7:7">
      <c r="G1715" t="s">
        <v>1903</v>
      </c>
    </row>
    <row r="1716" spans="7:7">
      <c r="G1716" t="s">
        <v>1904</v>
      </c>
    </row>
    <row r="1717" spans="7:7">
      <c r="G1717" t="s">
        <v>1905</v>
      </c>
    </row>
    <row r="1718" spans="7:7">
      <c r="G1718" t="s">
        <v>1906</v>
      </c>
    </row>
    <row r="1719" spans="7:7">
      <c r="G1719" t="s">
        <v>1907</v>
      </c>
    </row>
    <row r="1720" spans="7:7">
      <c r="G1720" t="s">
        <v>1908</v>
      </c>
    </row>
    <row r="1721" spans="7:7">
      <c r="G1721" t="s">
        <v>1909</v>
      </c>
    </row>
    <row r="1722" spans="7:7">
      <c r="G1722" t="s">
        <v>1910</v>
      </c>
    </row>
    <row r="1723" spans="7:7">
      <c r="G1723" t="s">
        <v>1911</v>
      </c>
    </row>
    <row r="1724" spans="7:7">
      <c r="G1724" t="s">
        <v>1912</v>
      </c>
    </row>
    <row r="1725" spans="7:7">
      <c r="G1725" t="s">
        <v>1913</v>
      </c>
    </row>
    <row r="1726" spans="7:7">
      <c r="G1726" t="s">
        <v>1914</v>
      </c>
    </row>
    <row r="1727" spans="7:7">
      <c r="G1727" t="s">
        <v>1915</v>
      </c>
    </row>
    <row r="1728" spans="7:7">
      <c r="G1728" t="s">
        <v>1916</v>
      </c>
    </row>
    <row r="1729" spans="7:7">
      <c r="G1729" t="s">
        <v>1917</v>
      </c>
    </row>
    <row r="1730" spans="7:7">
      <c r="G1730" t="s">
        <v>1918</v>
      </c>
    </row>
    <row r="1731" spans="7:7">
      <c r="G1731" t="s">
        <v>1919</v>
      </c>
    </row>
    <row r="1732" spans="7:7">
      <c r="G1732" t="s">
        <v>1920</v>
      </c>
    </row>
    <row r="1733" spans="7:7">
      <c r="G1733" t="s">
        <v>1921</v>
      </c>
    </row>
    <row r="1734" spans="7:7">
      <c r="G1734" t="s">
        <v>1922</v>
      </c>
    </row>
    <row r="1735" spans="7:7">
      <c r="G1735" t="s">
        <v>1923</v>
      </c>
    </row>
    <row r="1736" spans="7:7">
      <c r="G1736" t="s">
        <v>1924</v>
      </c>
    </row>
    <row r="1737" spans="7:7">
      <c r="G1737" t="s">
        <v>1925</v>
      </c>
    </row>
    <row r="1738" spans="7:7">
      <c r="G1738" t="s">
        <v>1926</v>
      </c>
    </row>
    <row r="1739" spans="7:7">
      <c r="G1739" t="s">
        <v>1927</v>
      </c>
    </row>
    <row r="1740" spans="7:7">
      <c r="G1740" t="s">
        <v>1928</v>
      </c>
    </row>
    <row r="1741" spans="7:7">
      <c r="G1741" t="s">
        <v>1929</v>
      </c>
    </row>
    <row r="1742" spans="7:7">
      <c r="G1742" t="s">
        <v>1930</v>
      </c>
    </row>
    <row r="1743" spans="7:7">
      <c r="G1743" t="s">
        <v>1931</v>
      </c>
    </row>
    <row r="1744" spans="7:7">
      <c r="G1744" t="s">
        <v>1932</v>
      </c>
    </row>
    <row r="1745" spans="7:7">
      <c r="G1745" t="s">
        <v>1933</v>
      </c>
    </row>
    <row r="1746" spans="7:7">
      <c r="G1746" t="s">
        <v>1934</v>
      </c>
    </row>
    <row r="1747" spans="7:7">
      <c r="G1747" t="s">
        <v>1935</v>
      </c>
    </row>
    <row r="1748" spans="7:7">
      <c r="G1748" t="s">
        <v>1936</v>
      </c>
    </row>
    <row r="1749" spans="7:7">
      <c r="G1749" t="s">
        <v>1937</v>
      </c>
    </row>
    <row r="1750" spans="7:7">
      <c r="G1750" t="s">
        <v>1938</v>
      </c>
    </row>
    <row r="1751" spans="7:7">
      <c r="G1751" t="s">
        <v>1939</v>
      </c>
    </row>
    <row r="1752" spans="7:7">
      <c r="G1752" t="s">
        <v>1940</v>
      </c>
    </row>
    <row r="1753" spans="7:7">
      <c r="G1753" t="s">
        <v>1941</v>
      </c>
    </row>
    <row r="1754" spans="7:7">
      <c r="G1754" t="s">
        <v>1942</v>
      </c>
    </row>
    <row r="1755" spans="7:7">
      <c r="G1755" t="s">
        <v>1943</v>
      </c>
    </row>
    <row r="1756" spans="7:7">
      <c r="G1756" t="s">
        <v>1944</v>
      </c>
    </row>
    <row r="1757" spans="7:7">
      <c r="G1757" t="s">
        <v>1945</v>
      </c>
    </row>
    <row r="1758" spans="7:7">
      <c r="G1758" t="s">
        <v>1946</v>
      </c>
    </row>
    <row r="1759" spans="7:7">
      <c r="G1759" t="s">
        <v>1947</v>
      </c>
    </row>
    <row r="1760" spans="7:7">
      <c r="G1760" t="s">
        <v>1948</v>
      </c>
    </row>
    <row r="1761" spans="7:7">
      <c r="G1761" t="s">
        <v>1949</v>
      </c>
    </row>
    <row r="1762" spans="7:7">
      <c r="G1762" t="s">
        <v>1950</v>
      </c>
    </row>
    <row r="1763" spans="7:7">
      <c r="G1763" t="s">
        <v>1951</v>
      </c>
    </row>
    <row r="1764" spans="7:7">
      <c r="G1764" t="s">
        <v>1952</v>
      </c>
    </row>
    <row r="1765" spans="7:7">
      <c r="G1765" t="s">
        <v>1953</v>
      </c>
    </row>
    <row r="1766" spans="7:7">
      <c r="G1766" t="s">
        <v>1954</v>
      </c>
    </row>
    <row r="1767" spans="7:7">
      <c r="G1767" t="s">
        <v>1955</v>
      </c>
    </row>
    <row r="1768" spans="7:7">
      <c r="G1768" t="s">
        <v>1956</v>
      </c>
    </row>
    <row r="1769" spans="7:7">
      <c r="G1769" t="s">
        <v>1957</v>
      </c>
    </row>
    <row r="1770" spans="7:7">
      <c r="G1770" t="s">
        <v>1958</v>
      </c>
    </row>
    <row r="1771" spans="7:7">
      <c r="G1771" t="s">
        <v>1959</v>
      </c>
    </row>
    <row r="1772" spans="7:7">
      <c r="G1772" t="s">
        <v>1960</v>
      </c>
    </row>
    <row r="1773" spans="7:7">
      <c r="G1773" t="s">
        <v>1961</v>
      </c>
    </row>
    <row r="1774" spans="7:7">
      <c r="G1774" t="s">
        <v>1962</v>
      </c>
    </row>
    <row r="1775" spans="7:7">
      <c r="G1775" t="s">
        <v>1963</v>
      </c>
    </row>
    <row r="1776" spans="7:7">
      <c r="G1776" t="s">
        <v>1964</v>
      </c>
    </row>
    <row r="1777" spans="7:7">
      <c r="G1777" t="s">
        <v>1965</v>
      </c>
    </row>
    <row r="1778" spans="7:7">
      <c r="G1778" t="s">
        <v>1966</v>
      </c>
    </row>
    <row r="1779" spans="7:7">
      <c r="G1779" t="s">
        <v>1967</v>
      </c>
    </row>
    <row r="1780" spans="7:7">
      <c r="G1780" t="s">
        <v>1968</v>
      </c>
    </row>
    <row r="1781" spans="7:7">
      <c r="G1781" t="s">
        <v>1969</v>
      </c>
    </row>
    <row r="1782" spans="7:7">
      <c r="G1782" t="s">
        <v>1970</v>
      </c>
    </row>
    <row r="1783" spans="7:7">
      <c r="G1783" t="s">
        <v>1971</v>
      </c>
    </row>
    <row r="1784" spans="7:7">
      <c r="G1784" t="s">
        <v>1972</v>
      </c>
    </row>
    <row r="1785" spans="7:7">
      <c r="G1785" t="s">
        <v>1973</v>
      </c>
    </row>
    <row r="1786" spans="7:7">
      <c r="G1786" t="s">
        <v>1974</v>
      </c>
    </row>
    <row r="1787" spans="7:7">
      <c r="G1787" t="s">
        <v>1975</v>
      </c>
    </row>
    <row r="1788" spans="7:7">
      <c r="G1788" t="s">
        <v>1976</v>
      </c>
    </row>
    <row r="1789" spans="7:7">
      <c r="G1789" t="s">
        <v>1977</v>
      </c>
    </row>
    <row r="1790" spans="7:7">
      <c r="G1790" t="s">
        <v>1978</v>
      </c>
    </row>
    <row r="1791" spans="7:7">
      <c r="G1791" t="s">
        <v>1979</v>
      </c>
    </row>
    <row r="1792" spans="7:7">
      <c r="G1792" t="s">
        <v>1980</v>
      </c>
    </row>
    <row r="1793" spans="7:7">
      <c r="G1793" t="s">
        <v>1981</v>
      </c>
    </row>
    <row r="1794" spans="7:7">
      <c r="G1794" t="s">
        <v>1982</v>
      </c>
    </row>
    <row r="1795" spans="7:7">
      <c r="G1795" t="s">
        <v>1983</v>
      </c>
    </row>
    <row r="1796" spans="7:7">
      <c r="G1796" t="s">
        <v>1984</v>
      </c>
    </row>
    <row r="1797" spans="7:7">
      <c r="G1797" t="s">
        <v>1985</v>
      </c>
    </row>
    <row r="1798" spans="7:7">
      <c r="G1798" t="s">
        <v>1986</v>
      </c>
    </row>
    <row r="1799" spans="7:7">
      <c r="G1799" t="s">
        <v>1987</v>
      </c>
    </row>
    <row r="1800" spans="7:7">
      <c r="G1800" t="s">
        <v>1988</v>
      </c>
    </row>
    <row r="1801" spans="7:7">
      <c r="G1801" t="s">
        <v>1989</v>
      </c>
    </row>
    <row r="1802" spans="7:7">
      <c r="G1802" t="s">
        <v>1990</v>
      </c>
    </row>
    <row r="1803" spans="7:7">
      <c r="G1803" t="s">
        <v>1991</v>
      </c>
    </row>
    <row r="1804" spans="7:7">
      <c r="G1804" t="s">
        <v>1992</v>
      </c>
    </row>
    <row r="1805" spans="7:7">
      <c r="G1805" t="s">
        <v>1993</v>
      </c>
    </row>
    <row r="1806" spans="7:7">
      <c r="G1806" t="s">
        <v>1994</v>
      </c>
    </row>
    <row r="1807" spans="7:7">
      <c r="G1807" t="s">
        <v>1995</v>
      </c>
    </row>
    <row r="1808" spans="7:7">
      <c r="G1808" t="s">
        <v>1996</v>
      </c>
    </row>
    <row r="1809" spans="7:7">
      <c r="G1809" t="s">
        <v>1997</v>
      </c>
    </row>
    <row r="1810" spans="7:7">
      <c r="G1810" t="s">
        <v>1998</v>
      </c>
    </row>
    <row r="1811" spans="7:7">
      <c r="G1811" t="s">
        <v>1999</v>
      </c>
    </row>
    <row r="1812" spans="7:7">
      <c r="G1812" t="s">
        <v>2000</v>
      </c>
    </row>
    <row r="1813" spans="7:7">
      <c r="G1813" t="s">
        <v>2001</v>
      </c>
    </row>
    <row r="1814" spans="7:7">
      <c r="G1814" t="s">
        <v>2002</v>
      </c>
    </row>
    <row r="1815" spans="7:7">
      <c r="G1815" t="s">
        <v>2003</v>
      </c>
    </row>
    <row r="1816" spans="7:7">
      <c r="G1816" t="s">
        <v>2004</v>
      </c>
    </row>
    <row r="1817" spans="7:7">
      <c r="G1817" t="s">
        <v>2005</v>
      </c>
    </row>
    <row r="1818" spans="7:7">
      <c r="G1818" t="s">
        <v>2006</v>
      </c>
    </row>
    <row r="1819" spans="7:7">
      <c r="G1819" t="s">
        <v>2007</v>
      </c>
    </row>
    <row r="1820" spans="7:7">
      <c r="G1820" t="s">
        <v>2008</v>
      </c>
    </row>
    <row r="1821" spans="7:7">
      <c r="G1821" t="s">
        <v>2009</v>
      </c>
    </row>
    <row r="1822" spans="7:7">
      <c r="G1822" t="s">
        <v>2010</v>
      </c>
    </row>
    <row r="1823" spans="7:7">
      <c r="G1823" t="s">
        <v>2011</v>
      </c>
    </row>
    <row r="1824" spans="7:7">
      <c r="G1824" t="s">
        <v>2012</v>
      </c>
    </row>
    <row r="1825" spans="7:7">
      <c r="G1825" t="s">
        <v>2013</v>
      </c>
    </row>
    <row r="1826" spans="7:7">
      <c r="G1826" t="s">
        <v>2014</v>
      </c>
    </row>
    <row r="1827" spans="7:7">
      <c r="G1827" t="s">
        <v>2015</v>
      </c>
    </row>
    <row r="1828" spans="7:7">
      <c r="G1828" t="s">
        <v>2016</v>
      </c>
    </row>
    <row r="1829" spans="7:7">
      <c r="G1829" t="s">
        <v>2017</v>
      </c>
    </row>
    <row r="1830" spans="7:7">
      <c r="G1830" t="s">
        <v>2018</v>
      </c>
    </row>
    <row r="1831" spans="7:7">
      <c r="G1831" t="s">
        <v>2019</v>
      </c>
    </row>
    <row r="1832" spans="7:7">
      <c r="G1832" t="s">
        <v>2020</v>
      </c>
    </row>
    <row r="1833" spans="7:7">
      <c r="G1833" t="s">
        <v>2021</v>
      </c>
    </row>
    <row r="1834" spans="7:7">
      <c r="G1834" t="s">
        <v>2022</v>
      </c>
    </row>
    <row r="1835" spans="7:7">
      <c r="G1835" t="s">
        <v>2023</v>
      </c>
    </row>
    <row r="1836" spans="7:7">
      <c r="G1836" t="s">
        <v>2024</v>
      </c>
    </row>
    <row r="1837" spans="7:7">
      <c r="G1837" t="s">
        <v>2025</v>
      </c>
    </row>
    <row r="1838" spans="7:7">
      <c r="G1838" t="s">
        <v>2026</v>
      </c>
    </row>
    <row r="1839" spans="7:7">
      <c r="G1839" t="s">
        <v>2027</v>
      </c>
    </row>
    <row r="1840" spans="7:7">
      <c r="G1840" t="s">
        <v>2028</v>
      </c>
    </row>
    <row r="1841" spans="7:7">
      <c r="G1841" t="s">
        <v>2029</v>
      </c>
    </row>
    <row r="1842" spans="7:7">
      <c r="G1842" t="s">
        <v>2030</v>
      </c>
    </row>
    <row r="1843" spans="7:7">
      <c r="G1843" t="s">
        <v>2031</v>
      </c>
    </row>
    <row r="1844" spans="7:7">
      <c r="G1844" t="s">
        <v>2032</v>
      </c>
    </row>
    <row r="1845" spans="7:7">
      <c r="G1845" t="s">
        <v>2033</v>
      </c>
    </row>
    <row r="1846" spans="7:7">
      <c r="G1846" t="s">
        <v>2034</v>
      </c>
    </row>
    <row r="1847" spans="7:7">
      <c r="G1847" t="s">
        <v>2035</v>
      </c>
    </row>
    <row r="1848" spans="7:7">
      <c r="G1848" t="s">
        <v>2036</v>
      </c>
    </row>
    <row r="1849" spans="7:7">
      <c r="G1849" t="s">
        <v>2037</v>
      </c>
    </row>
    <row r="1850" spans="7:7">
      <c r="G1850" t="s">
        <v>2038</v>
      </c>
    </row>
    <row r="1851" spans="7:7">
      <c r="G1851" t="s">
        <v>2039</v>
      </c>
    </row>
    <row r="1852" spans="7:7">
      <c r="G1852" t="s">
        <v>2040</v>
      </c>
    </row>
    <row r="1853" spans="7:7">
      <c r="G1853" t="s">
        <v>2041</v>
      </c>
    </row>
    <row r="1854" spans="7:7">
      <c r="G1854" t="s">
        <v>2042</v>
      </c>
    </row>
    <row r="1855" spans="7:7">
      <c r="G1855" t="s">
        <v>2043</v>
      </c>
    </row>
    <row r="1856" spans="7:7">
      <c r="G1856" t="s">
        <v>2044</v>
      </c>
    </row>
    <row r="1857" spans="7:7">
      <c r="G1857" t="s">
        <v>2045</v>
      </c>
    </row>
    <row r="1858" spans="7:7">
      <c r="G1858" t="s">
        <v>2046</v>
      </c>
    </row>
    <row r="1859" spans="7:7">
      <c r="G1859" t="s">
        <v>2047</v>
      </c>
    </row>
    <row r="1860" spans="7:7">
      <c r="G1860" t="s">
        <v>2048</v>
      </c>
    </row>
    <row r="1861" spans="7:7">
      <c r="G1861" t="s">
        <v>2049</v>
      </c>
    </row>
    <row r="1862" spans="7:7">
      <c r="G1862" t="s">
        <v>2050</v>
      </c>
    </row>
    <row r="1863" spans="7:7">
      <c r="G1863" t="s">
        <v>2051</v>
      </c>
    </row>
    <row r="1864" spans="7:7">
      <c r="G1864" t="s">
        <v>2052</v>
      </c>
    </row>
    <row r="1865" spans="7:7">
      <c r="G1865" t="s">
        <v>2053</v>
      </c>
    </row>
    <row r="1866" spans="7:7">
      <c r="G1866" t="s">
        <v>2054</v>
      </c>
    </row>
    <row r="1867" spans="7:7">
      <c r="G1867" t="s">
        <v>2055</v>
      </c>
    </row>
    <row r="1868" spans="7:7">
      <c r="G1868" t="s">
        <v>2056</v>
      </c>
    </row>
    <row r="1869" spans="7:7">
      <c r="G1869" t="s">
        <v>2057</v>
      </c>
    </row>
    <row r="1870" spans="7:7">
      <c r="G1870" t="s">
        <v>2058</v>
      </c>
    </row>
    <row r="1871" spans="7:7">
      <c r="G1871" t="s">
        <v>2059</v>
      </c>
    </row>
    <row r="1872" spans="7:7">
      <c r="G1872" t="s">
        <v>2060</v>
      </c>
    </row>
    <row r="1873" spans="7:7">
      <c r="G1873" t="s">
        <v>2061</v>
      </c>
    </row>
    <row r="1874" spans="7:7">
      <c r="G1874" t="s">
        <v>2062</v>
      </c>
    </row>
    <row r="1875" spans="7:7">
      <c r="G1875" t="s">
        <v>2063</v>
      </c>
    </row>
    <row r="1876" spans="7:7">
      <c r="G1876" t="s">
        <v>2064</v>
      </c>
    </row>
    <row r="1877" spans="7:7">
      <c r="G1877" t="s">
        <v>2065</v>
      </c>
    </row>
    <row r="1878" spans="7:7">
      <c r="G1878" t="s">
        <v>2066</v>
      </c>
    </row>
    <row r="1879" spans="7:7">
      <c r="G1879" t="s">
        <v>2067</v>
      </c>
    </row>
    <row r="1880" spans="7:7">
      <c r="G1880" t="s">
        <v>2068</v>
      </c>
    </row>
    <row r="1881" spans="7:7">
      <c r="G1881" t="s">
        <v>2069</v>
      </c>
    </row>
    <row r="1882" spans="7:7">
      <c r="G1882" t="s">
        <v>2070</v>
      </c>
    </row>
    <row r="1883" spans="7:7">
      <c r="G1883" t="s">
        <v>2071</v>
      </c>
    </row>
    <row r="1884" spans="7:7">
      <c r="G1884" t="s">
        <v>2072</v>
      </c>
    </row>
    <row r="1885" spans="7:7">
      <c r="G1885" t="s">
        <v>2073</v>
      </c>
    </row>
    <row r="1886" spans="7:7">
      <c r="G1886" t="s">
        <v>2074</v>
      </c>
    </row>
    <row r="1887" spans="7:7">
      <c r="G1887" t="s">
        <v>2075</v>
      </c>
    </row>
    <row r="1888" spans="7:7">
      <c r="G1888" t="s">
        <v>2076</v>
      </c>
    </row>
    <row r="1889" spans="7:7">
      <c r="G1889" t="s">
        <v>2077</v>
      </c>
    </row>
    <row r="1890" spans="7:7">
      <c r="G1890" t="s">
        <v>2078</v>
      </c>
    </row>
    <row r="1891" spans="7:7">
      <c r="G1891" t="s">
        <v>2079</v>
      </c>
    </row>
    <row r="1892" spans="7:7">
      <c r="G1892" t="s">
        <v>2080</v>
      </c>
    </row>
    <row r="1893" spans="7:7">
      <c r="G1893" t="s">
        <v>2081</v>
      </c>
    </row>
    <row r="1894" spans="7:7">
      <c r="G1894" t="s">
        <v>2082</v>
      </c>
    </row>
    <row r="1895" spans="7:7">
      <c r="G1895" t="s">
        <v>2083</v>
      </c>
    </row>
    <row r="1896" spans="7:7">
      <c r="G1896" t="s">
        <v>2084</v>
      </c>
    </row>
    <row r="1897" spans="7:7">
      <c r="G1897" t="s">
        <v>2085</v>
      </c>
    </row>
    <row r="1898" spans="7:7">
      <c r="G1898" t="s">
        <v>2086</v>
      </c>
    </row>
    <row r="1899" spans="7:7">
      <c r="G1899" t="s">
        <v>2087</v>
      </c>
    </row>
    <row r="1900" spans="7:7">
      <c r="G1900" t="s">
        <v>2088</v>
      </c>
    </row>
    <row r="1901" spans="7:7">
      <c r="G1901" t="s">
        <v>2089</v>
      </c>
    </row>
    <row r="1902" spans="7:7">
      <c r="G1902" t="s">
        <v>2090</v>
      </c>
    </row>
    <row r="1903" spans="7:7">
      <c r="G1903" t="s">
        <v>2091</v>
      </c>
    </row>
    <row r="1904" spans="7:7">
      <c r="G1904" t="s">
        <v>2092</v>
      </c>
    </row>
    <row r="1905" spans="7:7">
      <c r="G1905" t="s">
        <v>2093</v>
      </c>
    </row>
    <row r="1906" spans="7:7">
      <c r="G1906" t="s">
        <v>2094</v>
      </c>
    </row>
    <row r="1907" spans="7:7">
      <c r="G1907" t="s">
        <v>2095</v>
      </c>
    </row>
    <row r="1908" spans="7:7">
      <c r="G1908" t="s">
        <v>2096</v>
      </c>
    </row>
    <row r="1909" spans="7:7">
      <c r="G1909" t="s">
        <v>2097</v>
      </c>
    </row>
    <row r="1910" spans="7:7">
      <c r="G1910" t="s">
        <v>2098</v>
      </c>
    </row>
    <row r="1911" spans="7:7">
      <c r="G1911" t="s">
        <v>2099</v>
      </c>
    </row>
    <row r="1912" spans="7:7">
      <c r="G1912" t="s">
        <v>2100</v>
      </c>
    </row>
    <row r="1913" spans="7:7">
      <c r="G1913" t="s">
        <v>2101</v>
      </c>
    </row>
    <row r="1914" spans="7:7">
      <c r="G1914" t="s">
        <v>2102</v>
      </c>
    </row>
    <row r="1915" spans="7:7">
      <c r="G1915" t="s">
        <v>2103</v>
      </c>
    </row>
    <row r="1916" spans="7:7">
      <c r="G1916" t="s">
        <v>2104</v>
      </c>
    </row>
    <row r="1917" spans="7:7">
      <c r="G1917" t="s">
        <v>2105</v>
      </c>
    </row>
    <row r="1918" spans="7:7">
      <c r="G1918" t="s">
        <v>2106</v>
      </c>
    </row>
    <row r="1919" spans="7:7">
      <c r="G1919" t="s">
        <v>2107</v>
      </c>
    </row>
    <row r="1920" spans="7:7">
      <c r="G1920" t="s">
        <v>2108</v>
      </c>
    </row>
    <row r="1921" spans="7:7">
      <c r="G1921" t="s">
        <v>2109</v>
      </c>
    </row>
    <row r="1922" spans="7:7">
      <c r="G1922" t="s">
        <v>2110</v>
      </c>
    </row>
    <row r="1923" spans="7:7">
      <c r="G1923" t="s">
        <v>2111</v>
      </c>
    </row>
    <row r="1924" spans="7:7">
      <c r="G1924" t="s">
        <v>2112</v>
      </c>
    </row>
    <row r="1925" spans="7:7">
      <c r="G1925" t="s">
        <v>2113</v>
      </c>
    </row>
    <row r="1926" spans="7:7">
      <c r="G1926" t="s">
        <v>2114</v>
      </c>
    </row>
    <row r="1927" spans="7:7">
      <c r="G1927" t="s">
        <v>2115</v>
      </c>
    </row>
    <row r="1928" spans="7:7">
      <c r="G1928" t="s">
        <v>2116</v>
      </c>
    </row>
    <row r="1929" spans="7:7">
      <c r="G1929" t="s">
        <v>2117</v>
      </c>
    </row>
    <row r="1930" spans="7:7">
      <c r="G1930" t="s">
        <v>2118</v>
      </c>
    </row>
    <row r="1931" spans="7:7">
      <c r="G1931" t="s">
        <v>2119</v>
      </c>
    </row>
    <row r="1932" spans="7:7">
      <c r="G1932" t="s">
        <v>2120</v>
      </c>
    </row>
    <row r="1933" spans="7:7">
      <c r="G1933" t="s">
        <v>2121</v>
      </c>
    </row>
    <row r="1934" spans="7:7">
      <c r="G1934" t="s">
        <v>2122</v>
      </c>
    </row>
    <row r="1935" spans="7:7">
      <c r="G1935" t="s">
        <v>2123</v>
      </c>
    </row>
    <row r="1936" spans="7:7">
      <c r="G1936" t="s">
        <v>2124</v>
      </c>
    </row>
    <row r="1937" spans="7:7">
      <c r="G1937" t="s">
        <v>2125</v>
      </c>
    </row>
    <row r="1938" spans="7:7">
      <c r="G1938" t="s">
        <v>2126</v>
      </c>
    </row>
    <row r="1939" spans="7:7">
      <c r="G1939" t="s">
        <v>2127</v>
      </c>
    </row>
    <row r="1940" spans="7:7">
      <c r="G1940" t="s">
        <v>2128</v>
      </c>
    </row>
    <row r="1941" spans="7:7">
      <c r="G1941" t="s">
        <v>2129</v>
      </c>
    </row>
    <row r="1942" spans="7:7">
      <c r="G1942" t="s">
        <v>2130</v>
      </c>
    </row>
    <row r="1943" spans="7:7">
      <c r="G1943" t="s">
        <v>2131</v>
      </c>
    </row>
    <row r="1944" spans="7:7">
      <c r="G1944" t="s">
        <v>2132</v>
      </c>
    </row>
    <row r="1945" spans="7:7">
      <c r="G1945" t="s">
        <v>2133</v>
      </c>
    </row>
    <row r="1946" spans="7:7">
      <c r="G1946" t="s">
        <v>2134</v>
      </c>
    </row>
    <row r="1947" spans="7:7">
      <c r="G1947" t="s">
        <v>2135</v>
      </c>
    </row>
    <row r="1948" spans="7:7">
      <c r="G1948" t="s">
        <v>2136</v>
      </c>
    </row>
    <row r="1949" spans="7:7">
      <c r="G1949" t="s">
        <v>2137</v>
      </c>
    </row>
    <row r="1950" spans="7:7">
      <c r="G1950" t="s">
        <v>2138</v>
      </c>
    </row>
    <row r="1951" spans="7:7">
      <c r="G1951" t="s">
        <v>2139</v>
      </c>
    </row>
    <row r="1952" spans="7:7">
      <c r="G1952" t="s">
        <v>2140</v>
      </c>
    </row>
    <row r="1953" spans="7:7">
      <c r="G1953" t="s">
        <v>2141</v>
      </c>
    </row>
    <row r="1954" spans="7:7">
      <c r="G1954" t="s">
        <v>2142</v>
      </c>
    </row>
    <row r="1955" spans="7:7">
      <c r="G1955" t="s">
        <v>2143</v>
      </c>
    </row>
    <row r="1956" spans="7:7">
      <c r="G1956" t="s">
        <v>2144</v>
      </c>
    </row>
    <row r="1957" spans="7:7">
      <c r="G1957" t="s">
        <v>2145</v>
      </c>
    </row>
    <row r="1958" spans="7:7">
      <c r="G1958" t="s">
        <v>2146</v>
      </c>
    </row>
    <row r="1959" spans="7:7">
      <c r="G1959" t="s">
        <v>2147</v>
      </c>
    </row>
    <row r="1960" spans="7:7">
      <c r="G1960" t="s">
        <v>2148</v>
      </c>
    </row>
    <row r="1961" spans="7:7">
      <c r="G1961" t="s">
        <v>2149</v>
      </c>
    </row>
    <row r="1962" spans="7:7">
      <c r="G1962" t="s">
        <v>2150</v>
      </c>
    </row>
    <row r="1963" spans="7:7">
      <c r="G1963" t="s">
        <v>2151</v>
      </c>
    </row>
    <row r="1964" spans="7:7">
      <c r="G1964" t="s">
        <v>2152</v>
      </c>
    </row>
    <row r="1965" spans="7:7">
      <c r="G1965" t="s">
        <v>2153</v>
      </c>
    </row>
    <row r="1966" spans="7:7">
      <c r="G1966" t="s">
        <v>2154</v>
      </c>
    </row>
    <row r="1967" spans="7:7">
      <c r="G1967" t="s">
        <v>2155</v>
      </c>
    </row>
    <row r="1968" spans="7:7">
      <c r="G1968" t="s">
        <v>2156</v>
      </c>
    </row>
    <row r="1969" spans="7:7">
      <c r="G1969" t="s">
        <v>2157</v>
      </c>
    </row>
    <row r="1970" spans="7:7">
      <c r="G1970" t="s">
        <v>2158</v>
      </c>
    </row>
    <row r="1971" spans="7:7">
      <c r="G1971" t="s">
        <v>2159</v>
      </c>
    </row>
    <row r="1972" spans="7:7">
      <c r="G1972" t="s">
        <v>2160</v>
      </c>
    </row>
    <row r="1973" spans="7:7">
      <c r="G1973" t="s">
        <v>2161</v>
      </c>
    </row>
    <row r="1974" spans="7:7">
      <c r="G1974" t="s">
        <v>2162</v>
      </c>
    </row>
    <row r="1975" spans="7:7">
      <c r="G1975" t="s">
        <v>2163</v>
      </c>
    </row>
    <row r="1976" spans="7:7">
      <c r="G1976" t="s">
        <v>2164</v>
      </c>
    </row>
    <row r="1977" spans="7:7">
      <c r="G1977" t="s">
        <v>2165</v>
      </c>
    </row>
    <row r="1978" spans="7:7">
      <c r="G1978" t="s">
        <v>2166</v>
      </c>
    </row>
    <row r="1979" spans="7:7">
      <c r="G1979" t="s">
        <v>2167</v>
      </c>
    </row>
    <row r="1980" spans="7:7">
      <c r="G1980" t="s">
        <v>2168</v>
      </c>
    </row>
    <row r="1981" spans="7:7">
      <c r="G1981" t="s">
        <v>2169</v>
      </c>
    </row>
    <row r="1982" spans="7:7">
      <c r="G1982" t="s">
        <v>2170</v>
      </c>
    </row>
    <row r="1983" spans="7:7">
      <c r="G1983" t="s">
        <v>2171</v>
      </c>
    </row>
    <row r="1984" spans="7:7">
      <c r="G1984" t="s">
        <v>2172</v>
      </c>
    </row>
    <row r="1985" spans="7:7">
      <c r="G1985" t="s">
        <v>2173</v>
      </c>
    </row>
    <row r="1986" spans="7:7">
      <c r="G1986" t="s">
        <v>2174</v>
      </c>
    </row>
    <row r="1987" spans="7:7">
      <c r="G1987" t="s">
        <v>2175</v>
      </c>
    </row>
    <row r="1988" spans="7:7">
      <c r="G1988" t="s">
        <v>2176</v>
      </c>
    </row>
    <row r="1989" spans="7:7">
      <c r="G1989" t="s">
        <v>2177</v>
      </c>
    </row>
    <row r="1990" spans="7:7">
      <c r="G1990" t="s">
        <v>2178</v>
      </c>
    </row>
    <row r="1991" spans="7:7">
      <c r="G1991" t="s">
        <v>2179</v>
      </c>
    </row>
    <row r="1992" spans="7:7">
      <c r="G1992" t="s">
        <v>2180</v>
      </c>
    </row>
    <row r="1993" spans="7:7">
      <c r="G1993" t="s">
        <v>2181</v>
      </c>
    </row>
    <row r="1994" spans="7:7">
      <c r="G1994" t="s">
        <v>2182</v>
      </c>
    </row>
    <row r="1995" spans="7:7">
      <c r="G1995" t="s">
        <v>2183</v>
      </c>
    </row>
    <row r="1996" spans="7:7">
      <c r="G1996" t="s">
        <v>2184</v>
      </c>
    </row>
    <row r="1997" spans="7:7">
      <c r="G1997" t="s">
        <v>2185</v>
      </c>
    </row>
    <row r="1998" spans="7:7">
      <c r="G1998" t="s">
        <v>2186</v>
      </c>
    </row>
    <row r="1999" spans="7:7">
      <c r="G1999" t="s">
        <v>2187</v>
      </c>
    </row>
    <row r="2000" spans="7:7">
      <c r="G2000" t="s">
        <v>2188</v>
      </c>
    </row>
    <row r="2001" spans="7:7">
      <c r="G2001" t="s">
        <v>2189</v>
      </c>
    </row>
    <row r="2002" spans="7:7">
      <c r="G2002" t="s">
        <v>2190</v>
      </c>
    </row>
    <row r="2003" spans="7:7">
      <c r="G2003" t="s">
        <v>2191</v>
      </c>
    </row>
    <row r="2004" spans="7:7">
      <c r="G2004" t="s">
        <v>2192</v>
      </c>
    </row>
    <row r="2005" spans="7:7">
      <c r="G2005" t="s">
        <v>2193</v>
      </c>
    </row>
    <row r="2006" spans="7:7">
      <c r="G2006" t="s">
        <v>2194</v>
      </c>
    </row>
    <row r="2007" spans="7:7">
      <c r="G2007" t="s">
        <v>2195</v>
      </c>
    </row>
    <row r="2008" spans="7:7">
      <c r="G2008" t="s">
        <v>2196</v>
      </c>
    </row>
    <row r="2009" spans="7:7">
      <c r="G2009" t="s">
        <v>2197</v>
      </c>
    </row>
    <row r="2010" spans="7:7">
      <c r="G2010" t="s">
        <v>2198</v>
      </c>
    </row>
    <row r="2011" spans="7:7">
      <c r="G2011" t="s">
        <v>2199</v>
      </c>
    </row>
    <row r="2012" spans="7:7">
      <c r="G2012" t="s">
        <v>2200</v>
      </c>
    </row>
    <row r="2013" spans="7:7">
      <c r="G2013" t="s">
        <v>2201</v>
      </c>
    </row>
    <row r="2014" spans="7:7">
      <c r="G2014" t="s">
        <v>2202</v>
      </c>
    </row>
    <row r="2015" spans="7:7">
      <c r="G2015" t="s">
        <v>2203</v>
      </c>
    </row>
    <row r="2016" spans="7:7">
      <c r="G2016" t="s">
        <v>2204</v>
      </c>
    </row>
    <row r="2017" spans="7:7">
      <c r="G2017" t="s">
        <v>2205</v>
      </c>
    </row>
    <row r="2018" spans="7:7">
      <c r="G2018" t="s">
        <v>2206</v>
      </c>
    </row>
    <row r="2019" spans="7:7">
      <c r="G2019" t="s">
        <v>2207</v>
      </c>
    </row>
    <row r="2020" spans="7:7">
      <c r="G2020" t="s">
        <v>2208</v>
      </c>
    </row>
    <row r="2021" spans="7:7">
      <c r="G2021" t="s">
        <v>2209</v>
      </c>
    </row>
    <row r="2022" spans="7:7">
      <c r="G2022" t="s">
        <v>2210</v>
      </c>
    </row>
    <row r="2023" spans="7:7">
      <c r="G2023" t="s">
        <v>2211</v>
      </c>
    </row>
    <row r="2024" spans="7:7">
      <c r="G2024" t="s">
        <v>2212</v>
      </c>
    </row>
    <row r="2025" spans="7:7">
      <c r="G2025" t="s">
        <v>2213</v>
      </c>
    </row>
    <row r="2026" spans="7:7">
      <c r="G2026" t="s">
        <v>2214</v>
      </c>
    </row>
    <row r="2027" spans="7:7">
      <c r="G2027" t="s">
        <v>2215</v>
      </c>
    </row>
    <row r="2028" spans="7:7">
      <c r="G2028" t="s">
        <v>2216</v>
      </c>
    </row>
    <row r="2029" spans="7:7">
      <c r="G2029" t="s">
        <v>2217</v>
      </c>
    </row>
    <row r="2030" spans="7:7">
      <c r="G2030" t="s">
        <v>2218</v>
      </c>
    </row>
    <row r="2031" spans="7:7">
      <c r="G2031" t="s">
        <v>2219</v>
      </c>
    </row>
    <row r="2032" spans="7:7">
      <c r="G2032" t="s">
        <v>2220</v>
      </c>
    </row>
    <row r="2033" spans="7:7">
      <c r="G2033" t="s">
        <v>2221</v>
      </c>
    </row>
    <row r="2034" spans="7:7">
      <c r="G2034" t="s">
        <v>2222</v>
      </c>
    </row>
    <row r="2035" spans="7:7">
      <c r="G2035" t="s">
        <v>2223</v>
      </c>
    </row>
    <row r="2036" spans="7:7">
      <c r="G2036" t="s">
        <v>2224</v>
      </c>
    </row>
    <row r="2037" spans="7:7">
      <c r="G2037" t="s">
        <v>2225</v>
      </c>
    </row>
    <row r="2038" spans="7:7">
      <c r="G2038" t="s">
        <v>2226</v>
      </c>
    </row>
    <row r="2039" spans="7:7">
      <c r="G2039" t="s">
        <v>2227</v>
      </c>
    </row>
    <row r="2040" spans="7:7">
      <c r="G2040" t="s">
        <v>2228</v>
      </c>
    </row>
    <row r="2041" spans="7:7">
      <c r="G2041" t="s">
        <v>2229</v>
      </c>
    </row>
    <row r="2042" spans="7:7">
      <c r="G2042" t="s">
        <v>2230</v>
      </c>
    </row>
    <row r="2043" spans="7:7">
      <c r="G2043" t="s">
        <v>2231</v>
      </c>
    </row>
    <row r="2044" spans="7:7">
      <c r="G2044" t="s">
        <v>2232</v>
      </c>
    </row>
    <row r="2045" spans="7:7">
      <c r="G2045" t="s">
        <v>2233</v>
      </c>
    </row>
    <row r="2046" spans="7:7">
      <c r="G2046" t="s">
        <v>2234</v>
      </c>
    </row>
    <row r="2047" spans="7:7">
      <c r="G2047" t="s">
        <v>2235</v>
      </c>
    </row>
    <row r="2048" spans="7:7">
      <c r="G2048" t="s">
        <v>2236</v>
      </c>
    </row>
    <row r="2049" spans="7:7">
      <c r="G2049" t="s">
        <v>2237</v>
      </c>
    </row>
    <row r="2050" spans="7:7">
      <c r="G2050" t="s">
        <v>2238</v>
      </c>
    </row>
    <row r="2051" spans="7:7">
      <c r="G2051" t="s">
        <v>2239</v>
      </c>
    </row>
    <row r="2052" spans="7:7">
      <c r="G2052" t="s">
        <v>2240</v>
      </c>
    </row>
    <row r="2053" spans="7:7">
      <c r="G2053" t="s">
        <v>2241</v>
      </c>
    </row>
    <row r="2054" spans="7:7">
      <c r="G2054" t="s">
        <v>2242</v>
      </c>
    </row>
    <row r="2055" spans="7:7">
      <c r="G2055" t="s">
        <v>2243</v>
      </c>
    </row>
    <row r="2056" spans="7:7">
      <c r="G2056" t="s">
        <v>2244</v>
      </c>
    </row>
    <row r="2057" spans="7:7">
      <c r="G2057" t="s">
        <v>2245</v>
      </c>
    </row>
    <row r="2058" spans="7:7">
      <c r="G2058" t="s">
        <v>2246</v>
      </c>
    </row>
    <row r="2059" spans="7:7">
      <c r="G2059" t="s">
        <v>2247</v>
      </c>
    </row>
    <row r="2060" spans="7:7">
      <c r="G2060" t="s">
        <v>2248</v>
      </c>
    </row>
    <row r="2061" spans="7:7">
      <c r="G2061" t="s">
        <v>2249</v>
      </c>
    </row>
    <row r="2062" spans="7:7">
      <c r="G2062" t="s">
        <v>2250</v>
      </c>
    </row>
    <row r="2063" spans="7:7">
      <c r="G2063" t="s">
        <v>2251</v>
      </c>
    </row>
    <row r="2064" spans="7:7">
      <c r="G2064" t="s">
        <v>2252</v>
      </c>
    </row>
    <row r="2065" spans="7:7">
      <c r="G2065" t="s">
        <v>2253</v>
      </c>
    </row>
    <row r="2066" spans="7:7">
      <c r="G2066" t="s">
        <v>2254</v>
      </c>
    </row>
    <row r="2067" spans="7:7">
      <c r="G2067" t="s">
        <v>2255</v>
      </c>
    </row>
    <row r="2068" spans="7:7">
      <c r="G2068" t="s">
        <v>2256</v>
      </c>
    </row>
    <row r="2069" spans="7:7">
      <c r="G2069" t="s">
        <v>2257</v>
      </c>
    </row>
    <row r="2070" spans="7:7">
      <c r="G2070" t="s">
        <v>2258</v>
      </c>
    </row>
    <row r="2071" spans="7:7">
      <c r="G2071" t="s">
        <v>2259</v>
      </c>
    </row>
    <row r="2072" spans="7:7">
      <c r="G2072" t="s">
        <v>2260</v>
      </c>
    </row>
    <row r="2073" spans="7:7">
      <c r="G2073" t="s">
        <v>2261</v>
      </c>
    </row>
    <row r="2074" spans="7:7">
      <c r="G2074" t="s">
        <v>2262</v>
      </c>
    </row>
    <row r="2075" spans="7:7">
      <c r="G2075" t="s">
        <v>2263</v>
      </c>
    </row>
    <row r="2076" spans="7:7">
      <c r="G2076" t="s">
        <v>2264</v>
      </c>
    </row>
    <row r="2077" spans="7:7">
      <c r="G2077" t="s">
        <v>2265</v>
      </c>
    </row>
    <row r="2078" spans="7:7">
      <c r="G2078" t="s">
        <v>2266</v>
      </c>
    </row>
    <row r="2079" spans="7:7">
      <c r="G2079" t="s">
        <v>2267</v>
      </c>
    </row>
    <row r="2080" spans="7:7">
      <c r="G2080" t="s">
        <v>2268</v>
      </c>
    </row>
    <row r="2081" spans="7:7">
      <c r="G2081" t="s">
        <v>2269</v>
      </c>
    </row>
    <row r="2082" spans="7:7">
      <c r="G2082" t="s">
        <v>2270</v>
      </c>
    </row>
    <row r="2083" spans="7:7">
      <c r="G2083" t="s">
        <v>2271</v>
      </c>
    </row>
    <row r="2084" spans="7:7">
      <c r="G2084" t="s">
        <v>2272</v>
      </c>
    </row>
    <row r="2085" spans="7:7">
      <c r="G2085" t="s">
        <v>2273</v>
      </c>
    </row>
    <row r="2086" spans="7:7">
      <c r="G2086" t="s">
        <v>2274</v>
      </c>
    </row>
    <row r="2087" spans="7:7">
      <c r="G2087" t="s">
        <v>2275</v>
      </c>
    </row>
    <row r="2088" spans="7:7">
      <c r="G2088" t="s">
        <v>2276</v>
      </c>
    </row>
    <row r="2089" spans="7:7">
      <c r="G2089" t="s">
        <v>2277</v>
      </c>
    </row>
    <row r="2090" spans="7:7">
      <c r="G2090" t="s">
        <v>2278</v>
      </c>
    </row>
    <row r="2091" spans="7:7">
      <c r="G2091" t="s">
        <v>2279</v>
      </c>
    </row>
    <row r="2092" spans="7:7">
      <c r="G2092" t="s">
        <v>2280</v>
      </c>
    </row>
    <row r="2093" spans="7:7">
      <c r="G2093" t="s">
        <v>2281</v>
      </c>
    </row>
    <row r="2094" spans="7:7">
      <c r="G2094" t="s">
        <v>2282</v>
      </c>
    </row>
    <row r="2095" spans="7:7">
      <c r="G2095" t="s">
        <v>2283</v>
      </c>
    </row>
    <row r="2096" spans="7:7">
      <c r="G2096" t="s">
        <v>2284</v>
      </c>
    </row>
    <row r="2097" spans="7:7">
      <c r="G2097" t="s">
        <v>2285</v>
      </c>
    </row>
    <row r="2098" spans="7:7">
      <c r="G2098" t="s">
        <v>2286</v>
      </c>
    </row>
    <row r="2099" spans="7:7">
      <c r="G2099" t="s">
        <v>2287</v>
      </c>
    </row>
    <row r="2100" spans="7:7">
      <c r="G2100" t="s">
        <v>2288</v>
      </c>
    </row>
    <row r="2101" spans="7:7">
      <c r="G2101" t="s">
        <v>2289</v>
      </c>
    </row>
    <row r="2102" spans="7:7">
      <c r="G2102" t="s">
        <v>2290</v>
      </c>
    </row>
    <row r="2103" spans="7:7">
      <c r="G2103" t="s">
        <v>2291</v>
      </c>
    </row>
    <row r="2104" spans="7:7">
      <c r="G2104" t="s">
        <v>2292</v>
      </c>
    </row>
    <row r="2105" spans="7:7">
      <c r="G2105" t="s">
        <v>2293</v>
      </c>
    </row>
    <row r="2106" spans="7:7">
      <c r="G2106" t="s">
        <v>2294</v>
      </c>
    </row>
    <row r="2107" spans="7:7">
      <c r="G2107" t="s">
        <v>2295</v>
      </c>
    </row>
    <row r="2108" spans="7:7">
      <c r="G2108" t="s">
        <v>2296</v>
      </c>
    </row>
    <row r="2109" spans="7:7">
      <c r="G2109" t="s">
        <v>2297</v>
      </c>
    </row>
    <row r="2110" spans="7:7">
      <c r="G2110" t="s">
        <v>2298</v>
      </c>
    </row>
    <row r="2111" spans="7:7">
      <c r="G2111" t="s">
        <v>2299</v>
      </c>
    </row>
    <row r="2112" spans="7:7">
      <c r="G2112" t="s">
        <v>2300</v>
      </c>
    </row>
    <row r="2113" spans="7:7">
      <c r="G2113" t="s">
        <v>2301</v>
      </c>
    </row>
    <row r="2114" spans="7:7">
      <c r="G2114" t="s">
        <v>2302</v>
      </c>
    </row>
    <row r="2115" spans="7:7">
      <c r="G2115" t="s">
        <v>2303</v>
      </c>
    </row>
    <row r="2116" spans="7:7">
      <c r="G2116" t="s">
        <v>2304</v>
      </c>
    </row>
    <row r="2117" spans="7:7">
      <c r="G2117" t="s">
        <v>2305</v>
      </c>
    </row>
    <row r="2118" spans="7:7">
      <c r="G2118" t="s">
        <v>2306</v>
      </c>
    </row>
    <row r="2119" spans="7:7">
      <c r="G2119" t="s">
        <v>2307</v>
      </c>
    </row>
    <row r="2120" spans="7:7">
      <c r="G2120" t="s">
        <v>2308</v>
      </c>
    </row>
    <row r="2121" spans="7:7">
      <c r="G2121" t="s">
        <v>2309</v>
      </c>
    </row>
    <row r="2122" spans="7:7">
      <c r="G2122" t="s">
        <v>2310</v>
      </c>
    </row>
    <row r="2123" spans="7:7">
      <c r="G2123" t="s">
        <v>2311</v>
      </c>
    </row>
    <row r="2124" spans="7:7">
      <c r="G2124" t="s">
        <v>2312</v>
      </c>
    </row>
    <row r="2125" spans="7:7">
      <c r="G2125" t="s">
        <v>2313</v>
      </c>
    </row>
    <row r="2126" spans="7:7">
      <c r="G2126" t="s">
        <v>2314</v>
      </c>
    </row>
    <row r="2127" spans="7:7">
      <c r="G2127" t="s">
        <v>2315</v>
      </c>
    </row>
    <row r="2128" spans="7:7">
      <c r="G2128" t="s">
        <v>2316</v>
      </c>
    </row>
    <row r="2129" spans="7:7">
      <c r="G2129" t="s">
        <v>2317</v>
      </c>
    </row>
    <row r="2130" spans="7:7">
      <c r="G2130" t="s">
        <v>2318</v>
      </c>
    </row>
    <row r="2131" spans="7:7">
      <c r="G2131" t="s">
        <v>2319</v>
      </c>
    </row>
    <row r="2132" spans="7:7">
      <c r="G2132" t="s">
        <v>2320</v>
      </c>
    </row>
    <row r="2133" spans="7:7">
      <c r="G2133" t="s">
        <v>2321</v>
      </c>
    </row>
    <row r="2134" spans="7:7">
      <c r="G2134" t="s">
        <v>2322</v>
      </c>
    </row>
    <row r="2135" spans="7:7">
      <c r="G2135" t="s">
        <v>2323</v>
      </c>
    </row>
    <row r="2136" spans="7:7">
      <c r="G2136" t="s">
        <v>2324</v>
      </c>
    </row>
    <row r="2137" spans="7:7">
      <c r="G2137" t="s">
        <v>2325</v>
      </c>
    </row>
    <row r="2138" spans="7:7">
      <c r="G2138" t="s">
        <v>2326</v>
      </c>
    </row>
    <row r="2139" spans="7:7">
      <c r="G2139" t="s">
        <v>2327</v>
      </c>
    </row>
    <row r="2140" spans="7:7">
      <c r="G2140" t="s">
        <v>2328</v>
      </c>
    </row>
    <row r="2141" spans="7:7">
      <c r="G2141" t="s">
        <v>2329</v>
      </c>
    </row>
    <row r="2142" spans="7:7">
      <c r="G2142" t="s">
        <v>2330</v>
      </c>
    </row>
    <row r="2143" spans="7:7">
      <c r="G2143" t="s">
        <v>2331</v>
      </c>
    </row>
    <row r="2144" spans="7:7">
      <c r="G2144" t="s">
        <v>2332</v>
      </c>
    </row>
    <row r="2145" spans="7:7">
      <c r="G2145" t="s">
        <v>2333</v>
      </c>
    </row>
    <row r="2146" spans="7:7">
      <c r="G2146" t="s">
        <v>2334</v>
      </c>
    </row>
    <row r="2147" spans="7:7">
      <c r="G2147" t="s">
        <v>2335</v>
      </c>
    </row>
    <row r="2148" spans="7:7">
      <c r="G2148" t="s">
        <v>2336</v>
      </c>
    </row>
    <row r="2149" spans="7:7">
      <c r="G2149" t="s">
        <v>2337</v>
      </c>
    </row>
    <row r="2150" spans="7:7">
      <c r="G2150" t="s">
        <v>2338</v>
      </c>
    </row>
    <row r="2151" spans="7:7">
      <c r="G2151" t="s">
        <v>2339</v>
      </c>
    </row>
    <row r="2152" spans="7:7">
      <c r="G2152" t="s">
        <v>2340</v>
      </c>
    </row>
    <row r="2153" spans="7:7">
      <c r="G2153" t="s">
        <v>2341</v>
      </c>
    </row>
    <row r="2154" spans="7:7">
      <c r="G2154" t="s">
        <v>2342</v>
      </c>
    </row>
    <row r="2155" spans="7:7">
      <c r="G2155" t="s">
        <v>2343</v>
      </c>
    </row>
    <row r="2156" spans="7:7">
      <c r="G2156" t="s">
        <v>2344</v>
      </c>
    </row>
    <row r="2157" spans="7:7">
      <c r="G2157" t="s">
        <v>2345</v>
      </c>
    </row>
    <row r="2158" spans="7:7">
      <c r="G2158" t="s">
        <v>2346</v>
      </c>
    </row>
    <row r="2159" spans="7:7">
      <c r="G2159" t="s">
        <v>2347</v>
      </c>
    </row>
    <row r="2160" spans="7:7">
      <c r="G2160" t="s">
        <v>2348</v>
      </c>
    </row>
    <row r="2161" spans="7:7">
      <c r="G2161" t="s">
        <v>2349</v>
      </c>
    </row>
    <row r="2162" spans="7:7">
      <c r="G2162" t="s">
        <v>2350</v>
      </c>
    </row>
    <row r="2163" spans="7:7">
      <c r="G2163" t="s">
        <v>2351</v>
      </c>
    </row>
    <row r="2164" spans="7:7">
      <c r="G2164" t="s">
        <v>2352</v>
      </c>
    </row>
    <row r="2165" spans="7:7">
      <c r="G2165" t="s">
        <v>2353</v>
      </c>
    </row>
    <row r="2166" spans="7:7">
      <c r="G2166" t="s">
        <v>2354</v>
      </c>
    </row>
    <row r="2167" spans="7:7">
      <c r="G2167" t="s">
        <v>2355</v>
      </c>
    </row>
    <row r="2168" spans="7:7">
      <c r="G2168" t="s">
        <v>2356</v>
      </c>
    </row>
    <row r="2169" spans="7:7">
      <c r="G2169" t="s">
        <v>2357</v>
      </c>
    </row>
    <row r="2170" spans="7:7">
      <c r="G2170" t="s">
        <v>2358</v>
      </c>
    </row>
    <row r="2171" spans="7:7">
      <c r="G2171" t="s">
        <v>2359</v>
      </c>
    </row>
    <row r="2172" spans="7:7">
      <c r="G2172" t="s">
        <v>2360</v>
      </c>
    </row>
    <row r="2173" spans="7:7">
      <c r="G2173" t="s">
        <v>2361</v>
      </c>
    </row>
    <row r="2174" spans="7:7">
      <c r="G2174" t="s">
        <v>2362</v>
      </c>
    </row>
    <row r="2175" spans="7:7">
      <c r="G2175" t="s">
        <v>2363</v>
      </c>
    </row>
    <row r="2176" spans="7:7">
      <c r="G2176" t="s">
        <v>2364</v>
      </c>
    </row>
    <row r="2177" spans="7:7">
      <c r="G2177" t="s">
        <v>2365</v>
      </c>
    </row>
    <row r="2178" spans="7:7">
      <c r="G2178" t="s">
        <v>2366</v>
      </c>
    </row>
    <row r="2179" spans="7:7">
      <c r="G2179" t="s">
        <v>2367</v>
      </c>
    </row>
    <row r="2180" spans="7:7">
      <c r="G2180" t="s">
        <v>2368</v>
      </c>
    </row>
    <row r="2181" spans="7:7">
      <c r="G2181" t="s">
        <v>2369</v>
      </c>
    </row>
    <row r="2182" spans="7:7">
      <c r="G2182" t="s">
        <v>2370</v>
      </c>
    </row>
    <row r="2183" spans="7:7">
      <c r="G2183" t="s">
        <v>2371</v>
      </c>
    </row>
    <row r="2184" spans="7:7">
      <c r="G2184" t="s">
        <v>2372</v>
      </c>
    </row>
    <row r="2185" spans="7:7">
      <c r="G2185" t="s">
        <v>2373</v>
      </c>
    </row>
    <row r="2186" spans="7:7">
      <c r="G2186" t="s">
        <v>2374</v>
      </c>
    </row>
    <row r="2187" spans="7:7">
      <c r="G2187" t="s">
        <v>2375</v>
      </c>
    </row>
    <row r="2188" spans="7:7">
      <c r="G2188" t="s">
        <v>2376</v>
      </c>
    </row>
    <row r="2189" spans="7:7">
      <c r="G2189" t="s">
        <v>2377</v>
      </c>
    </row>
    <row r="2190" spans="7:7">
      <c r="G2190" t="s">
        <v>2378</v>
      </c>
    </row>
    <row r="2191" spans="7:7">
      <c r="G2191" t="s">
        <v>2379</v>
      </c>
    </row>
    <row r="2192" spans="7:7">
      <c r="G2192" t="s">
        <v>2380</v>
      </c>
    </row>
    <row r="2193" spans="7:7">
      <c r="G2193" t="s">
        <v>2381</v>
      </c>
    </row>
    <row r="2194" spans="7:7">
      <c r="G2194" t="s">
        <v>2382</v>
      </c>
    </row>
    <row r="2195" spans="7:7">
      <c r="G2195" t="s">
        <v>2383</v>
      </c>
    </row>
    <row r="2196" spans="7:7">
      <c r="G2196" t="s">
        <v>2384</v>
      </c>
    </row>
    <row r="2197" spans="7:7">
      <c r="G2197" t="s">
        <v>2385</v>
      </c>
    </row>
    <row r="2198" spans="7:7">
      <c r="G2198" t="s">
        <v>2386</v>
      </c>
    </row>
    <row r="2199" spans="7:7">
      <c r="G2199" t="s">
        <v>2387</v>
      </c>
    </row>
    <row r="2200" spans="7:7">
      <c r="G2200" t="s">
        <v>2388</v>
      </c>
    </row>
    <row r="2201" spans="7:7">
      <c r="G2201" t="s">
        <v>2389</v>
      </c>
    </row>
    <row r="2202" spans="7:7">
      <c r="G2202" t="s">
        <v>2390</v>
      </c>
    </row>
    <row r="2203" spans="7:7">
      <c r="G2203" t="s">
        <v>2391</v>
      </c>
    </row>
    <row r="2204" spans="7:7">
      <c r="G2204" t="s">
        <v>2392</v>
      </c>
    </row>
    <row r="2205" spans="7:7">
      <c r="G2205" t="s">
        <v>2393</v>
      </c>
    </row>
    <row r="2206" spans="7:7">
      <c r="G2206" t="s">
        <v>2394</v>
      </c>
    </row>
    <row r="2207" spans="7:7">
      <c r="G2207" t="s">
        <v>2395</v>
      </c>
    </row>
    <row r="2208" spans="7:7">
      <c r="G2208" t="s">
        <v>2396</v>
      </c>
    </row>
    <row r="2209" spans="7:7">
      <c r="G2209" t="s">
        <v>2397</v>
      </c>
    </row>
    <row r="2210" spans="7:7">
      <c r="G2210" t="s">
        <v>2398</v>
      </c>
    </row>
    <row r="2211" spans="7:7">
      <c r="G2211" t="s">
        <v>2399</v>
      </c>
    </row>
    <row r="2212" spans="7:7">
      <c r="G2212" t="s">
        <v>2400</v>
      </c>
    </row>
    <row r="2213" spans="7:7">
      <c r="G2213" t="s">
        <v>2401</v>
      </c>
    </row>
    <row r="2214" spans="7:7">
      <c r="G2214" t="s">
        <v>2402</v>
      </c>
    </row>
    <row r="2215" spans="7:7">
      <c r="G2215" t="s">
        <v>2403</v>
      </c>
    </row>
    <row r="2216" spans="7:7">
      <c r="G2216" t="s">
        <v>2404</v>
      </c>
    </row>
    <row r="2217" spans="7:7">
      <c r="G2217" t="s">
        <v>2405</v>
      </c>
    </row>
    <row r="2218" spans="7:7">
      <c r="G2218" t="s">
        <v>2406</v>
      </c>
    </row>
    <row r="2219" spans="7:7">
      <c r="G2219" t="s">
        <v>2407</v>
      </c>
    </row>
    <row r="2220" spans="7:7">
      <c r="G2220" t="s">
        <v>2408</v>
      </c>
    </row>
    <row r="2221" spans="7:7">
      <c r="G2221" t="s">
        <v>2409</v>
      </c>
    </row>
    <row r="2222" spans="7:7">
      <c r="G2222" t="s">
        <v>2410</v>
      </c>
    </row>
    <row r="2223" spans="7:7">
      <c r="G2223" t="s">
        <v>2411</v>
      </c>
    </row>
    <row r="2224" spans="7:7">
      <c r="G2224" t="s">
        <v>2412</v>
      </c>
    </row>
    <row r="2225" spans="7:7">
      <c r="G2225" t="s">
        <v>2413</v>
      </c>
    </row>
    <row r="2226" spans="7:7">
      <c r="G2226" t="s">
        <v>2414</v>
      </c>
    </row>
    <row r="2227" spans="7:7">
      <c r="G2227" t="s">
        <v>2415</v>
      </c>
    </row>
    <row r="2228" spans="7:7">
      <c r="G2228" t="s">
        <v>2416</v>
      </c>
    </row>
    <row r="2229" spans="7:7">
      <c r="G2229" t="s">
        <v>2417</v>
      </c>
    </row>
    <row r="2230" spans="7:7">
      <c r="G2230" t="s">
        <v>2418</v>
      </c>
    </row>
    <row r="2231" spans="7:7">
      <c r="G2231" t="s">
        <v>2419</v>
      </c>
    </row>
    <row r="2232" spans="7:7">
      <c r="G2232" t="s">
        <v>2420</v>
      </c>
    </row>
    <row r="2233" spans="7:7">
      <c r="G2233" t="s">
        <v>2421</v>
      </c>
    </row>
    <row r="2234" spans="7:7">
      <c r="G2234" t="s">
        <v>2422</v>
      </c>
    </row>
    <row r="2235" spans="7:7">
      <c r="G2235" t="s">
        <v>2423</v>
      </c>
    </row>
    <row r="2236" spans="7:7">
      <c r="G2236" t="s">
        <v>2424</v>
      </c>
    </row>
    <row r="2237" spans="7:7">
      <c r="G2237" t="s">
        <v>2425</v>
      </c>
    </row>
    <row r="2238" spans="7:7">
      <c r="G2238" t="s">
        <v>2426</v>
      </c>
    </row>
    <row r="2239" spans="7:7">
      <c r="G2239" t="s">
        <v>2427</v>
      </c>
    </row>
    <row r="2240" spans="7:7">
      <c r="G2240" t="s">
        <v>2428</v>
      </c>
    </row>
    <row r="2241" spans="7:7">
      <c r="G2241" t="s">
        <v>2429</v>
      </c>
    </row>
    <row r="2242" spans="7:7">
      <c r="G2242" t="s">
        <v>2430</v>
      </c>
    </row>
    <row r="2243" spans="7:7">
      <c r="G2243" t="s">
        <v>2431</v>
      </c>
    </row>
    <row r="2244" spans="7:7">
      <c r="G2244" t="s">
        <v>2432</v>
      </c>
    </row>
    <row r="2245" spans="7:7">
      <c r="G2245" t="s">
        <v>2433</v>
      </c>
    </row>
    <row r="2246" spans="7:7">
      <c r="G2246" t="s">
        <v>2434</v>
      </c>
    </row>
    <row r="2247" spans="7:7">
      <c r="G2247" t="s">
        <v>2435</v>
      </c>
    </row>
    <row r="2248" spans="7:7">
      <c r="G2248" t="s">
        <v>2436</v>
      </c>
    </row>
    <row r="2249" spans="7:7">
      <c r="G2249" t="s">
        <v>2437</v>
      </c>
    </row>
    <row r="2250" spans="7:7">
      <c r="G2250" t="s">
        <v>2438</v>
      </c>
    </row>
    <row r="2251" spans="7:7">
      <c r="G2251" t="s">
        <v>2439</v>
      </c>
    </row>
    <row r="2252" spans="7:7">
      <c r="G2252" t="s">
        <v>2440</v>
      </c>
    </row>
    <row r="2253" spans="7:7">
      <c r="G2253" t="s">
        <v>2441</v>
      </c>
    </row>
    <row r="2254" spans="7:7">
      <c r="G2254" t="s">
        <v>2442</v>
      </c>
    </row>
    <row r="2255" spans="7:7">
      <c r="G2255" t="s">
        <v>2443</v>
      </c>
    </row>
    <row r="2256" spans="7:7">
      <c r="G2256" t="s">
        <v>2444</v>
      </c>
    </row>
    <row r="2257" spans="7:7">
      <c r="G2257" t="s">
        <v>2445</v>
      </c>
    </row>
    <row r="2258" spans="7:7">
      <c r="G2258" t="s">
        <v>2446</v>
      </c>
    </row>
    <row r="2259" spans="7:7">
      <c r="G2259" t="s">
        <v>2447</v>
      </c>
    </row>
    <row r="2260" spans="7:7">
      <c r="G2260" t="s">
        <v>2448</v>
      </c>
    </row>
    <row r="2261" spans="7:7">
      <c r="G2261" t="s">
        <v>2449</v>
      </c>
    </row>
    <row r="2262" spans="7:7">
      <c r="G2262" t="s">
        <v>2450</v>
      </c>
    </row>
    <row r="2263" spans="7:7">
      <c r="G2263" t="s">
        <v>2451</v>
      </c>
    </row>
    <row r="2264" spans="7:7">
      <c r="G2264" t="s">
        <v>2452</v>
      </c>
    </row>
    <row r="2265" spans="7:7">
      <c r="G2265" t="s">
        <v>2453</v>
      </c>
    </row>
    <row r="2266" spans="7:7">
      <c r="G2266" t="s">
        <v>2454</v>
      </c>
    </row>
    <row r="2267" spans="7:7">
      <c r="G2267" t="s">
        <v>2455</v>
      </c>
    </row>
    <row r="2268" spans="7:7">
      <c r="G2268" t="s">
        <v>2456</v>
      </c>
    </row>
    <row r="2269" spans="7:7">
      <c r="G2269" t="s">
        <v>2457</v>
      </c>
    </row>
    <row r="2270" spans="7:7">
      <c r="G2270" t="s">
        <v>2458</v>
      </c>
    </row>
    <row r="2271" spans="7:7">
      <c r="G2271" t="s">
        <v>2459</v>
      </c>
    </row>
    <row r="2272" spans="7:7">
      <c r="G2272" t="s">
        <v>2460</v>
      </c>
    </row>
    <row r="2273" spans="7:7">
      <c r="G2273" t="s">
        <v>2461</v>
      </c>
    </row>
    <row r="2274" spans="7:7">
      <c r="G2274" t="s">
        <v>2462</v>
      </c>
    </row>
    <row r="2275" spans="7:7">
      <c r="G2275" t="s">
        <v>2463</v>
      </c>
    </row>
    <row r="2276" spans="7:7">
      <c r="G2276" t="s">
        <v>2464</v>
      </c>
    </row>
    <row r="2277" spans="7:7">
      <c r="G2277" t="s">
        <v>2465</v>
      </c>
    </row>
    <row r="2278" spans="7:7">
      <c r="G2278" t="s">
        <v>2466</v>
      </c>
    </row>
    <row r="2279" spans="7:7">
      <c r="G2279" t="s">
        <v>2467</v>
      </c>
    </row>
    <row r="2280" spans="7:7">
      <c r="G2280" t="s">
        <v>2468</v>
      </c>
    </row>
    <row r="2281" spans="7:7">
      <c r="G2281" t="s">
        <v>2469</v>
      </c>
    </row>
    <row r="2282" spans="7:7">
      <c r="G2282" t="s">
        <v>2470</v>
      </c>
    </row>
    <row r="2283" spans="7:7">
      <c r="G2283" t="s">
        <v>2471</v>
      </c>
    </row>
    <row r="2284" spans="7:7">
      <c r="G2284" t="s">
        <v>2472</v>
      </c>
    </row>
    <row r="2285" spans="7:7">
      <c r="G2285" t="s">
        <v>2473</v>
      </c>
    </row>
    <row r="2286" spans="7:7">
      <c r="G2286" t="s">
        <v>2474</v>
      </c>
    </row>
    <row r="2287" spans="7:7">
      <c r="G2287" t="s">
        <v>2475</v>
      </c>
    </row>
    <row r="2288" spans="7:7">
      <c r="G2288" t="s">
        <v>2476</v>
      </c>
    </row>
    <row r="2289" spans="7:7">
      <c r="G2289" t="s">
        <v>2477</v>
      </c>
    </row>
    <row r="2290" spans="7:7">
      <c r="G2290" t="s">
        <v>2478</v>
      </c>
    </row>
    <row r="2291" spans="7:7">
      <c r="G2291" t="s">
        <v>2479</v>
      </c>
    </row>
    <row r="2292" spans="7:7">
      <c r="G2292" t="s">
        <v>2480</v>
      </c>
    </row>
    <row r="2293" spans="7:7">
      <c r="G2293" t="s">
        <v>2481</v>
      </c>
    </row>
    <row r="2294" spans="7:7">
      <c r="G2294" t="s">
        <v>2482</v>
      </c>
    </row>
    <row r="2295" spans="7:7">
      <c r="G2295" t="s">
        <v>2483</v>
      </c>
    </row>
    <row r="2296" spans="7:7">
      <c r="G2296" t="s">
        <v>2484</v>
      </c>
    </row>
    <row r="2297" spans="7:7">
      <c r="G2297" t="s">
        <v>2485</v>
      </c>
    </row>
    <row r="2298" spans="7:7">
      <c r="G2298" t="s">
        <v>2486</v>
      </c>
    </row>
    <row r="2299" spans="7:7">
      <c r="G2299" t="s">
        <v>2487</v>
      </c>
    </row>
    <row r="2300" spans="7:7">
      <c r="G2300" t="s">
        <v>2488</v>
      </c>
    </row>
    <row r="2301" spans="7:7">
      <c r="G2301" t="s">
        <v>2489</v>
      </c>
    </row>
    <row r="2302" spans="7:7">
      <c r="G2302" t="s">
        <v>2490</v>
      </c>
    </row>
    <row r="2303" spans="7:7">
      <c r="G2303" t="s">
        <v>2491</v>
      </c>
    </row>
    <row r="2304" spans="7:7">
      <c r="G2304" t="s">
        <v>2492</v>
      </c>
    </row>
    <row r="2305" spans="7:7">
      <c r="G2305" t="s">
        <v>2493</v>
      </c>
    </row>
    <row r="2306" spans="7:7">
      <c r="G2306" t="s">
        <v>2494</v>
      </c>
    </row>
    <row r="2307" spans="7:7">
      <c r="G2307" t="s">
        <v>2495</v>
      </c>
    </row>
    <row r="2308" spans="7:7">
      <c r="G2308" t="s">
        <v>2496</v>
      </c>
    </row>
    <row r="2309" spans="7:7">
      <c r="G2309" t="s">
        <v>2497</v>
      </c>
    </row>
    <row r="2310" spans="7:7">
      <c r="G2310" t="s">
        <v>2498</v>
      </c>
    </row>
    <row r="2311" spans="7:7">
      <c r="G2311" t="s">
        <v>2499</v>
      </c>
    </row>
    <row r="2312" spans="7:7">
      <c r="G2312" t="s">
        <v>2500</v>
      </c>
    </row>
    <row r="2313" spans="7:7">
      <c r="G2313" t="s">
        <v>2501</v>
      </c>
    </row>
    <row r="2314" spans="7:7">
      <c r="G2314" t="s">
        <v>2502</v>
      </c>
    </row>
    <row r="2315" spans="7:7">
      <c r="G2315" t="s">
        <v>2503</v>
      </c>
    </row>
    <row r="2316" spans="7:7">
      <c r="G2316" t="s">
        <v>2504</v>
      </c>
    </row>
    <row r="2317" spans="7:7">
      <c r="G2317" t="s">
        <v>2505</v>
      </c>
    </row>
    <row r="2318" spans="7:7">
      <c r="G2318" t="s">
        <v>2506</v>
      </c>
    </row>
    <row r="2319" spans="7:7">
      <c r="G2319" t="s">
        <v>2507</v>
      </c>
    </row>
    <row r="2320" spans="7:7">
      <c r="G2320" t="s">
        <v>2508</v>
      </c>
    </row>
    <row r="2321" spans="7:7">
      <c r="G2321" t="s">
        <v>2509</v>
      </c>
    </row>
    <row r="2322" spans="7:7">
      <c r="G2322" t="s">
        <v>2510</v>
      </c>
    </row>
    <row r="2323" spans="7:7">
      <c r="G2323" t="s">
        <v>2511</v>
      </c>
    </row>
    <row r="2324" spans="7:7">
      <c r="G2324" t="s">
        <v>2512</v>
      </c>
    </row>
    <row r="2325" spans="7:7">
      <c r="G2325" t="s">
        <v>2513</v>
      </c>
    </row>
    <row r="2326" spans="7:7">
      <c r="G2326" t="s">
        <v>2514</v>
      </c>
    </row>
    <row r="2327" spans="7:7">
      <c r="G2327" t="s">
        <v>2515</v>
      </c>
    </row>
    <row r="2328" spans="7:7">
      <c r="G2328" t="s">
        <v>2516</v>
      </c>
    </row>
    <row r="2329" spans="7:7">
      <c r="G2329" t="s">
        <v>2517</v>
      </c>
    </row>
    <row r="2330" spans="7:7">
      <c r="G2330" t="s">
        <v>2518</v>
      </c>
    </row>
    <row r="2331" spans="7:7">
      <c r="G2331" t="s">
        <v>2519</v>
      </c>
    </row>
    <row r="2332" spans="7:7">
      <c r="G2332" t="s">
        <v>2520</v>
      </c>
    </row>
    <row r="2333" spans="7:7">
      <c r="G2333" t="s">
        <v>2521</v>
      </c>
    </row>
    <row r="2334" spans="7:7">
      <c r="G2334" t="s">
        <v>2522</v>
      </c>
    </row>
    <row r="2335" spans="7:7">
      <c r="G2335" t="s">
        <v>2523</v>
      </c>
    </row>
    <row r="2336" spans="7:7">
      <c r="G2336" t="s">
        <v>2524</v>
      </c>
    </row>
    <row r="2337" spans="7:7">
      <c r="G2337" t="s">
        <v>2525</v>
      </c>
    </row>
    <row r="2338" spans="7:7">
      <c r="G2338" t="s">
        <v>2526</v>
      </c>
    </row>
    <row r="2339" spans="7:7">
      <c r="G2339" t="s">
        <v>2527</v>
      </c>
    </row>
    <row r="2340" spans="7:7">
      <c r="G2340" t="s">
        <v>2528</v>
      </c>
    </row>
    <row r="2341" spans="7:7">
      <c r="G2341" t="s">
        <v>2529</v>
      </c>
    </row>
    <row r="2342" spans="7:7">
      <c r="G2342" t="s">
        <v>2530</v>
      </c>
    </row>
    <row r="2343" spans="7:7">
      <c r="G2343" t="s">
        <v>2531</v>
      </c>
    </row>
    <row r="2344" spans="7:7">
      <c r="G2344" t="s">
        <v>2532</v>
      </c>
    </row>
    <row r="2345" spans="7:7">
      <c r="G2345" t="s">
        <v>2533</v>
      </c>
    </row>
    <row r="2346" spans="7:7">
      <c r="G2346" t="s">
        <v>2534</v>
      </c>
    </row>
    <row r="2347" spans="7:7">
      <c r="G2347" t="s">
        <v>2535</v>
      </c>
    </row>
    <row r="2348" spans="7:7">
      <c r="G2348" t="s">
        <v>2536</v>
      </c>
    </row>
    <row r="2349" spans="7:7">
      <c r="G2349" t="s">
        <v>2537</v>
      </c>
    </row>
    <row r="2350" spans="7:7">
      <c r="G2350" t="s">
        <v>2538</v>
      </c>
    </row>
    <row r="2351" spans="7:7">
      <c r="G2351" t="s">
        <v>2539</v>
      </c>
    </row>
    <row r="2352" spans="7:7">
      <c r="G2352" t="s">
        <v>2540</v>
      </c>
    </row>
    <row r="2353" spans="7:7">
      <c r="G2353" t="s">
        <v>2541</v>
      </c>
    </row>
    <row r="2354" spans="7:7">
      <c r="G2354" t="s">
        <v>2542</v>
      </c>
    </row>
    <row r="2355" spans="7:7">
      <c r="G2355" t="s">
        <v>2543</v>
      </c>
    </row>
    <row r="2356" spans="7:7">
      <c r="G2356" t="s">
        <v>2544</v>
      </c>
    </row>
    <row r="2357" spans="7:7">
      <c r="G2357" t="s">
        <v>2545</v>
      </c>
    </row>
    <row r="2358" spans="7:7">
      <c r="G2358" t="s">
        <v>2546</v>
      </c>
    </row>
    <row r="2359" spans="7:7">
      <c r="G2359" t="s">
        <v>2547</v>
      </c>
    </row>
    <row r="2360" spans="7:7">
      <c r="G2360" t="s">
        <v>2548</v>
      </c>
    </row>
    <row r="2361" spans="7:7">
      <c r="G2361" t="s">
        <v>2549</v>
      </c>
    </row>
    <row r="2362" spans="7:7">
      <c r="G2362" t="s">
        <v>2550</v>
      </c>
    </row>
    <row r="2363" spans="7:7">
      <c r="G2363" t="s">
        <v>2551</v>
      </c>
    </row>
    <row r="2364" spans="7:7">
      <c r="G2364" t="s">
        <v>2552</v>
      </c>
    </row>
    <row r="2365" spans="7:7">
      <c r="G2365" t="s">
        <v>2553</v>
      </c>
    </row>
    <row r="2366" spans="7:7">
      <c r="G2366" t="s">
        <v>2554</v>
      </c>
    </row>
    <row r="2367" spans="7:7">
      <c r="G2367" t="s">
        <v>2555</v>
      </c>
    </row>
    <row r="2368" spans="7:7">
      <c r="G2368" t="s">
        <v>2556</v>
      </c>
    </row>
    <row r="2369" spans="7:7">
      <c r="G2369" t="s">
        <v>2557</v>
      </c>
    </row>
    <row r="2370" spans="7:7">
      <c r="G2370" t="s">
        <v>2558</v>
      </c>
    </row>
    <row r="2371" spans="7:7">
      <c r="G2371" t="s">
        <v>2559</v>
      </c>
    </row>
    <row r="2372" spans="7:7">
      <c r="G2372" t="s">
        <v>2560</v>
      </c>
    </row>
    <row r="2373" spans="7:7">
      <c r="G2373" t="s">
        <v>2561</v>
      </c>
    </row>
    <row r="2374" spans="7:7">
      <c r="G2374" t="s">
        <v>2562</v>
      </c>
    </row>
    <row r="2375" spans="7:7">
      <c r="G2375" t="s">
        <v>2563</v>
      </c>
    </row>
    <row r="2376" spans="7:7">
      <c r="G2376" t="s">
        <v>2564</v>
      </c>
    </row>
    <row r="2377" spans="7:7">
      <c r="G2377" t="s">
        <v>2565</v>
      </c>
    </row>
    <row r="2378" spans="7:7">
      <c r="G2378" t="s">
        <v>2566</v>
      </c>
    </row>
    <row r="2379" spans="7:7">
      <c r="G2379" t="s">
        <v>2567</v>
      </c>
    </row>
    <row r="2380" spans="7:7">
      <c r="G2380" t="s">
        <v>2568</v>
      </c>
    </row>
    <row r="2381" spans="7:7">
      <c r="G2381" t="s">
        <v>2569</v>
      </c>
    </row>
    <row r="2382" spans="7:7">
      <c r="G2382" t="s">
        <v>2570</v>
      </c>
    </row>
    <row r="2383" spans="7:7">
      <c r="G2383" t="s">
        <v>2571</v>
      </c>
    </row>
    <row r="2384" spans="7:7">
      <c r="G2384" t="s">
        <v>2572</v>
      </c>
    </row>
    <row r="2385" spans="7:7">
      <c r="G2385" t="s">
        <v>2573</v>
      </c>
    </row>
    <row r="2386" spans="7:7">
      <c r="G2386" t="s">
        <v>2574</v>
      </c>
    </row>
    <row r="2387" spans="7:7">
      <c r="G2387" t="s">
        <v>2575</v>
      </c>
    </row>
    <row r="2388" spans="7:7">
      <c r="G2388" t="s">
        <v>2576</v>
      </c>
    </row>
    <row r="2389" spans="7:7">
      <c r="G2389" t="s">
        <v>2577</v>
      </c>
    </row>
    <row r="2390" spans="7:7">
      <c r="G2390" t="s">
        <v>2578</v>
      </c>
    </row>
    <row r="2391" spans="7:7">
      <c r="G2391" t="s">
        <v>2579</v>
      </c>
    </row>
    <row r="2392" spans="7:7">
      <c r="G2392" t="s">
        <v>2580</v>
      </c>
    </row>
    <row r="2393" spans="7:7">
      <c r="G2393" t="s">
        <v>2581</v>
      </c>
    </row>
    <row r="2394" spans="7:7">
      <c r="G2394" t="s">
        <v>2582</v>
      </c>
    </row>
    <row r="2395" spans="7:7">
      <c r="G2395" t="s">
        <v>2583</v>
      </c>
    </row>
    <row r="2396" spans="7:7">
      <c r="G2396" t="s">
        <v>2584</v>
      </c>
    </row>
    <row r="2397" spans="7:7">
      <c r="G2397" t="s">
        <v>2585</v>
      </c>
    </row>
    <row r="2398" spans="7:7">
      <c r="G2398" t="s">
        <v>2586</v>
      </c>
    </row>
    <row r="2399" spans="7:7">
      <c r="G2399" t="s">
        <v>2587</v>
      </c>
    </row>
    <row r="2400" spans="7:7">
      <c r="G2400" t="s">
        <v>2588</v>
      </c>
    </row>
    <row r="2401" spans="7:7">
      <c r="G2401" t="s">
        <v>2589</v>
      </c>
    </row>
    <row r="2402" spans="7:7">
      <c r="G2402" t="s">
        <v>2590</v>
      </c>
    </row>
    <row r="2403" spans="7:7">
      <c r="G2403" t="s">
        <v>2591</v>
      </c>
    </row>
    <row r="2404" spans="7:7">
      <c r="G2404" t="s">
        <v>2592</v>
      </c>
    </row>
    <row r="2405" spans="7:7">
      <c r="G2405" t="s">
        <v>2593</v>
      </c>
    </row>
    <row r="2406" spans="7:7">
      <c r="G2406" t="s">
        <v>2594</v>
      </c>
    </row>
    <row r="2407" spans="7:7">
      <c r="G2407" t="s">
        <v>2595</v>
      </c>
    </row>
    <row r="2408" spans="7:7">
      <c r="G2408" t="s">
        <v>2596</v>
      </c>
    </row>
    <row r="2409" spans="7:7">
      <c r="G2409" t="s">
        <v>2597</v>
      </c>
    </row>
    <row r="2410" spans="7:7">
      <c r="G2410" t="s">
        <v>2598</v>
      </c>
    </row>
    <row r="2411" spans="7:7">
      <c r="G2411" t="s">
        <v>2599</v>
      </c>
    </row>
    <row r="2412" spans="7:7">
      <c r="G2412" t="s">
        <v>2600</v>
      </c>
    </row>
    <row r="2413" spans="7:7">
      <c r="G2413" t="s">
        <v>2601</v>
      </c>
    </row>
    <row r="2414" spans="7:7">
      <c r="G2414" t="s">
        <v>2602</v>
      </c>
    </row>
    <row r="2415" spans="7:7">
      <c r="G2415" t="s">
        <v>2603</v>
      </c>
    </row>
    <row r="2416" spans="7:7">
      <c r="G2416" t="s">
        <v>2604</v>
      </c>
    </row>
    <row r="2417" spans="7:7">
      <c r="G2417" t="s">
        <v>2605</v>
      </c>
    </row>
    <row r="2418" spans="7:7">
      <c r="G2418" t="s">
        <v>2606</v>
      </c>
    </row>
    <row r="2419" spans="7:7">
      <c r="G2419" t="s">
        <v>2607</v>
      </c>
    </row>
    <row r="2420" spans="7:7">
      <c r="G2420" t="s">
        <v>2608</v>
      </c>
    </row>
    <row r="2421" spans="7:7">
      <c r="G2421" t="s">
        <v>2609</v>
      </c>
    </row>
    <row r="2422" spans="7:7">
      <c r="G2422" t="s">
        <v>2610</v>
      </c>
    </row>
    <row r="2423" spans="7:7">
      <c r="G2423" t="s">
        <v>2611</v>
      </c>
    </row>
    <row r="2424" spans="7:7">
      <c r="G2424" t="s">
        <v>2612</v>
      </c>
    </row>
    <row r="2425" spans="7:7">
      <c r="G2425" t="s">
        <v>2613</v>
      </c>
    </row>
    <row r="2426" spans="7:7">
      <c r="G2426" t="s">
        <v>2614</v>
      </c>
    </row>
    <row r="2427" spans="7:7">
      <c r="G2427" t="s">
        <v>2615</v>
      </c>
    </row>
    <row r="2428" spans="7:7">
      <c r="G2428" t="s">
        <v>2616</v>
      </c>
    </row>
    <row r="2429" spans="7:7">
      <c r="G2429" t="s">
        <v>2617</v>
      </c>
    </row>
    <row r="2430" spans="7:7">
      <c r="G2430" t="s">
        <v>2618</v>
      </c>
    </row>
    <row r="2431" spans="7:7">
      <c r="G2431" t="s">
        <v>2619</v>
      </c>
    </row>
    <row r="2432" spans="7:7">
      <c r="G2432" t="s">
        <v>2620</v>
      </c>
    </row>
    <row r="2433" spans="7:7">
      <c r="G2433" t="s">
        <v>2621</v>
      </c>
    </row>
    <row r="2434" spans="7:7">
      <c r="G2434" t="s">
        <v>2622</v>
      </c>
    </row>
    <row r="2435" spans="7:7">
      <c r="G2435" t="s">
        <v>2623</v>
      </c>
    </row>
    <row r="2436" spans="7:7">
      <c r="G2436" t="s">
        <v>2624</v>
      </c>
    </row>
    <row r="2437" spans="7:7">
      <c r="G2437" t="s">
        <v>2625</v>
      </c>
    </row>
    <row r="2438" spans="7:7">
      <c r="G2438" t="s">
        <v>2626</v>
      </c>
    </row>
    <row r="2439" spans="7:7">
      <c r="G2439" t="s">
        <v>2627</v>
      </c>
    </row>
    <row r="2440" spans="7:7">
      <c r="G2440" t="s">
        <v>2628</v>
      </c>
    </row>
    <row r="2441" spans="7:7">
      <c r="G2441" t="s">
        <v>2629</v>
      </c>
    </row>
    <row r="2442" spans="7:7">
      <c r="G2442" t="s">
        <v>2630</v>
      </c>
    </row>
    <row r="2443" spans="7:7">
      <c r="G2443" t="s">
        <v>2631</v>
      </c>
    </row>
    <row r="2444" spans="7:7">
      <c r="G2444" t="s">
        <v>2632</v>
      </c>
    </row>
    <row r="2445" spans="7:7">
      <c r="G2445" t="s">
        <v>2633</v>
      </c>
    </row>
    <row r="2446" spans="7:7">
      <c r="G2446" t="s">
        <v>2634</v>
      </c>
    </row>
    <row r="2447" spans="7:7">
      <c r="G2447" t="s">
        <v>2635</v>
      </c>
    </row>
    <row r="2448" spans="7:7">
      <c r="G2448" t="s">
        <v>2636</v>
      </c>
    </row>
    <row r="2449" spans="7:7">
      <c r="G2449" t="s">
        <v>2637</v>
      </c>
    </row>
    <row r="2450" spans="7:7">
      <c r="G2450" t="s">
        <v>2638</v>
      </c>
    </row>
    <row r="2451" spans="7:7">
      <c r="G2451" t="s">
        <v>2639</v>
      </c>
    </row>
    <row r="2452" spans="7:7">
      <c r="G2452" t="s">
        <v>2640</v>
      </c>
    </row>
    <row r="2453" spans="7:7">
      <c r="G2453" t="s">
        <v>2641</v>
      </c>
    </row>
    <row r="2454" spans="7:7">
      <c r="G2454" t="s">
        <v>2642</v>
      </c>
    </row>
    <row r="2455" spans="7:7">
      <c r="G2455" t="s">
        <v>2643</v>
      </c>
    </row>
    <row r="2456" spans="7:7">
      <c r="G2456" t="s">
        <v>2644</v>
      </c>
    </row>
    <row r="2457" spans="7:7">
      <c r="G2457" t="s">
        <v>2645</v>
      </c>
    </row>
    <row r="2458" spans="7:7">
      <c r="G2458" t="s">
        <v>2646</v>
      </c>
    </row>
    <row r="2459" spans="7:7">
      <c r="G2459" t="s">
        <v>2647</v>
      </c>
    </row>
    <row r="2460" spans="7:7">
      <c r="G2460" t="s">
        <v>2648</v>
      </c>
    </row>
    <row r="2461" spans="7:7">
      <c r="G2461" t="s">
        <v>2649</v>
      </c>
    </row>
    <row r="2462" spans="7:7">
      <c r="G2462" t="s">
        <v>2650</v>
      </c>
    </row>
    <row r="2463" spans="7:7">
      <c r="G2463" t="s">
        <v>2651</v>
      </c>
    </row>
    <row r="2464" spans="7:7">
      <c r="G2464" t="s">
        <v>2652</v>
      </c>
    </row>
    <row r="2465" spans="7:7">
      <c r="G2465" t="s">
        <v>2653</v>
      </c>
    </row>
    <row r="2466" spans="7:7">
      <c r="G2466" t="s">
        <v>2654</v>
      </c>
    </row>
    <row r="2467" spans="7:7">
      <c r="G2467" t="s">
        <v>2655</v>
      </c>
    </row>
    <row r="2468" spans="7:7">
      <c r="G2468" t="s">
        <v>2656</v>
      </c>
    </row>
    <row r="2469" spans="7:7">
      <c r="G2469" t="s">
        <v>2657</v>
      </c>
    </row>
    <row r="2470" spans="7:7">
      <c r="G2470" t="s">
        <v>2658</v>
      </c>
    </row>
    <row r="2471" spans="7:7">
      <c r="G2471" t="s">
        <v>2659</v>
      </c>
    </row>
    <row r="2472" spans="7:7">
      <c r="G2472" t="s">
        <v>2660</v>
      </c>
    </row>
    <row r="2473" spans="7:7">
      <c r="G2473" t="s">
        <v>2661</v>
      </c>
    </row>
    <row r="2474" spans="7:7">
      <c r="G2474" t="s">
        <v>2662</v>
      </c>
    </row>
    <row r="2475" spans="7:7">
      <c r="G2475" t="s">
        <v>2663</v>
      </c>
    </row>
    <row r="2476" spans="7:7">
      <c r="G2476" t="s">
        <v>2664</v>
      </c>
    </row>
    <row r="2477" spans="7:7">
      <c r="G2477" t="s">
        <v>2665</v>
      </c>
    </row>
    <row r="2478" spans="7:7">
      <c r="G2478" t="s">
        <v>2666</v>
      </c>
    </row>
    <row r="2479" spans="7:7">
      <c r="G2479" t="s">
        <v>2667</v>
      </c>
    </row>
    <row r="2480" spans="7:7">
      <c r="G2480" t="s">
        <v>2668</v>
      </c>
    </row>
    <row r="2481" spans="7:7">
      <c r="G2481" t="s">
        <v>2669</v>
      </c>
    </row>
    <row r="2482" spans="7:7">
      <c r="G2482" t="s">
        <v>2670</v>
      </c>
    </row>
    <row r="2483" spans="7:7">
      <c r="G2483" t="s">
        <v>2671</v>
      </c>
    </row>
    <row r="2484" spans="7:7">
      <c r="G2484" t="s">
        <v>2672</v>
      </c>
    </row>
    <row r="2485" spans="7:7">
      <c r="G2485" t="s">
        <v>2673</v>
      </c>
    </row>
    <row r="2486" spans="7:7">
      <c r="G2486" t="s">
        <v>2674</v>
      </c>
    </row>
    <row r="2487" spans="7:7">
      <c r="G2487" t="s">
        <v>2675</v>
      </c>
    </row>
    <row r="2488" spans="7:7">
      <c r="G2488" t="s">
        <v>2676</v>
      </c>
    </row>
    <row r="2489" spans="7:7">
      <c r="G2489" t="s">
        <v>2677</v>
      </c>
    </row>
    <row r="2490" spans="7:7">
      <c r="G2490" t="s">
        <v>2678</v>
      </c>
    </row>
    <row r="2491" spans="7:7">
      <c r="G2491" t="s">
        <v>2679</v>
      </c>
    </row>
    <row r="2492" spans="7:7">
      <c r="G2492" t="s">
        <v>2680</v>
      </c>
    </row>
    <row r="2493" spans="7:7">
      <c r="G2493" t="s">
        <v>2681</v>
      </c>
    </row>
    <row r="2494" spans="7:7">
      <c r="G2494" t="s">
        <v>2682</v>
      </c>
    </row>
    <row r="2495" spans="7:7">
      <c r="G2495" t="s">
        <v>2683</v>
      </c>
    </row>
    <row r="2496" spans="7:7">
      <c r="G2496" t="s">
        <v>2684</v>
      </c>
    </row>
    <row r="2497" spans="7:7">
      <c r="G2497" t="s">
        <v>2685</v>
      </c>
    </row>
    <row r="2498" spans="7:7">
      <c r="G2498" t="s">
        <v>2686</v>
      </c>
    </row>
    <row r="2499" spans="7:7">
      <c r="G2499" t="s">
        <v>2687</v>
      </c>
    </row>
    <row r="2500" spans="7:7">
      <c r="G2500" t="s">
        <v>2688</v>
      </c>
    </row>
    <row r="2501" spans="7:7">
      <c r="G2501" t="s">
        <v>2689</v>
      </c>
    </row>
    <row r="2502" spans="7:7">
      <c r="G2502" t="s">
        <v>2690</v>
      </c>
    </row>
    <row r="2503" spans="7:7">
      <c r="G2503" t="s">
        <v>2691</v>
      </c>
    </row>
    <row r="2504" spans="7:7">
      <c r="G2504" t="s">
        <v>2692</v>
      </c>
    </row>
    <row r="2505" spans="7:7">
      <c r="G2505" t="s">
        <v>2693</v>
      </c>
    </row>
    <row r="2506" spans="7:7">
      <c r="G2506" t="s">
        <v>2694</v>
      </c>
    </row>
    <row r="2507" spans="7:7">
      <c r="G2507" t="s">
        <v>2695</v>
      </c>
    </row>
    <row r="2508" spans="7:7">
      <c r="G2508" t="s">
        <v>2696</v>
      </c>
    </row>
    <row r="2509" spans="7:7">
      <c r="G2509" t="s">
        <v>2697</v>
      </c>
    </row>
    <row r="2510" spans="7:7">
      <c r="G2510" t="s">
        <v>2698</v>
      </c>
    </row>
    <row r="2511" spans="7:7">
      <c r="G2511" t="s">
        <v>2699</v>
      </c>
    </row>
    <row r="2512" spans="7:7">
      <c r="G2512" t="s">
        <v>2700</v>
      </c>
    </row>
    <row r="2513" spans="7:7">
      <c r="G2513" t="s">
        <v>2701</v>
      </c>
    </row>
    <row r="2514" spans="7:7">
      <c r="G2514" t="s">
        <v>2702</v>
      </c>
    </row>
    <row r="2515" spans="7:7">
      <c r="G2515" t="s">
        <v>2703</v>
      </c>
    </row>
    <row r="2516" spans="7:7">
      <c r="G2516" t="s">
        <v>2704</v>
      </c>
    </row>
    <row r="2517" spans="7:7">
      <c r="G2517" t="s">
        <v>2705</v>
      </c>
    </row>
    <row r="2518" spans="7:7">
      <c r="G2518" t="s">
        <v>2706</v>
      </c>
    </row>
    <row r="2519" spans="7:7">
      <c r="G2519" t="s">
        <v>2707</v>
      </c>
    </row>
    <row r="2520" spans="7:7">
      <c r="G2520" t="s">
        <v>2708</v>
      </c>
    </row>
    <row r="2521" spans="7:7">
      <c r="G2521" t="s">
        <v>2709</v>
      </c>
    </row>
    <row r="2522" spans="7:7">
      <c r="G2522" t="s">
        <v>2710</v>
      </c>
    </row>
    <row r="2523" spans="7:7">
      <c r="G2523" t="s">
        <v>2711</v>
      </c>
    </row>
    <row r="2524" spans="7:7">
      <c r="G2524" t="s">
        <v>2712</v>
      </c>
    </row>
    <row r="2525" spans="7:7">
      <c r="G2525" t="s">
        <v>2713</v>
      </c>
    </row>
    <row r="2526" spans="7:7">
      <c r="G2526" t="s">
        <v>2714</v>
      </c>
    </row>
    <row r="2527" spans="7:7">
      <c r="G2527" t="s">
        <v>2715</v>
      </c>
    </row>
    <row r="2528" spans="7:7">
      <c r="G2528" t="s">
        <v>2716</v>
      </c>
    </row>
    <row r="2529" spans="7:7">
      <c r="G2529" t="s">
        <v>2717</v>
      </c>
    </row>
    <row r="2530" spans="7:7">
      <c r="G2530" t="s">
        <v>2718</v>
      </c>
    </row>
    <row r="2531" spans="7:7">
      <c r="G2531" t="s">
        <v>2719</v>
      </c>
    </row>
    <row r="2532" spans="7:7">
      <c r="G2532" t="s">
        <v>2720</v>
      </c>
    </row>
    <row r="2533" spans="7:7">
      <c r="G2533" t="s">
        <v>2721</v>
      </c>
    </row>
    <row r="2534" spans="7:7">
      <c r="G2534" t="s">
        <v>2722</v>
      </c>
    </row>
    <row r="2535" spans="7:7">
      <c r="G2535" t="s">
        <v>2723</v>
      </c>
    </row>
    <row r="2536" spans="7:7">
      <c r="G2536" t="s">
        <v>2724</v>
      </c>
    </row>
    <row r="2537" spans="7:7">
      <c r="G2537" t="s">
        <v>2725</v>
      </c>
    </row>
    <row r="2538" spans="7:7">
      <c r="G2538" t="s">
        <v>2726</v>
      </c>
    </row>
    <row r="2539" spans="7:7">
      <c r="G2539" t="s">
        <v>2727</v>
      </c>
    </row>
    <row r="2540" spans="7:7">
      <c r="G2540" t="s">
        <v>2728</v>
      </c>
    </row>
    <row r="2541" spans="7:7">
      <c r="G2541" t="s">
        <v>2729</v>
      </c>
    </row>
    <row r="2542" spans="7:7">
      <c r="G2542" t="s">
        <v>2730</v>
      </c>
    </row>
    <row r="2543" spans="7:7">
      <c r="G2543" t="s">
        <v>2731</v>
      </c>
    </row>
    <row r="2544" spans="7:7">
      <c r="G2544" t="s">
        <v>2732</v>
      </c>
    </row>
    <row r="2545" spans="7:7">
      <c r="G2545" t="s">
        <v>2733</v>
      </c>
    </row>
    <row r="2546" spans="7:7">
      <c r="G2546" t="s">
        <v>2734</v>
      </c>
    </row>
    <row r="2547" spans="7:7">
      <c r="G2547" t="s">
        <v>2735</v>
      </c>
    </row>
    <row r="2548" spans="7:7">
      <c r="G2548" t="s">
        <v>2736</v>
      </c>
    </row>
    <row r="2549" spans="7:7">
      <c r="G2549" t="s">
        <v>2737</v>
      </c>
    </row>
    <row r="2550" spans="7:7">
      <c r="G2550" t="s">
        <v>2738</v>
      </c>
    </row>
    <row r="2551" spans="7:7">
      <c r="G2551" t="s">
        <v>2739</v>
      </c>
    </row>
    <row r="2552" spans="7:7">
      <c r="G2552" t="s">
        <v>2740</v>
      </c>
    </row>
    <row r="2553" spans="7:7">
      <c r="G2553" t="s">
        <v>2741</v>
      </c>
    </row>
    <row r="2554" spans="7:7">
      <c r="G2554" t="s">
        <v>2742</v>
      </c>
    </row>
    <row r="2555" spans="7:7">
      <c r="G2555" t="s">
        <v>2743</v>
      </c>
    </row>
    <row r="2556" spans="7:7">
      <c r="G2556" t="s">
        <v>2744</v>
      </c>
    </row>
    <row r="2557" spans="7:7">
      <c r="G2557" t="s">
        <v>2745</v>
      </c>
    </row>
    <row r="2558" spans="7:7">
      <c r="G2558" t="s">
        <v>2746</v>
      </c>
    </row>
    <row r="2559" spans="7:7">
      <c r="G2559" t="s">
        <v>2747</v>
      </c>
    </row>
    <row r="2560" spans="7:7">
      <c r="G2560" t="s">
        <v>2748</v>
      </c>
    </row>
    <row r="2561" spans="7:7">
      <c r="G2561" t="s">
        <v>2749</v>
      </c>
    </row>
    <row r="2562" spans="7:7">
      <c r="G2562" t="s">
        <v>2750</v>
      </c>
    </row>
    <row r="2563" spans="7:7">
      <c r="G2563" t="s">
        <v>2751</v>
      </c>
    </row>
    <row r="2564" spans="7:7">
      <c r="G2564" t="s">
        <v>2752</v>
      </c>
    </row>
    <row r="2565" spans="7:7">
      <c r="G2565" t="s">
        <v>2753</v>
      </c>
    </row>
    <row r="2566" spans="7:7">
      <c r="G2566" t="s">
        <v>2754</v>
      </c>
    </row>
    <row r="2567" spans="7:7">
      <c r="G2567" t="s">
        <v>2755</v>
      </c>
    </row>
    <row r="2568" spans="7:7">
      <c r="G2568" t="s">
        <v>2756</v>
      </c>
    </row>
    <row r="2569" spans="7:7">
      <c r="G2569" t="s">
        <v>2757</v>
      </c>
    </row>
    <row r="2570" spans="7:7">
      <c r="G2570" t="s">
        <v>2758</v>
      </c>
    </row>
    <row r="2571" spans="7:7">
      <c r="G2571" t="s">
        <v>2759</v>
      </c>
    </row>
    <row r="2572" spans="7:7">
      <c r="G2572" t="s">
        <v>2760</v>
      </c>
    </row>
    <row r="2573" spans="7:7">
      <c r="G2573" t="s">
        <v>2761</v>
      </c>
    </row>
    <row r="2574" spans="7:7">
      <c r="G2574" t="s">
        <v>2762</v>
      </c>
    </row>
    <row r="2575" spans="7:7">
      <c r="G2575" t="s">
        <v>2763</v>
      </c>
    </row>
    <row r="2576" spans="7:7">
      <c r="G2576" t="s">
        <v>2764</v>
      </c>
    </row>
    <row r="2577" spans="7:7">
      <c r="G2577" t="s">
        <v>2765</v>
      </c>
    </row>
    <row r="2578" spans="7:7">
      <c r="G2578" t="s">
        <v>2766</v>
      </c>
    </row>
    <row r="2579" spans="7:7">
      <c r="G2579" t="s">
        <v>2767</v>
      </c>
    </row>
    <row r="2580" spans="7:7">
      <c r="G2580" t="s">
        <v>2768</v>
      </c>
    </row>
    <row r="2581" spans="7:7">
      <c r="G2581" t="s">
        <v>2769</v>
      </c>
    </row>
    <row r="2582" spans="7:7">
      <c r="G2582" t="s">
        <v>2770</v>
      </c>
    </row>
    <row r="2583" spans="7:7">
      <c r="G2583" t="s">
        <v>2771</v>
      </c>
    </row>
    <row r="2584" spans="7:7">
      <c r="G2584" t="s">
        <v>2772</v>
      </c>
    </row>
    <row r="2585" spans="7:7">
      <c r="G2585" t="s">
        <v>2773</v>
      </c>
    </row>
    <row r="2586" spans="7:7">
      <c r="G2586" t="s">
        <v>2774</v>
      </c>
    </row>
    <row r="2587" spans="7:7">
      <c r="G2587" t="s">
        <v>2775</v>
      </c>
    </row>
    <row r="2588" spans="7:7">
      <c r="G2588" t="s">
        <v>2776</v>
      </c>
    </row>
    <row r="2589" spans="7:7">
      <c r="G2589" t="s">
        <v>2777</v>
      </c>
    </row>
    <row r="2590" spans="7:7">
      <c r="G2590" t="s">
        <v>2778</v>
      </c>
    </row>
    <row r="2591" spans="7:7">
      <c r="G2591" t="s">
        <v>2779</v>
      </c>
    </row>
    <row r="2592" spans="7:7">
      <c r="G2592" t="s">
        <v>2780</v>
      </c>
    </row>
    <row r="2593" spans="7:7">
      <c r="G2593" t="s">
        <v>2781</v>
      </c>
    </row>
    <row r="2594" spans="7:7">
      <c r="G2594" t="s">
        <v>2782</v>
      </c>
    </row>
    <row r="2595" spans="7:7">
      <c r="G2595" t="s">
        <v>2783</v>
      </c>
    </row>
    <row r="2596" spans="7:7">
      <c r="G2596" t="s">
        <v>2784</v>
      </c>
    </row>
    <row r="2597" spans="7:7">
      <c r="G2597" t="s">
        <v>2785</v>
      </c>
    </row>
    <row r="2598" spans="7:7">
      <c r="G2598" t="s">
        <v>2786</v>
      </c>
    </row>
    <row r="2599" spans="7:7">
      <c r="G2599" t="s">
        <v>2787</v>
      </c>
    </row>
    <row r="2600" spans="7:7">
      <c r="G2600" t="s">
        <v>2788</v>
      </c>
    </row>
    <row r="2601" spans="7:7">
      <c r="G2601" t="s">
        <v>2789</v>
      </c>
    </row>
    <row r="2602" spans="7:7">
      <c r="G2602" t="s">
        <v>2790</v>
      </c>
    </row>
    <row r="2603" spans="7:7">
      <c r="G2603" t="s">
        <v>2791</v>
      </c>
    </row>
    <row r="2604" spans="7:7">
      <c r="G2604" t="s">
        <v>2792</v>
      </c>
    </row>
    <row r="2605" spans="7:7">
      <c r="G2605" t="s">
        <v>2793</v>
      </c>
    </row>
    <row r="2606" spans="7:7">
      <c r="G2606" t="s">
        <v>2794</v>
      </c>
    </row>
    <row r="2607" spans="7:7">
      <c r="G2607" t="s">
        <v>2795</v>
      </c>
    </row>
    <row r="2608" spans="7:7">
      <c r="G2608" t="s">
        <v>2796</v>
      </c>
    </row>
    <row r="2609" spans="7:7">
      <c r="G2609" t="s">
        <v>2797</v>
      </c>
    </row>
    <row r="2610" spans="7:7">
      <c r="G2610" t="s">
        <v>2798</v>
      </c>
    </row>
    <row r="2611" spans="7:7">
      <c r="G2611" t="s">
        <v>2799</v>
      </c>
    </row>
    <row r="2612" spans="7:7">
      <c r="G2612" t="s">
        <v>2800</v>
      </c>
    </row>
    <row r="2613" spans="7:7">
      <c r="G2613" t="s">
        <v>2801</v>
      </c>
    </row>
    <row r="2614" spans="7:7">
      <c r="G2614" t="s">
        <v>2802</v>
      </c>
    </row>
    <row r="2615" spans="7:7">
      <c r="G2615" t="s">
        <v>2803</v>
      </c>
    </row>
    <row r="2616" spans="7:7">
      <c r="G2616" t="s">
        <v>2804</v>
      </c>
    </row>
    <row r="2617" spans="7:7">
      <c r="G2617" t="s">
        <v>2805</v>
      </c>
    </row>
    <row r="2618" spans="7:7">
      <c r="G2618" t="s">
        <v>2806</v>
      </c>
    </row>
    <row r="2619" spans="7:7">
      <c r="G2619" t="s">
        <v>2807</v>
      </c>
    </row>
    <row r="2620" spans="7:7">
      <c r="G2620" t="s">
        <v>2808</v>
      </c>
    </row>
    <row r="2621" spans="7:7">
      <c r="G2621" t="s">
        <v>2809</v>
      </c>
    </row>
    <row r="2622" spans="7:7">
      <c r="G2622" t="s">
        <v>2810</v>
      </c>
    </row>
    <row r="2623" spans="7:7">
      <c r="G2623" t="s">
        <v>2811</v>
      </c>
    </row>
    <row r="2624" spans="7:7">
      <c r="G2624" t="s">
        <v>2812</v>
      </c>
    </row>
    <row r="2625" spans="7:7">
      <c r="G2625" t="s">
        <v>2813</v>
      </c>
    </row>
    <row r="2626" spans="7:7">
      <c r="G2626" t="s">
        <v>2814</v>
      </c>
    </row>
    <row r="2627" spans="7:7">
      <c r="G2627" t="s">
        <v>2815</v>
      </c>
    </row>
    <row r="2628" spans="7:7">
      <c r="G2628" t="s">
        <v>2816</v>
      </c>
    </row>
    <row r="2629" spans="7:7">
      <c r="G2629" t="s">
        <v>2817</v>
      </c>
    </row>
    <row r="2630" spans="7:7">
      <c r="G2630" t="s">
        <v>2818</v>
      </c>
    </row>
    <row r="2631" spans="7:7">
      <c r="G2631" t="s">
        <v>2819</v>
      </c>
    </row>
    <row r="2632" spans="7:7">
      <c r="G2632" t="s">
        <v>2820</v>
      </c>
    </row>
    <row r="2633" spans="7:7">
      <c r="G2633" t="s">
        <v>2821</v>
      </c>
    </row>
    <row r="2634" spans="7:7">
      <c r="G2634" t="s">
        <v>2822</v>
      </c>
    </row>
    <row r="2635" spans="7:7">
      <c r="G2635" t="s">
        <v>2823</v>
      </c>
    </row>
    <row r="2636" spans="7:7">
      <c r="G2636" t="s">
        <v>2824</v>
      </c>
    </row>
    <row r="2637" spans="7:7">
      <c r="G2637" t="s">
        <v>2825</v>
      </c>
    </row>
    <row r="2638" spans="7:7">
      <c r="G2638" t="s">
        <v>2826</v>
      </c>
    </row>
    <row r="2639" spans="7:7">
      <c r="G2639" t="s">
        <v>2827</v>
      </c>
    </row>
    <row r="2640" spans="7:7">
      <c r="G2640" t="s">
        <v>2828</v>
      </c>
    </row>
    <row r="2641" spans="7:7">
      <c r="G2641" t="s">
        <v>2829</v>
      </c>
    </row>
    <row r="2642" spans="7:7">
      <c r="G2642" t="s">
        <v>2830</v>
      </c>
    </row>
    <row r="2643" spans="7:7">
      <c r="G2643" t="s">
        <v>2831</v>
      </c>
    </row>
    <row r="2644" spans="7:7">
      <c r="G2644" t="s">
        <v>2832</v>
      </c>
    </row>
    <row r="2645" spans="7:7">
      <c r="G2645" t="s">
        <v>2833</v>
      </c>
    </row>
    <row r="2646" spans="7:7">
      <c r="G2646" t="s">
        <v>2834</v>
      </c>
    </row>
    <row r="2647" spans="7:7">
      <c r="G2647" t="s">
        <v>2835</v>
      </c>
    </row>
    <row r="2648" spans="7:7">
      <c r="G2648" t="s">
        <v>2836</v>
      </c>
    </row>
    <row r="2649" spans="7:7">
      <c r="G2649" t="s">
        <v>2837</v>
      </c>
    </row>
    <row r="2650" spans="7:7">
      <c r="G2650" t="s">
        <v>2838</v>
      </c>
    </row>
    <row r="2651" spans="7:7">
      <c r="G2651" t="s">
        <v>2839</v>
      </c>
    </row>
    <row r="2652" spans="7:7">
      <c r="G2652" t="s">
        <v>2840</v>
      </c>
    </row>
    <row r="2653" spans="7:7">
      <c r="G2653" t="s">
        <v>2841</v>
      </c>
    </row>
    <row r="2654" spans="7:7">
      <c r="G2654" t="s">
        <v>2842</v>
      </c>
    </row>
    <row r="2655" spans="7:7">
      <c r="G2655" t="s">
        <v>2843</v>
      </c>
    </row>
    <row r="2656" spans="7:7">
      <c r="G2656" t="s">
        <v>2844</v>
      </c>
    </row>
    <row r="2657" spans="7:7">
      <c r="G2657" t="s">
        <v>2845</v>
      </c>
    </row>
    <row r="2658" spans="7:7">
      <c r="G2658" t="s">
        <v>2846</v>
      </c>
    </row>
    <row r="2659" spans="7:7">
      <c r="G2659" t="s">
        <v>2847</v>
      </c>
    </row>
    <row r="2660" spans="7:7">
      <c r="G2660" t="s">
        <v>2848</v>
      </c>
    </row>
    <row r="2661" spans="7:7">
      <c r="G2661" t="s">
        <v>2849</v>
      </c>
    </row>
    <row r="2662" spans="7:7">
      <c r="G2662" t="s">
        <v>2850</v>
      </c>
    </row>
    <row r="2663" spans="7:7">
      <c r="G2663" t="s">
        <v>2851</v>
      </c>
    </row>
    <row r="2664" spans="7:7">
      <c r="G2664" t="s">
        <v>2852</v>
      </c>
    </row>
    <row r="2665" spans="7:7">
      <c r="G2665" t="s">
        <v>2853</v>
      </c>
    </row>
    <row r="2666" spans="7:7">
      <c r="G2666" t="s">
        <v>2854</v>
      </c>
    </row>
    <row r="2667" spans="7:7">
      <c r="G2667" t="s">
        <v>2855</v>
      </c>
    </row>
    <row r="2668" spans="7:7">
      <c r="G2668" t="s">
        <v>2856</v>
      </c>
    </row>
    <row r="2669" spans="7:7">
      <c r="G2669" t="s">
        <v>2857</v>
      </c>
    </row>
    <row r="2670" spans="7:7">
      <c r="G2670" t="s">
        <v>2858</v>
      </c>
    </row>
    <row r="2671" spans="7:7">
      <c r="G2671" t="s">
        <v>2859</v>
      </c>
    </row>
    <row r="2672" spans="7:7">
      <c r="G2672" t="s">
        <v>2860</v>
      </c>
    </row>
    <row r="2673" spans="7:7">
      <c r="G2673" t="s">
        <v>2861</v>
      </c>
    </row>
    <row r="2674" spans="7:7">
      <c r="G2674" t="s">
        <v>2862</v>
      </c>
    </row>
    <row r="2675" spans="7:7">
      <c r="G2675" t="s">
        <v>2863</v>
      </c>
    </row>
    <row r="2676" spans="7:7">
      <c r="G2676" t="s">
        <v>2864</v>
      </c>
    </row>
    <row r="2677" spans="7:7">
      <c r="G2677" t="s">
        <v>2865</v>
      </c>
    </row>
    <row r="2678" spans="7:7">
      <c r="G2678" t="s">
        <v>2866</v>
      </c>
    </row>
    <row r="2679" spans="7:7">
      <c r="G2679" t="s">
        <v>2867</v>
      </c>
    </row>
    <row r="2680" spans="7:7">
      <c r="G2680" t="s">
        <v>2868</v>
      </c>
    </row>
    <row r="2681" spans="7:7">
      <c r="G2681" t="s">
        <v>2869</v>
      </c>
    </row>
    <row r="2682" spans="7:7">
      <c r="G2682" t="s">
        <v>2870</v>
      </c>
    </row>
    <row r="2683" spans="7:7">
      <c r="G2683" t="s">
        <v>2871</v>
      </c>
    </row>
    <row r="2684" spans="7:7">
      <c r="G2684" t="s">
        <v>2872</v>
      </c>
    </row>
    <row r="2685" spans="7:7">
      <c r="G2685" t="s">
        <v>2873</v>
      </c>
    </row>
    <row r="2686" spans="7:7">
      <c r="G2686" t="s">
        <v>2874</v>
      </c>
    </row>
    <row r="2687" spans="7:7">
      <c r="G2687" t="s">
        <v>2875</v>
      </c>
    </row>
    <row r="2688" spans="7:7">
      <c r="G2688" t="s">
        <v>2876</v>
      </c>
    </row>
    <row r="2689" spans="7:7">
      <c r="G2689" t="s">
        <v>2877</v>
      </c>
    </row>
    <row r="2690" spans="7:7">
      <c r="G2690" t="s">
        <v>2878</v>
      </c>
    </row>
    <row r="2691" spans="7:7">
      <c r="G2691" t="s">
        <v>2879</v>
      </c>
    </row>
    <row r="2692" spans="7:7">
      <c r="G2692" t="s">
        <v>2880</v>
      </c>
    </row>
    <row r="2693" spans="7:7">
      <c r="G2693" t="s">
        <v>2881</v>
      </c>
    </row>
    <row r="2694" spans="7:7">
      <c r="G2694" t="s">
        <v>2882</v>
      </c>
    </row>
    <row r="2695" spans="7:7">
      <c r="G2695" t="s">
        <v>2883</v>
      </c>
    </row>
    <row r="2696" spans="7:7">
      <c r="G2696" t="s">
        <v>2884</v>
      </c>
    </row>
    <row r="2697" spans="7:7">
      <c r="G2697" t="s">
        <v>2885</v>
      </c>
    </row>
    <row r="2698" spans="7:7">
      <c r="G2698" t="s">
        <v>2886</v>
      </c>
    </row>
    <row r="2699" spans="7:7">
      <c r="G2699" t="s">
        <v>2887</v>
      </c>
    </row>
    <row r="2700" spans="7:7">
      <c r="G2700" t="s">
        <v>2888</v>
      </c>
    </row>
    <row r="2701" spans="7:7">
      <c r="G2701" t="s">
        <v>2889</v>
      </c>
    </row>
    <row r="2702" spans="7:7">
      <c r="G2702" t="s">
        <v>2890</v>
      </c>
    </row>
    <row r="2703" spans="7:7">
      <c r="G2703" t="s">
        <v>2891</v>
      </c>
    </row>
    <row r="2704" spans="7:7">
      <c r="G2704" t="s">
        <v>2892</v>
      </c>
    </row>
    <row r="2705" spans="7:7">
      <c r="G2705" t="s">
        <v>2893</v>
      </c>
    </row>
    <row r="2706" spans="7:7">
      <c r="G2706" t="s">
        <v>2894</v>
      </c>
    </row>
    <row r="2707" spans="7:7">
      <c r="G2707" t="s">
        <v>2895</v>
      </c>
    </row>
    <row r="2708" spans="7:7">
      <c r="G2708" t="s">
        <v>2896</v>
      </c>
    </row>
    <row r="2709" spans="7:7">
      <c r="G2709" t="s">
        <v>2897</v>
      </c>
    </row>
    <row r="2710" spans="7:7">
      <c r="G2710" t="s">
        <v>2898</v>
      </c>
    </row>
    <row r="2711" spans="7:7">
      <c r="G2711" t="s">
        <v>2899</v>
      </c>
    </row>
    <row r="2712" spans="7:7">
      <c r="G2712" t="s">
        <v>2900</v>
      </c>
    </row>
    <row r="2713" spans="7:7">
      <c r="G2713" t="s">
        <v>2901</v>
      </c>
    </row>
    <row r="2714" spans="7:7">
      <c r="G2714" t="s">
        <v>2902</v>
      </c>
    </row>
    <row r="2715" spans="7:7">
      <c r="G2715" t="s">
        <v>2903</v>
      </c>
    </row>
    <row r="2716" spans="7:7">
      <c r="G2716" t="s">
        <v>2904</v>
      </c>
    </row>
    <row r="2717" spans="7:7">
      <c r="G2717" t="s">
        <v>2905</v>
      </c>
    </row>
    <row r="2718" spans="7:7">
      <c r="G2718" t="s">
        <v>2906</v>
      </c>
    </row>
    <row r="2719" spans="7:7">
      <c r="G2719" t="s">
        <v>2907</v>
      </c>
    </row>
    <row r="2720" spans="7:7">
      <c r="G2720" t="s">
        <v>2908</v>
      </c>
    </row>
    <row r="2721" spans="7:7">
      <c r="G2721" t="s">
        <v>2909</v>
      </c>
    </row>
    <row r="2722" spans="7:7">
      <c r="G2722" t="s">
        <v>2910</v>
      </c>
    </row>
    <row r="2723" spans="7:7">
      <c r="G2723" t="s">
        <v>2911</v>
      </c>
    </row>
    <row r="2724" spans="7:7">
      <c r="G2724" t="s">
        <v>2912</v>
      </c>
    </row>
    <row r="2725" spans="7:7">
      <c r="G2725" t="s">
        <v>2913</v>
      </c>
    </row>
    <row r="2726" spans="7:7">
      <c r="G2726" t="s">
        <v>2914</v>
      </c>
    </row>
    <row r="2727" spans="7:7">
      <c r="G2727" t="s">
        <v>2915</v>
      </c>
    </row>
    <row r="2728" spans="7:7">
      <c r="G2728" t="s">
        <v>2916</v>
      </c>
    </row>
    <row r="2729" spans="7:7">
      <c r="G2729" t="s">
        <v>2917</v>
      </c>
    </row>
    <row r="2730" spans="7:7">
      <c r="G2730" t="s">
        <v>2918</v>
      </c>
    </row>
    <row r="2731" spans="7:7">
      <c r="G2731" t="s">
        <v>2919</v>
      </c>
    </row>
    <row r="2732" spans="7:7">
      <c r="G2732" t="s">
        <v>2920</v>
      </c>
    </row>
    <row r="2733" spans="7:7">
      <c r="G2733" t="s">
        <v>2921</v>
      </c>
    </row>
    <row r="2734" spans="7:7">
      <c r="G2734" t="s">
        <v>2922</v>
      </c>
    </row>
    <row r="2735" spans="7:7">
      <c r="G2735" t="s">
        <v>2923</v>
      </c>
    </row>
    <row r="2736" spans="7:7">
      <c r="G2736" t="s">
        <v>2924</v>
      </c>
    </row>
    <row r="2737" spans="7:7">
      <c r="G2737" t="s">
        <v>2925</v>
      </c>
    </row>
    <row r="2738" spans="7:7">
      <c r="G2738" t="s">
        <v>2926</v>
      </c>
    </row>
    <row r="2739" spans="7:7">
      <c r="G2739" t="s">
        <v>2927</v>
      </c>
    </row>
    <row r="2740" spans="7:7">
      <c r="G2740" t="s">
        <v>2928</v>
      </c>
    </row>
    <row r="2741" spans="7:7">
      <c r="G2741" t="s">
        <v>2929</v>
      </c>
    </row>
    <row r="2742" spans="7:7">
      <c r="G2742" t="s">
        <v>2930</v>
      </c>
    </row>
    <row r="2743" spans="7:7">
      <c r="G2743" t="s">
        <v>2931</v>
      </c>
    </row>
    <row r="2744" spans="7:7">
      <c r="G2744" t="s">
        <v>2932</v>
      </c>
    </row>
    <row r="2745" spans="7:7">
      <c r="G2745" t="s">
        <v>2933</v>
      </c>
    </row>
    <row r="2746" spans="7:7">
      <c r="G2746" t="s">
        <v>2934</v>
      </c>
    </row>
    <row r="2747" spans="7:7">
      <c r="G2747" t="s">
        <v>2935</v>
      </c>
    </row>
    <row r="2748" spans="7:7">
      <c r="G2748" t="s">
        <v>2936</v>
      </c>
    </row>
    <row r="2749" spans="7:7">
      <c r="G2749" t="s">
        <v>2937</v>
      </c>
    </row>
    <row r="2750" spans="7:7">
      <c r="G2750" t="s">
        <v>2938</v>
      </c>
    </row>
    <row r="2751" spans="7:7">
      <c r="G2751" t="s">
        <v>2939</v>
      </c>
    </row>
    <row r="2752" spans="7:7">
      <c r="G2752" t="s">
        <v>2940</v>
      </c>
    </row>
    <row r="2753" spans="7:7">
      <c r="G2753" t="s">
        <v>2941</v>
      </c>
    </row>
    <row r="2754" spans="7:7">
      <c r="G2754" t="s">
        <v>2942</v>
      </c>
    </row>
    <row r="2755" spans="7:7">
      <c r="G2755" t="s">
        <v>2943</v>
      </c>
    </row>
    <row r="2756" spans="7:7">
      <c r="G2756" t="s">
        <v>2944</v>
      </c>
    </row>
    <row r="2757" spans="7:7">
      <c r="G2757" t="s">
        <v>2945</v>
      </c>
    </row>
    <row r="2758" spans="7:7">
      <c r="G2758" t="s">
        <v>2946</v>
      </c>
    </row>
    <row r="2759" spans="7:7">
      <c r="G2759" t="s">
        <v>2947</v>
      </c>
    </row>
    <row r="2760" spans="7:7">
      <c r="G2760" t="s">
        <v>2948</v>
      </c>
    </row>
    <row r="2761" spans="7:7">
      <c r="G2761" t="s">
        <v>2949</v>
      </c>
    </row>
    <row r="2762" spans="7:7">
      <c r="G2762" t="s">
        <v>2950</v>
      </c>
    </row>
    <row r="2763" spans="7:7">
      <c r="G2763" t="s">
        <v>2951</v>
      </c>
    </row>
    <row r="2764" spans="7:7">
      <c r="G2764" t="s">
        <v>2952</v>
      </c>
    </row>
    <row r="2765" spans="7:7">
      <c r="G2765" t="s">
        <v>2953</v>
      </c>
    </row>
    <row r="2766" spans="7:7">
      <c r="G2766" t="s">
        <v>2954</v>
      </c>
    </row>
    <row r="2767" spans="7:7">
      <c r="G2767" t="s">
        <v>2955</v>
      </c>
    </row>
    <row r="2768" spans="7:7">
      <c r="G2768" t="s">
        <v>2956</v>
      </c>
    </row>
    <row r="2769" spans="7:7">
      <c r="G2769" t="s">
        <v>2957</v>
      </c>
    </row>
    <row r="2770" spans="7:7">
      <c r="G2770" t="s">
        <v>2958</v>
      </c>
    </row>
    <row r="2771" spans="7:7">
      <c r="G2771" t="s">
        <v>2959</v>
      </c>
    </row>
    <row r="2772" spans="7:7">
      <c r="G2772" t="s">
        <v>2960</v>
      </c>
    </row>
    <row r="2773" spans="7:7">
      <c r="G2773" t="s">
        <v>2961</v>
      </c>
    </row>
    <row r="2774" spans="7:7">
      <c r="G2774" t="s">
        <v>2962</v>
      </c>
    </row>
    <row r="2775" spans="7:7">
      <c r="G2775" t="s">
        <v>2963</v>
      </c>
    </row>
    <row r="2776" spans="7:7">
      <c r="G2776" t="s">
        <v>2964</v>
      </c>
    </row>
    <row r="2777" spans="7:7">
      <c r="G2777" t="s">
        <v>2965</v>
      </c>
    </row>
    <row r="2778" spans="7:7">
      <c r="G2778" t="s">
        <v>2966</v>
      </c>
    </row>
    <row r="2779" spans="7:7">
      <c r="G2779" t="s">
        <v>2967</v>
      </c>
    </row>
    <row r="2780" spans="7:7">
      <c r="G2780" t="s">
        <v>2968</v>
      </c>
    </row>
    <row r="2781" spans="7:7">
      <c r="G2781" t="s">
        <v>2969</v>
      </c>
    </row>
    <row r="2782" spans="7:7">
      <c r="G2782" t="s">
        <v>2970</v>
      </c>
    </row>
    <row r="2783" spans="7:7">
      <c r="G2783" t="s">
        <v>2971</v>
      </c>
    </row>
    <row r="2784" spans="7:7">
      <c r="G2784" t="s">
        <v>2972</v>
      </c>
    </row>
    <row r="2785" spans="7:7">
      <c r="G2785" t="s">
        <v>2973</v>
      </c>
    </row>
    <row r="2786" spans="7:7">
      <c r="G2786" t="s">
        <v>2974</v>
      </c>
    </row>
    <row r="2787" spans="7:7">
      <c r="G2787" t="s">
        <v>2975</v>
      </c>
    </row>
    <row r="2788" spans="7:7">
      <c r="G2788" t="s">
        <v>2976</v>
      </c>
    </row>
    <row r="2789" spans="7:7">
      <c r="G2789" t="s">
        <v>2977</v>
      </c>
    </row>
    <row r="2790" spans="7:7">
      <c r="G2790" t="s">
        <v>2978</v>
      </c>
    </row>
    <row r="2791" spans="7:7">
      <c r="G2791" t="s">
        <v>2979</v>
      </c>
    </row>
    <row r="2792" spans="7:7">
      <c r="G2792" t="s">
        <v>2980</v>
      </c>
    </row>
    <row r="2793" spans="7:7">
      <c r="G2793" t="s">
        <v>2981</v>
      </c>
    </row>
    <row r="2794" spans="7:7">
      <c r="G2794" t="s">
        <v>2982</v>
      </c>
    </row>
    <row r="2795" spans="7:7">
      <c r="G2795" t="s">
        <v>2983</v>
      </c>
    </row>
    <row r="2796" spans="7:7">
      <c r="G2796" t="s">
        <v>2984</v>
      </c>
    </row>
    <row r="2797" spans="7:7">
      <c r="G2797" t="s">
        <v>2985</v>
      </c>
    </row>
    <row r="2798" spans="7:7">
      <c r="G2798" t="s">
        <v>2986</v>
      </c>
    </row>
    <row r="2799" spans="7:7">
      <c r="G2799" t="s">
        <v>2987</v>
      </c>
    </row>
    <row r="2800" spans="7:7">
      <c r="G2800" t="s">
        <v>2988</v>
      </c>
    </row>
    <row r="2801" spans="7:7">
      <c r="G2801" t="s">
        <v>2989</v>
      </c>
    </row>
    <row r="2802" spans="7:7">
      <c r="G2802" t="s">
        <v>2990</v>
      </c>
    </row>
    <row r="2803" spans="7:7">
      <c r="G2803" t="s">
        <v>2991</v>
      </c>
    </row>
    <row r="2804" spans="7:7">
      <c r="G2804" t="s">
        <v>2992</v>
      </c>
    </row>
    <row r="2805" spans="7:7">
      <c r="G2805" t="s">
        <v>2993</v>
      </c>
    </row>
    <row r="2806" spans="7:7">
      <c r="G2806" t="s">
        <v>2994</v>
      </c>
    </row>
    <row r="2807" spans="7:7">
      <c r="G2807" t="s">
        <v>2995</v>
      </c>
    </row>
    <row r="2808" spans="7:7">
      <c r="G2808" t="s">
        <v>2996</v>
      </c>
    </row>
    <row r="2809" spans="7:7">
      <c r="G2809" t="s">
        <v>2997</v>
      </c>
    </row>
    <row r="2810" spans="7:7">
      <c r="G2810" t="s">
        <v>2998</v>
      </c>
    </row>
    <row r="2811" spans="7:7">
      <c r="G2811" t="s">
        <v>2999</v>
      </c>
    </row>
    <row r="2812" spans="7:7">
      <c r="G2812" t="s">
        <v>3000</v>
      </c>
    </row>
    <row r="2813" spans="7:7">
      <c r="G2813" t="s">
        <v>3001</v>
      </c>
    </row>
    <row r="2814" spans="7:7">
      <c r="G2814" t="s">
        <v>3002</v>
      </c>
    </row>
    <row r="2815" spans="7:7">
      <c r="G2815" t="s">
        <v>3003</v>
      </c>
    </row>
    <row r="2816" spans="7:7">
      <c r="G2816" t="s">
        <v>3004</v>
      </c>
    </row>
    <row r="2817" spans="7:7">
      <c r="G2817" t="s">
        <v>3005</v>
      </c>
    </row>
    <row r="2818" spans="7:7">
      <c r="G2818" t="s">
        <v>3006</v>
      </c>
    </row>
    <row r="2819" spans="7:7">
      <c r="G2819" t="s">
        <v>3007</v>
      </c>
    </row>
    <row r="2820" spans="7:7">
      <c r="G2820" t="s">
        <v>3008</v>
      </c>
    </row>
    <row r="2821" spans="7:7">
      <c r="G2821" t="s">
        <v>3009</v>
      </c>
    </row>
    <row r="2822" spans="7:7">
      <c r="G2822" t="s">
        <v>3010</v>
      </c>
    </row>
    <row r="2823" spans="7:7">
      <c r="G2823" t="s">
        <v>3011</v>
      </c>
    </row>
    <row r="2824" spans="7:7">
      <c r="G2824" t="s">
        <v>3012</v>
      </c>
    </row>
    <row r="2825" spans="7:7">
      <c r="G2825" t="s">
        <v>3013</v>
      </c>
    </row>
    <row r="2826" spans="7:7">
      <c r="G2826" t="s">
        <v>3014</v>
      </c>
    </row>
    <row r="2827" spans="7:7">
      <c r="G2827" t="s">
        <v>3015</v>
      </c>
    </row>
    <row r="2828" spans="7:7">
      <c r="G2828" t="s">
        <v>3016</v>
      </c>
    </row>
    <row r="2829" spans="7:7">
      <c r="G2829" t="s">
        <v>3017</v>
      </c>
    </row>
    <row r="2830" spans="7:7">
      <c r="G2830" t="s">
        <v>3018</v>
      </c>
    </row>
    <row r="2831" spans="7:7">
      <c r="G2831" t="s">
        <v>3019</v>
      </c>
    </row>
    <row r="2832" spans="7:7">
      <c r="G2832" t="s">
        <v>3020</v>
      </c>
    </row>
    <row r="2833" spans="7:7">
      <c r="G2833" t="s">
        <v>3021</v>
      </c>
    </row>
    <row r="2834" spans="7:7">
      <c r="G2834" t="s">
        <v>3022</v>
      </c>
    </row>
    <row r="2835" spans="7:7">
      <c r="G2835" t="s">
        <v>3023</v>
      </c>
    </row>
    <row r="2836" spans="7:7">
      <c r="G2836" t="s">
        <v>3024</v>
      </c>
    </row>
    <row r="2837" spans="7:7">
      <c r="G2837" t="s">
        <v>3025</v>
      </c>
    </row>
    <row r="2838" spans="7:7">
      <c r="G2838" t="s">
        <v>3026</v>
      </c>
    </row>
    <row r="2839" spans="7:7">
      <c r="G2839" t="s">
        <v>3027</v>
      </c>
    </row>
    <row r="2840" spans="7:7">
      <c r="G2840" t="s">
        <v>3028</v>
      </c>
    </row>
    <row r="2841" spans="7:7">
      <c r="G2841" t="s">
        <v>3029</v>
      </c>
    </row>
    <row r="2842" spans="7:7">
      <c r="G2842" t="s">
        <v>3030</v>
      </c>
    </row>
    <row r="2843" spans="7:7">
      <c r="G2843" t="s">
        <v>3031</v>
      </c>
    </row>
    <row r="2844" spans="7:7">
      <c r="G2844" t="s">
        <v>3032</v>
      </c>
    </row>
    <row r="2845" spans="7:7">
      <c r="G2845" t="s">
        <v>3033</v>
      </c>
    </row>
    <row r="2846" spans="7:7">
      <c r="G2846" t="s">
        <v>3034</v>
      </c>
    </row>
    <row r="2847" spans="7:7">
      <c r="G2847" t="s">
        <v>3035</v>
      </c>
    </row>
    <row r="2848" spans="7:7">
      <c r="G2848" t="s">
        <v>3036</v>
      </c>
    </row>
    <row r="2849" spans="7:7">
      <c r="G2849" t="s">
        <v>3037</v>
      </c>
    </row>
    <row r="2850" spans="7:7">
      <c r="G2850" t="s">
        <v>3038</v>
      </c>
    </row>
    <row r="2851" spans="7:7">
      <c r="G2851" t="s">
        <v>3039</v>
      </c>
    </row>
    <row r="2852" spans="7:7">
      <c r="G2852" t="s">
        <v>3040</v>
      </c>
    </row>
    <row r="2853" spans="7:7">
      <c r="G2853" t="s">
        <v>3041</v>
      </c>
    </row>
    <row r="2854" spans="7:7">
      <c r="G2854" t="s">
        <v>3042</v>
      </c>
    </row>
    <row r="2855" spans="7:7">
      <c r="G2855" t="s">
        <v>3043</v>
      </c>
    </row>
    <row r="2856" spans="7:7">
      <c r="G2856" t="s">
        <v>3044</v>
      </c>
    </row>
    <row r="2857" spans="7:7">
      <c r="G2857" t="s">
        <v>3045</v>
      </c>
    </row>
    <row r="2858" spans="7:7">
      <c r="G2858" t="s">
        <v>3046</v>
      </c>
    </row>
    <row r="2859" spans="7:7">
      <c r="G2859" t="s">
        <v>3047</v>
      </c>
    </row>
    <row r="2860" spans="7:7">
      <c r="G2860" t="s">
        <v>3048</v>
      </c>
    </row>
    <row r="2861" spans="7:7">
      <c r="G2861" t="s">
        <v>3049</v>
      </c>
    </row>
    <row r="2862" spans="7:7">
      <c r="G2862" t="s">
        <v>3050</v>
      </c>
    </row>
    <row r="2863" spans="7:7">
      <c r="G2863" t="s">
        <v>3051</v>
      </c>
    </row>
    <row r="2864" spans="7:7">
      <c r="G2864" t="s">
        <v>3052</v>
      </c>
    </row>
    <row r="2865" spans="7:7">
      <c r="G2865" t="s">
        <v>3053</v>
      </c>
    </row>
    <row r="2866" spans="7:7">
      <c r="G2866" t="s">
        <v>3054</v>
      </c>
    </row>
    <row r="2867" spans="7:7">
      <c r="G2867" t="s">
        <v>3055</v>
      </c>
    </row>
    <row r="2868" spans="7:7">
      <c r="G2868" t="s">
        <v>3056</v>
      </c>
    </row>
    <row r="2869" spans="7:7">
      <c r="G2869" t="s">
        <v>3057</v>
      </c>
    </row>
    <row r="2870" spans="7:7">
      <c r="G2870" t="s">
        <v>3058</v>
      </c>
    </row>
    <row r="2871" spans="7:7">
      <c r="G2871" t="s">
        <v>3059</v>
      </c>
    </row>
    <row r="2872" spans="7:7">
      <c r="G2872" t="s">
        <v>3060</v>
      </c>
    </row>
    <row r="2873" spans="7:7">
      <c r="G2873" t="s">
        <v>3061</v>
      </c>
    </row>
    <row r="2874" spans="7:7">
      <c r="G2874" t="s">
        <v>3062</v>
      </c>
    </row>
    <row r="2875" spans="7:7">
      <c r="G2875" t="s">
        <v>3063</v>
      </c>
    </row>
    <row r="2876" spans="7:7">
      <c r="G2876" t="s">
        <v>3064</v>
      </c>
    </row>
    <row r="2877" spans="7:7">
      <c r="G2877" t="s">
        <v>3065</v>
      </c>
    </row>
    <row r="2878" spans="7:7">
      <c r="G2878" t="s">
        <v>3066</v>
      </c>
    </row>
    <row r="2879" spans="7:7">
      <c r="G2879" t="s">
        <v>3067</v>
      </c>
    </row>
    <row r="2880" spans="7:7">
      <c r="G2880" t="s">
        <v>3068</v>
      </c>
    </row>
    <row r="2881" spans="7:7">
      <c r="G2881" t="s">
        <v>3069</v>
      </c>
    </row>
    <row r="2882" spans="7:7">
      <c r="G2882" t="s">
        <v>3070</v>
      </c>
    </row>
    <row r="2883" spans="7:7">
      <c r="G2883" t="s">
        <v>3071</v>
      </c>
    </row>
    <row r="2884" spans="7:7">
      <c r="G2884" t="s">
        <v>3072</v>
      </c>
    </row>
    <row r="2885" spans="7:7">
      <c r="G2885" t="s">
        <v>3073</v>
      </c>
    </row>
    <row r="2886" spans="7:7">
      <c r="G2886" t="s">
        <v>3074</v>
      </c>
    </row>
    <row r="2887" spans="7:7">
      <c r="G2887" t="s">
        <v>3075</v>
      </c>
    </row>
    <row r="2888" spans="7:7">
      <c r="G2888" t="s">
        <v>3076</v>
      </c>
    </row>
    <row r="2889" spans="7:7">
      <c r="G2889" t="s">
        <v>3077</v>
      </c>
    </row>
    <row r="2890" spans="7:7">
      <c r="G2890" t="s">
        <v>3078</v>
      </c>
    </row>
    <row r="2891" spans="7:7">
      <c r="G2891" t="s">
        <v>3079</v>
      </c>
    </row>
    <row r="2892" spans="7:7">
      <c r="G2892" t="s">
        <v>3080</v>
      </c>
    </row>
    <row r="2893" spans="7:7">
      <c r="G2893" t="s">
        <v>3081</v>
      </c>
    </row>
    <row r="2894" spans="7:7">
      <c r="G2894" t="s">
        <v>3082</v>
      </c>
    </row>
    <row r="2895" spans="7:7">
      <c r="G2895" t="s">
        <v>3083</v>
      </c>
    </row>
    <row r="2896" spans="7:7">
      <c r="G2896" t="s">
        <v>3084</v>
      </c>
    </row>
    <row r="2897" spans="7:7">
      <c r="G2897" t="s">
        <v>3085</v>
      </c>
    </row>
    <row r="2898" spans="7:7">
      <c r="G2898" t="s">
        <v>3086</v>
      </c>
    </row>
    <row r="2899" spans="7:7">
      <c r="G2899" t="s">
        <v>3087</v>
      </c>
    </row>
    <row r="2900" spans="7:7">
      <c r="G2900" t="s">
        <v>3088</v>
      </c>
    </row>
    <row r="2901" spans="7:7">
      <c r="G2901" t="s">
        <v>3089</v>
      </c>
    </row>
    <row r="2902" spans="7:7">
      <c r="G2902" t="s">
        <v>3090</v>
      </c>
    </row>
    <row r="2903" spans="7:7">
      <c r="G2903" t="s">
        <v>3091</v>
      </c>
    </row>
    <row r="2904" spans="7:7">
      <c r="G2904" t="s">
        <v>3092</v>
      </c>
    </row>
    <row r="2905" spans="7:7">
      <c r="G2905" t="s">
        <v>3093</v>
      </c>
    </row>
    <row r="2906" spans="7:7">
      <c r="G2906" t="s">
        <v>3094</v>
      </c>
    </row>
    <row r="2907" spans="7:7">
      <c r="G2907" t="s">
        <v>3095</v>
      </c>
    </row>
    <row r="2908" spans="7:7">
      <c r="G2908" t="s">
        <v>3096</v>
      </c>
    </row>
    <row r="2909" spans="7:7">
      <c r="G2909" t="s">
        <v>3097</v>
      </c>
    </row>
    <row r="2910" spans="7:7">
      <c r="G2910" t="s">
        <v>3098</v>
      </c>
    </row>
    <row r="2911" spans="7:7">
      <c r="G2911" t="s">
        <v>3099</v>
      </c>
    </row>
    <row r="2912" spans="7:7">
      <c r="G2912" t="s">
        <v>3100</v>
      </c>
    </row>
    <row r="2913" spans="7:7">
      <c r="G2913" t="s">
        <v>3101</v>
      </c>
    </row>
    <row r="2914" spans="7:7">
      <c r="G2914" t="s">
        <v>3102</v>
      </c>
    </row>
    <row r="2915" spans="7:7">
      <c r="G2915" t="s">
        <v>3103</v>
      </c>
    </row>
    <row r="2916" spans="7:7">
      <c r="G2916" t="s">
        <v>3104</v>
      </c>
    </row>
    <row r="2917" spans="7:7">
      <c r="G2917" t="s">
        <v>3105</v>
      </c>
    </row>
    <row r="2918" spans="7:7">
      <c r="G2918" t="s">
        <v>3106</v>
      </c>
    </row>
    <row r="2919" spans="7:7">
      <c r="G2919" t="s">
        <v>3107</v>
      </c>
    </row>
    <row r="2920" spans="7:7">
      <c r="G2920" t="s">
        <v>3108</v>
      </c>
    </row>
    <row r="2921" spans="7:7">
      <c r="G2921" t="s">
        <v>3109</v>
      </c>
    </row>
    <row r="2922" spans="7:7">
      <c r="G2922" t="s">
        <v>3110</v>
      </c>
    </row>
    <row r="2923" spans="7:7">
      <c r="G2923" t="s">
        <v>3111</v>
      </c>
    </row>
    <row r="2924" spans="7:7">
      <c r="G2924" t="s">
        <v>3112</v>
      </c>
    </row>
    <row r="2925" spans="7:7">
      <c r="G2925" t="s">
        <v>3113</v>
      </c>
    </row>
    <row r="2926" spans="7:7">
      <c r="G2926" t="s">
        <v>3114</v>
      </c>
    </row>
    <row r="2927" spans="7:7">
      <c r="G2927" t="s">
        <v>3115</v>
      </c>
    </row>
    <row r="2928" spans="7:7">
      <c r="G2928" t="s">
        <v>3116</v>
      </c>
    </row>
    <row r="2929" spans="7:7">
      <c r="G2929" t="s">
        <v>3117</v>
      </c>
    </row>
    <row r="2930" spans="7:7">
      <c r="G2930" t="s">
        <v>3118</v>
      </c>
    </row>
    <row r="2931" spans="7:7">
      <c r="G2931" t="s">
        <v>3119</v>
      </c>
    </row>
    <row r="2932" spans="7:7">
      <c r="G2932" t="s">
        <v>3120</v>
      </c>
    </row>
    <row r="2933" spans="7:7">
      <c r="G2933" t="s">
        <v>3121</v>
      </c>
    </row>
    <row r="2934" spans="7:7">
      <c r="G2934" t="s">
        <v>3122</v>
      </c>
    </row>
    <row r="2935" spans="7:7">
      <c r="G2935" t="s">
        <v>3123</v>
      </c>
    </row>
    <row r="2936" spans="7:7">
      <c r="G2936" t="s">
        <v>3124</v>
      </c>
    </row>
    <row r="2937" spans="7:7">
      <c r="G2937" t="s">
        <v>3125</v>
      </c>
    </row>
    <row r="2938" spans="7:7">
      <c r="G2938" t="s">
        <v>3126</v>
      </c>
    </row>
    <row r="2939" spans="7:7">
      <c r="G2939" t="s">
        <v>3127</v>
      </c>
    </row>
    <row r="2940" spans="7:7">
      <c r="G2940" t="s">
        <v>3128</v>
      </c>
    </row>
    <row r="2941" spans="7:7">
      <c r="G2941" t="s">
        <v>3129</v>
      </c>
    </row>
    <row r="2942" spans="7:7">
      <c r="G2942" t="s">
        <v>3130</v>
      </c>
    </row>
    <row r="2943" spans="7:7">
      <c r="G2943" t="s">
        <v>3131</v>
      </c>
    </row>
    <row r="2944" spans="7:7">
      <c r="G2944" t="s">
        <v>3132</v>
      </c>
    </row>
    <row r="2945" spans="7:7">
      <c r="G2945" t="s">
        <v>3133</v>
      </c>
    </row>
    <row r="2946" spans="7:7">
      <c r="G2946" t="s">
        <v>3134</v>
      </c>
    </row>
    <row r="2947" spans="7:7">
      <c r="G2947" t="s">
        <v>3135</v>
      </c>
    </row>
    <row r="2948" spans="7:7">
      <c r="G2948" t="s">
        <v>3136</v>
      </c>
    </row>
    <row r="2949" spans="7:7">
      <c r="G2949" t="s">
        <v>3137</v>
      </c>
    </row>
    <row r="2950" spans="7:7">
      <c r="G2950" t="s">
        <v>3138</v>
      </c>
    </row>
    <row r="2951" spans="7:7">
      <c r="G2951" t="s">
        <v>3139</v>
      </c>
    </row>
    <row r="2952" spans="7:7">
      <c r="G2952" t="s">
        <v>3140</v>
      </c>
    </row>
    <row r="2953" spans="7:7">
      <c r="G2953" t="s">
        <v>3141</v>
      </c>
    </row>
    <row r="2954" spans="7:7">
      <c r="G2954" t="s">
        <v>3142</v>
      </c>
    </row>
    <row r="2955" spans="7:7">
      <c r="G2955" t="s">
        <v>3143</v>
      </c>
    </row>
    <row r="2956" spans="7:7">
      <c r="G2956" t="s">
        <v>3144</v>
      </c>
    </row>
    <row r="2957" spans="7:7">
      <c r="G2957" t="s">
        <v>3145</v>
      </c>
    </row>
    <row r="2958" spans="7:7">
      <c r="G2958" t="s">
        <v>3146</v>
      </c>
    </row>
    <row r="2959" spans="7:7">
      <c r="G2959" t="s">
        <v>3147</v>
      </c>
    </row>
    <row r="2960" spans="7:7">
      <c r="G2960" t="s">
        <v>3148</v>
      </c>
    </row>
    <row r="2961" spans="7:7">
      <c r="G2961" t="s">
        <v>3149</v>
      </c>
    </row>
    <row r="2962" spans="7:7">
      <c r="G2962" t="s">
        <v>3150</v>
      </c>
    </row>
    <row r="2963" spans="7:7">
      <c r="G2963" t="s">
        <v>3151</v>
      </c>
    </row>
    <row r="2964" spans="7:7">
      <c r="G2964" t="s">
        <v>3152</v>
      </c>
    </row>
    <row r="2965" spans="7:7">
      <c r="G2965" t="s">
        <v>3153</v>
      </c>
    </row>
    <row r="2966" spans="7:7">
      <c r="G2966" t="s">
        <v>3154</v>
      </c>
    </row>
    <row r="2967" spans="7:7">
      <c r="G2967" t="s">
        <v>3155</v>
      </c>
    </row>
    <row r="2968" spans="7:7">
      <c r="G2968" t="s">
        <v>3156</v>
      </c>
    </row>
    <row r="2969" spans="7:7">
      <c r="G2969" t="s">
        <v>3157</v>
      </c>
    </row>
    <row r="2970" spans="7:7">
      <c r="G2970" t="s">
        <v>3158</v>
      </c>
    </row>
    <row r="2971" spans="7:7">
      <c r="G2971" t="s">
        <v>3159</v>
      </c>
    </row>
    <row r="2972" spans="7:7">
      <c r="G2972" t="s">
        <v>3160</v>
      </c>
    </row>
    <row r="2973" spans="7:7">
      <c r="G2973" t="s">
        <v>3161</v>
      </c>
    </row>
    <row r="2974" spans="7:7">
      <c r="G2974" t="s">
        <v>3162</v>
      </c>
    </row>
    <row r="2975" spans="7:7">
      <c r="G2975" t="s">
        <v>3163</v>
      </c>
    </row>
    <row r="2976" spans="7:7">
      <c r="G2976" t="s">
        <v>3164</v>
      </c>
    </row>
    <row r="2977" spans="7:7">
      <c r="G2977" t="s">
        <v>3165</v>
      </c>
    </row>
    <row r="2978" spans="7:7">
      <c r="G2978" t="s">
        <v>3166</v>
      </c>
    </row>
    <row r="2979" spans="7:7">
      <c r="G2979" t="s">
        <v>3167</v>
      </c>
    </row>
    <row r="2980" spans="7:7">
      <c r="G2980" t="s">
        <v>3168</v>
      </c>
    </row>
    <row r="2981" spans="7:7">
      <c r="G2981" t="s">
        <v>3169</v>
      </c>
    </row>
    <row r="2982" spans="7:7">
      <c r="G2982" t="s">
        <v>3170</v>
      </c>
    </row>
    <row r="2983" spans="7:7">
      <c r="G2983" t="s">
        <v>3171</v>
      </c>
    </row>
    <row r="2984" spans="7:7">
      <c r="G2984" t="s">
        <v>3172</v>
      </c>
    </row>
    <row r="2985" spans="7:7">
      <c r="G2985" t="s">
        <v>3173</v>
      </c>
    </row>
    <row r="2986" spans="7:7">
      <c r="G2986" t="s">
        <v>3174</v>
      </c>
    </row>
    <row r="2987" spans="7:7">
      <c r="G2987" t="s">
        <v>3175</v>
      </c>
    </row>
    <row r="2988" spans="7:7">
      <c r="G2988" t="s">
        <v>3176</v>
      </c>
    </row>
    <row r="2989" spans="7:7">
      <c r="G2989" t="s">
        <v>3177</v>
      </c>
    </row>
    <row r="2990" spans="7:7">
      <c r="G2990" t="s">
        <v>3178</v>
      </c>
    </row>
    <row r="2991" spans="7:7">
      <c r="G2991" t="s">
        <v>3179</v>
      </c>
    </row>
    <row r="2992" spans="7:7">
      <c r="G2992" t="s">
        <v>3180</v>
      </c>
    </row>
    <row r="2993" spans="7:7">
      <c r="G2993" t="s">
        <v>3181</v>
      </c>
    </row>
    <row r="2994" spans="7:7">
      <c r="G2994" t="s">
        <v>3182</v>
      </c>
    </row>
    <row r="2995" spans="7:7">
      <c r="G2995" t="s">
        <v>3183</v>
      </c>
    </row>
    <row r="2996" spans="7:7">
      <c r="G2996" t="s">
        <v>3184</v>
      </c>
    </row>
    <row r="2997" spans="7:7">
      <c r="G2997" t="s">
        <v>3185</v>
      </c>
    </row>
    <row r="2998" spans="7:7">
      <c r="G2998" t="s">
        <v>3186</v>
      </c>
    </row>
    <row r="2999" spans="7:7">
      <c r="G2999" t="s">
        <v>3187</v>
      </c>
    </row>
    <row r="3000" spans="7:7">
      <c r="G3000" t="s">
        <v>3188</v>
      </c>
    </row>
    <row r="3001" spans="7:7">
      <c r="G3001" t="s">
        <v>3189</v>
      </c>
    </row>
    <row r="3002" spans="7:7">
      <c r="G3002" t="s">
        <v>3190</v>
      </c>
    </row>
    <row r="3003" spans="7:7">
      <c r="G3003" t="s">
        <v>3191</v>
      </c>
    </row>
    <row r="3004" spans="7:7">
      <c r="G3004" t="s">
        <v>3192</v>
      </c>
    </row>
    <row r="3005" spans="7:7">
      <c r="G3005" t="s">
        <v>3193</v>
      </c>
    </row>
    <row r="3006" spans="7:7">
      <c r="G3006" t="s">
        <v>3194</v>
      </c>
    </row>
    <row r="3007" spans="7:7">
      <c r="G3007" t="s">
        <v>3195</v>
      </c>
    </row>
    <row r="3008" spans="7:7">
      <c r="G3008" t="s">
        <v>3196</v>
      </c>
    </row>
    <row r="3009" spans="7:7">
      <c r="G3009" t="s">
        <v>3197</v>
      </c>
    </row>
    <row r="3010" spans="7:7">
      <c r="G3010" t="s">
        <v>3198</v>
      </c>
    </row>
    <row r="3011" spans="7:7">
      <c r="G3011" t="s">
        <v>3199</v>
      </c>
    </row>
    <row r="3012" spans="7:7">
      <c r="G3012" t="s">
        <v>3200</v>
      </c>
    </row>
    <row r="3013" spans="7:7">
      <c r="G3013" t="s">
        <v>3201</v>
      </c>
    </row>
    <row r="3014" spans="7:7">
      <c r="G3014" t="s">
        <v>3202</v>
      </c>
    </row>
    <row r="3015" spans="7:7">
      <c r="G3015" t="s">
        <v>3203</v>
      </c>
    </row>
    <row r="3016" spans="7:7">
      <c r="G3016" t="s">
        <v>3204</v>
      </c>
    </row>
    <row r="3017" spans="7:7">
      <c r="G3017" t="s">
        <v>3205</v>
      </c>
    </row>
    <row r="3018" spans="7:7">
      <c r="G3018" t="s">
        <v>3206</v>
      </c>
    </row>
    <row r="3019" spans="7:7">
      <c r="G3019" t="s">
        <v>3207</v>
      </c>
    </row>
    <row r="3020" spans="7:7">
      <c r="G3020" t="s">
        <v>3208</v>
      </c>
    </row>
    <row r="3021" spans="7:7">
      <c r="G3021" t="s">
        <v>3209</v>
      </c>
    </row>
    <row r="3022" spans="7:7">
      <c r="G3022" t="s">
        <v>3210</v>
      </c>
    </row>
    <row r="3023" spans="7:7">
      <c r="G3023" t="s">
        <v>3211</v>
      </c>
    </row>
    <row r="3024" spans="7:7">
      <c r="G3024" t="s">
        <v>3212</v>
      </c>
    </row>
    <row r="3025" spans="7:7">
      <c r="G3025" t="s">
        <v>3213</v>
      </c>
    </row>
    <row r="3026" spans="7:7">
      <c r="G3026" t="s">
        <v>3214</v>
      </c>
    </row>
    <row r="3027" spans="7:7">
      <c r="G3027" t="s">
        <v>3215</v>
      </c>
    </row>
    <row r="3028" spans="7:7">
      <c r="G3028" t="s">
        <v>3216</v>
      </c>
    </row>
    <row r="3029" spans="7:7">
      <c r="G3029" t="s">
        <v>3217</v>
      </c>
    </row>
    <row r="3030" spans="7:7">
      <c r="G3030" t="s">
        <v>3218</v>
      </c>
    </row>
    <row r="3031" spans="7:7">
      <c r="G3031" t="s">
        <v>3219</v>
      </c>
    </row>
    <row r="3032" spans="7:7">
      <c r="G3032" t="s">
        <v>3220</v>
      </c>
    </row>
    <row r="3033" spans="7:7">
      <c r="G3033" t="s">
        <v>3221</v>
      </c>
    </row>
    <row r="3034" spans="7:7">
      <c r="G3034" t="s">
        <v>3222</v>
      </c>
    </row>
    <row r="3035" spans="7:7">
      <c r="G3035" t="s">
        <v>3223</v>
      </c>
    </row>
    <row r="3036" spans="7:7">
      <c r="G3036" t="s">
        <v>3224</v>
      </c>
    </row>
    <row r="3037" spans="7:7">
      <c r="G3037" t="s">
        <v>3225</v>
      </c>
    </row>
    <row r="3038" spans="7:7">
      <c r="G3038" t="s">
        <v>3226</v>
      </c>
    </row>
    <row r="3039" spans="7:7">
      <c r="G3039" t="s">
        <v>3227</v>
      </c>
    </row>
    <row r="3040" spans="7:7">
      <c r="G3040" t="s">
        <v>3228</v>
      </c>
    </row>
    <row r="3041" spans="7:7">
      <c r="G3041" t="s">
        <v>3229</v>
      </c>
    </row>
    <row r="3042" spans="7:7">
      <c r="G3042" t="s">
        <v>3230</v>
      </c>
    </row>
    <row r="3043" spans="7:7">
      <c r="G3043" t="s">
        <v>3231</v>
      </c>
    </row>
    <row r="3044" spans="7:7">
      <c r="G3044" t="s">
        <v>3232</v>
      </c>
    </row>
    <row r="3045" spans="7:7">
      <c r="G3045" t="s">
        <v>3233</v>
      </c>
    </row>
    <row r="3046" spans="7:7">
      <c r="G3046" t="s">
        <v>3234</v>
      </c>
    </row>
    <row r="3047" spans="7:7">
      <c r="G3047" t="s">
        <v>3235</v>
      </c>
    </row>
    <row r="3048" spans="7:7">
      <c r="G3048" t="s">
        <v>3236</v>
      </c>
    </row>
    <row r="3049" spans="7:7">
      <c r="G3049" t="s">
        <v>3237</v>
      </c>
    </row>
    <row r="3050" spans="7:7">
      <c r="G3050" t="s">
        <v>3238</v>
      </c>
    </row>
    <row r="3051" spans="7:7">
      <c r="G3051" t="s">
        <v>3239</v>
      </c>
    </row>
    <row r="3052" spans="7:7">
      <c r="G3052" t="s">
        <v>3240</v>
      </c>
    </row>
    <row r="3053" spans="7:7">
      <c r="G3053" t="s">
        <v>3241</v>
      </c>
    </row>
    <row r="3054" spans="7:7">
      <c r="G3054" t="s">
        <v>3242</v>
      </c>
    </row>
    <row r="3055" spans="7:7">
      <c r="G3055" t="s">
        <v>3243</v>
      </c>
    </row>
    <row r="3056" spans="7:7">
      <c r="G3056" t="s">
        <v>3244</v>
      </c>
    </row>
    <row r="3057" spans="7:7">
      <c r="G3057" t="s">
        <v>3245</v>
      </c>
    </row>
    <row r="3058" spans="7:7">
      <c r="G3058" t="s">
        <v>3246</v>
      </c>
    </row>
    <row r="3059" spans="7:7">
      <c r="G3059" t="s">
        <v>3247</v>
      </c>
    </row>
    <row r="3060" spans="7:7">
      <c r="G3060" t="s">
        <v>3248</v>
      </c>
    </row>
    <row r="3061" spans="7:7">
      <c r="G3061" t="s">
        <v>3249</v>
      </c>
    </row>
    <row r="3062" spans="7:7">
      <c r="G3062" t="s">
        <v>3250</v>
      </c>
    </row>
    <row r="3063" spans="7:7">
      <c r="G3063" t="s">
        <v>3251</v>
      </c>
    </row>
    <row r="3064" spans="7:7">
      <c r="G3064" t="s">
        <v>3252</v>
      </c>
    </row>
    <row r="3065" spans="7:7">
      <c r="G3065" t="s">
        <v>3253</v>
      </c>
    </row>
    <row r="3066" spans="7:7">
      <c r="G3066" t="s">
        <v>3254</v>
      </c>
    </row>
    <row r="3067" spans="7:7">
      <c r="G3067" t="s">
        <v>3255</v>
      </c>
    </row>
    <row r="3068" spans="7:7">
      <c r="G3068" t="s">
        <v>3256</v>
      </c>
    </row>
    <row r="3069" spans="7:7">
      <c r="G3069" t="s">
        <v>3257</v>
      </c>
    </row>
    <row r="3070" spans="7:7">
      <c r="G3070" t="s">
        <v>3258</v>
      </c>
    </row>
    <row r="3071" spans="7:7">
      <c r="G3071" t="s">
        <v>3259</v>
      </c>
    </row>
    <row r="3072" spans="7:7">
      <c r="G3072" t="s">
        <v>3260</v>
      </c>
    </row>
    <row r="3073" spans="7:7">
      <c r="G3073" t="s">
        <v>3261</v>
      </c>
    </row>
    <row r="3074" spans="7:7">
      <c r="G3074" t="s">
        <v>3262</v>
      </c>
    </row>
    <row r="3075" spans="7:7">
      <c r="G3075" t="s">
        <v>3263</v>
      </c>
    </row>
    <row r="3076" spans="7:7">
      <c r="G3076" t="s">
        <v>3264</v>
      </c>
    </row>
    <row r="3077" spans="7:7">
      <c r="G3077" t="s">
        <v>3265</v>
      </c>
    </row>
    <row r="3078" spans="7:7">
      <c r="G3078" t="s">
        <v>3266</v>
      </c>
    </row>
    <row r="3079" spans="7:7">
      <c r="G3079" t="s">
        <v>3267</v>
      </c>
    </row>
    <row r="3080" spans="7:7">
      <c r="G3080" t="s">
        <v>3268</v>
      </c>
    </row>
    <row r="3081" spans="7:7">
      <c r="G3081" t="s">
        <v>3269</v>
      </c>
    </row>
    <row r="3082" spans="7:7">
      <c r="G3082" t="s">
        <v>3270</v>
      </c>
    </row>
    <row r="3083" spans="7:7">
      <c r="G3083" t="s">
        <v>3271</v>
      </c>
    </row>
    <row r="3084" spans="7:7">
      <c r="G3084" t="s">
        <v>3272</v>
      </c>
    </row>
    <row r="3085" spans="7:7">
      <c r="G3085" t="s">
        <v>3273</v>
      </c>
    </row>
    <row r="3086" spans="7:7">
      <c r="G3086" t="s">
        <v>3274</v>
      </c>
    </row>
    <row r="3087" spans="7:7">
      <c r="G3087" t="s">
        <v>3275</v>
      </c>
    </row>
    <row r="3088" spans="7:7">
      <c r="G3088" t="s">
        <v>3276</v>
      </c>
    </row>
    <row r="3089" spans="7:7">
      <c r="G3089" t="s">
        <v>3277</v>
      </c>
    </row>
    <row r="3090" spans="7:7">
      <c r="G3090" t="s">
        <v>3278</v>
      </c>
    </row>
    <row r="3091" spans="7:7">
      <c r="G3091" t="s">
        <v>3279</v>
      </c>
    </row>
    <row r="3092" spans="7:7">
      <c r="G3092" t="s">
        <v>3280</v>
      </c>
    </row>
    <row r="3093" spans="7:7">
      <c r="G3093" t="s">
        <v>3281</v>
      </c>
    </row>
    <row r="3094" spans="7:7">
      <c r="G3094" t="s">
        <v>3282</v>
      </c>
    </row>
    <row r="3095" spans="7:7">
      <c r="G3095" t="s">
        <v>3283</v>
      </c>
    </row>
    <row r="3096" spans="7:7">
      <c r="G3096" t="s">
        <v>3284</v>
      </c>
    </row>
    <row r="3097" spans="7:7">
      <c r="G3097" t="s">
        <v>3285</v>
      </c>
    </row>
    <row r="3098" spans="7:7">
      <c r="G3098" t="s">
        <v>3286</v>
      </c>
    </row>
    <row r="3099" spans="7:7">
      <c r="G3099" t="s">
        <v>3287</v>
      </c>
    </row>
    <row r="3100" spans="7:7">
      <c r="G3100" t="s">
        <v>3288</v>
      </c>
    </row>
    <row r="3101" spans="7:7">
      <c r="G3101" t="s">
        <v>3289</v>
      </c>
    </row>
    <row r="3102" spans="7:7">
      <c r="G3102" t="s">
        <v>3290</v>
      </c>
    </row>
    <row r="3103" spans="7:7">
      <c r="G3103" t="s">
        <v>3291</v>
      </c>
    </row>
    <row r="3104" spans="7:7">
      <c r="G3104" t="s">
        <v>3292</v>
      </c>
    </row>
    <row r="3105" spans="7:7">
      <c r="G3105" t="s">
        <v>3293</v>
      </c>
    </row>
    <row r="3106" spans="7:7">
      <c r="G3106" t="s">
        <v>3294</v>
      </c>
    </row>
    <row r="3107" spans="7:7">
      <c r="G3107" t="s">
        <v>3295</v>
      </c>
    </row>
    <row r="3108" spans="7:7">
      <c r="G3108" t="s">
        <v>3296</v>
      </c>
    </row>
    <row r="3109" spans="7:7">
      <c r="G3109" t="s">
        <v>3297</v>
      </c>
    </row>
    <row r="3110" spans="7:7">
      <c r="G3110" t="s">
        <v>3298</v>
      </c>
    </row>
    <row r="3111" spans="7:7">
      <c r="G3111" t="s">
        <v>3299</v>
      </c>
    </row>
    <row r="3112" spans="7:7">
      <c r="G3112" t="s">
        <v>3300</v>
      </c>
    </row>
    <row r="3113" spans="7:7">
      <c r="G3113" t="s">
        <v>3301</v>
      </c>
    </row>
    <row r="3114" spans="7:7">
      <c r="G3114" t="s">
        <v>3302</v>
      </c>
    </row>
    <row r="3115" spans="7:7">
      <c r="G3115" t="s">
        <v>3303</v>
      </c>
    </row>
    <row r="3116" spans="7:7">
      <c r="G3116" t="s">
        <v>3304</v>
      </c>
    </row>
    <row r="3117" spans="7:7">
      <c r="G3117" t="s">
        <v>3305</v>
      </c>
    </row>
    <row r="3118" spans="7:7">
      <c r="G3118" t="s">
        <v>3306</v>
      </c>
    </row>
    <row r="3119" spans="7:7">
      <c r="G3119" t="s">
        <v>3307</v>
      </c>
    </row>
    <row r="3120" spans="7:7">
      <c r="G3120" t="s">
        <v>3308</v>
      </c>
    </row>
    <row r="3121" spans="7:7">
      <c r="G3121" t="s">
        <v>3309</v>
      </c>
    </row>
    <row r="3122" spans="7:7">
      <c r="G3122" t="s">
        <v>3310</v>
      </c>
    </row>
    <row r="3123" spans="7:7">
      <c r="G3123" t="s">
        <v>3311</v>
      </c>
    </row>
    <row r="3124" spans="7:7">
      <c r="G3124" t="s">
        <v>3312</v>
      </c>
    </row>
    <row r="3125" spans="7:7">
      <c r="G3125" t="s">
        <v>3313</v>
      </c>
    </row>
    <row r="3126" spans="7:7">
      <c r="G3126" t="s">
        <v>3314</v>
      </c>
    </row>
    <row r="3127" spans="7:7">
      <c r="G3127" t="s">
        <v>3315</v>
      </c>
    </row>
    <row r="3128" spans="7:7">
      <c r="G3128" t="s">
        <v>3316</v>
      </c>
    </row>
    <row r="3129" spans="7:7">
      <c r="G3129" t="s">
        <v>3317</v>
      </c>
    </row>
    <row r="3130" spans="7:7">
      <c r="G3130" t="s">
        <v>3318</v>
      </c>
    </row>
    <row r="3131" spans="7:7">
      <c r="G3131" t="s">
        <v>3319</v>
      </c>
    </row>
    <row r="3132" spans="7:7">
      <c r="G3132" t="s">
        <v>3320</v>
      </c>
    </row>
    <row r="3133" spans="7:7">
      <c r="G3133" t="s">
        <v>3321</v>
      </c>
    </row>
    <row r="3134" spans="7:7">
      <c r="G3134" t="s">
        <v>3322</v>
      </c>
    </row>
    <row r="3135" spans="7:7">
      <c r="G3135" t="s">
        <v>3323</v>
      </c>
    </row>
    <row r="3136" spans="7:7">
      <c r="G3136" t="s">
        <v>3324</v>
      </c>
    </row>
    <row r="3137" spans="7:7">
      <c r="G3137" t="s">
        <v>3325</v>
      </c>
    </row>
    <row r="3138" spans="7:7">
      <c r="G3138" t="s">
        <v>3326</v>
      </c>
    </row>
    <row r="3139" spans="7:7">
      <c r="G3139" t="s">
        <v>3327</v>
      </c>
    </row>
    <row r="3140" spans="7:7">
      <c r="G3140" t="s">
        <v>3328</v>
      </c>
    </row>
    <row r="3141" spans="7:7">
      <c r="G3141" t="s">
        <v>3329</v>
      </c>
    </row>
    <row r="3142" spans="7:7">
      <c r="G3142" t="s">
        <v>3330</v>
      </c>
    </row>
    <row r="3143" spans="7:7">
      <c r="G3143" t="s">
        <v>3331</v>
      </c>
    </row>
    <row r="3144" spans="7:7">
      <c r="G3144" t="s">
        <v>3332</v>
      </c>
    </row>
    <row r="3145" spans="7:7">
      <c r="G3145" t="s">
        <v>3333</v>
      </c>
    </row>
    <row r="3146" spans="7:7">
      <c r="G3146" t="s">
        <v>3334</v>
      </c>
    </row>
    <row r="3147" spans="7:7">
      <c r="G3147" t="s">
        <v>3335</v>
      </c>
    </row>
    <row r="3148" spans="7:7">
      <c r="G3148" t="s">
        <v>3336</v>
      </c>
    </row>
    <row r="3149" spans="7:7">
      <c r="G3149" t="s">
        <v>3337</v>
      </c>
    </row>
    <row r="3150" spans="7:7">
      <c r="G3150" t="s">
        <v>3338</v>
      </c>
    </row>
    <row r="3151" spans="7:7">
      <c r="G3151" t="s">
        <v>3339</v>
      </c>
    </row>
    <row r="3152" spans="7:7">
      <c r="G3152" t="s">
        <v>3340</v>
      </c>
    </row>
    <row r="3153" spans="7:7">
      <c r="G3153" t="s">
        <v>3341</v>
      </c>
    </row>
    <row r="3154" spans="7:7">
      <c r="G3154" t="s">
        <v>3342</v>
      </c>
    </row>
    <row r="3155" spans="7:7">
      <c r="G3155" t="s">
        <v>3343</v>
      </c>
    </row>
    <row r="3156" spans="7:7">
      <c r="G3156" t="s">
        <v>3344</v>
      </c>
    </row>
    <row r="3157" spans="7:7">
      <c r="G3157" t="s">
        <v>3345</v>
      </c>
    </row>
    <row r="3158" spans="7:7">
      <c r="G3158" t="s">
        <v>3346</v>
      </c>
    </row>
    <row r="3159" spans="7:7">
      <c r="G3159" t="s">
        <v>3347</v>
      </c>
    </row>
    <row r="3160" spans="7:7">
      <c r="G3160" t="s">
        <v>3348</v>
      </c>
    </row>
    <row r="3161" spans="7:7">
      <c r="G3161" t="s">
        <v>3349</v>
      </c>
    </row>
    <row r="3162" spans="7:7">
      <c r="G3162" t="s">
        <v>3350</v>
      </c>
    </row>
    <row r="3163" spans="7:7">
      <c r="G3163" t="s">
        <v>3351</v>
      </c>
    </row>
    <row r="3164" spans="7:7">
      <c r="G3164" t="s">
        <v>3352</v>
      </c>
    </row>
    <row r="3165" spans="7:7">
      <c r="G3165" t="s">
        <v>3353</v>
      </c>
    </row>
    <row r="3166" spans="7:7">
      <c r="G3166" t="s">
        <v>3354</v>
      </c>
    </row>
    <row r="3167" spans="7:7">
      <c r="G3167" t="s">
        <v>3355</v>
      </c>
    </row>
    <row r="3168" spans="7:7">
      <c r="G3168" t="s">
        <v>3356</v>
      </c>
    </row>
    <row r="3169" spans="7:7">
      <c r="G3169" t="s">
        <v>3357</v>
      </c>
    </row>
    <row r="3170" spans="7:7">
      <c r="G3170" t="s">
        <v>3358</v>
      </c>
    </row>
    <row r="3171" spans="7:7">
      <c r="G3171" t="s">
        <v>3359</v>
      </c>
    </row>
    <row r="3172" spans="7:7">
      <c r="G3172" t="s">
        <v>3360</v>
      </c>
    </row>
    <row r="3173" spans="7:7">
      <c r="G3173" t="s">
        <v>3361</v>
      </c>
    </row>
    <row r="3174" spans="7:7">
      <c r="G3174" t="s">
        <v>3362</v>
      </c>
    </row>
    <row r="3175" spans="7:7">
      <c r="G3175" t="s">
        <v>3363</v>
      </c>
    </row>
    <row r="3176" spans="7:7">
      <c r="G3176" t="s">
        <v>3364</v>
      </c>
    </row>
    <row r="3177" spans="7:7">
      <c r="G3177" t="s">
        <v>3365</v>
      </c>
    </row>
    <row r="3178" spans="7:7">
      <c r="G3178" t="s">
        <v>3366</v>
      </c>
    </row>
    <row r="3179" spans="7:7">
      <c r="G3179" t="s">
        <v>3367</v>
      </c>
    </row>
    <row r="3180" spans="7:7">
      <c r="G3180" t="s">
        <v>3368</v>
      </c>
    </row>
    <row r="3181" spans="7:7">
      <c r="G3181" t="s">
        <v>3369</v>
      </c>
    </row>
    <row r="3182" spans="7:7">
      <c r="G3182" t="s">
        <v>3370</v>
      </c>
    </row>
    <row r="3183" spans="7:7">
      <c r="G3183" t="s">
        <v>3371</v>
      </c>
    </row>
    <row r="3184" spans="7:7">
      <c r="G3184" t="s">
        <v>3372</v>
      </c>
    </row>
    <row r="3185" spans="7:7">
      <c r="G3185" t="s">
        <v>3373</v>
      </c>
    </row>
    <row r="3186" spans="7:7">
      <c r="G3186" t="s">
        <v>3374</v>
      </c>
    </row>
    <row r="3187" spans="7:7">
      <c r="G3187" t="s">
        <v>3375</v>
      </c>
    </row>
    <row r="3188" spans="7:7">
      <c r="G3188" t="s">
        <v>3376</v>
      </c>
    </row>
    <row r="3189" spans="7:7">
      <c r="G3189" t="s">
        <v>3377</v>
      </c>
    </row>
    <row r="3190" spans="7:7">
      <c r="G3190" t="s">
        <v>3378</v>
      </c>
    </row>
    <row r="3191" spans="7:7">
      <c r="G3191" t="s">
        <v>3379</v>
      </c>
    </row>
    <row r="3192" spans="7:7">
      <c r="G3192" t="s">
        <v>3380</v>
      </c>
    </row>
    <row r="3193" spans="7:7">
      <c r="G3193" t="s">
        <v>3381</v>
      </c>
    </row>
    <row r="3194" spans="7:7">
      <c r="G3194" t="s">
        <v>3382</v>
      </c>
    </row>
    <row r="3195" spans="7:7">
      <c r="G3195" t="s">
        <v>3383</v>
      </c>
    </row>
    <row r="3196" spans="7:7">
      <c r="G3196" t="s">
        <v>3384</v>
      </c>
    </row>
    <row r="3197" spans="7:7">
      <c r="G3197" t="s">
        <v>3385</v>
      </c>
    </row>
    <row r="3198" spans="7:7">
      <c r="G3198" t="s">
        <v>3386</v>
      </c>
    </row>
    <row r="3199" spans="7:7">
      <c r="G3199" t="s">
        <v>3387</v>
      </c>
    </row>
    <row r="3200" spans="7:7">
      <c r="G3200" t="s">
        <v>3388</v>
      </c>
    </row>
    <row r="3201" spans="7:7">
      <c r="G3201" t="s">
        <v>3389</v>
      </c>
    </row>
    <row r="3202" spans="7:7">
      <c r="G3202" t="s">
        <v>3390</v>
      </c>
    </row>
    <row r="3203" spans="7:7">
      <c r="G3203" t="s">
        <v>3391</v>
      </c>
    </row>
    <row r="3204" spans="7:7">
      <c r="G3204" t="s">
        <v>3392</v>
      </c>
    </row>
    <row r="3205" spans="7:7">
      <c r="G3205" t="s">
        <v>3393</v>
      </c>
    </row>
    <row r="3206" spans="7:7">
      <c r="G3206" t="s">
        <v>3394</v>
      </c>
    </row>
    <row r="3207" spans="7:7">
      <c r="G3207" t="s">
        <v>3395</v>
      </c>
    </row>
    <row r="3208" spans="7:7">
      <c r="G3208" t="s">
        <v>3396</v>
      </c>
    </row>
    <row r="3209" spans="7:7">
      <c r="G3209" t="s">
        <v>3397</v>
      </c>
    </row>
    <row r="3210" spans="7:7">
      <c r="G3210" t="s">
        <v>3398</v>
      </c>
    </row>
    <row r="3211" spans="7:7">
      <c r="G3211" t="s">
        <v>3399</v>
      </c>
    </row>
    <row r="3212" spans="7:7">
      <c r="G3212" t="s">
        <v>3400</v>
      </c>
    </row>
    <row r="3213" spans="7:7">
      <c r="G3213" t="s">
        <v>3401</v>
      </c>
    </row>
    <row r="3214" spans="7:7">
      <c r="G3214" t="s">
        <v>3402</v>
      </c>
    </row>
    <row r="3215" spans="7:7">
      <c r="G3215" t="s">
        <v>3403</v>
      </c>
    </row>
    <row r="3216" spans="7:7">
      <c r="G3216" t="s">
        <v>3404</v>
      </c>
    </row>
    <row r="3217" spans="7:7">
      <c r="G3217" t="s">
        <v>3405</v>
      </c>
    </row>
    <row r="3218" spans="7:7">
      <c r="G3218" t="s">
        <v>3406</v>
      </c>
    </row>
    <row r="3219" spans="7:7">
      <c r="G3219" t="s">
        <v>3407</v>
      </c>
    </row>
    <row r="3220" spans="7:7">
      <c r="G3220" t="s">
        <v>3408</v>
      </c>
    </row>
    <row r="3221" spans="7:7">
      <c r="G3221" t="s">
        <v>3409</v>
      </c>
    </row>
    <row r="3222" spans="7:7">
      <c r="G3222" t="s">
        <v>3410</v>
      </c>
    </row>
    <row r="3223" spans="7:7">
      <c r="G3223" t="s">
        <v>3411</v>
      </c>
    </row>
    <row r="3224" spans="7:7">
      <c r="G3224" t="s">
        <v>3412</v>
      </c>
    </row>
    <row r="3225" spans="7:7">
      <c r="G3225" t="s">
        <v>3413</v>
      </c>
    </row>
    <row r="3226" spans="7:7">
      <c r="G3226" t="s">
        <v>3414</v>
      </c>
    </row>
    <row r="3227" spans="7:7">
      <c r="G3227" t="s">
        <v>3415</v>
      </c>
    </row>
    <row r="3228" spans="7:7">
      <c r="G3228" t="s">
        <v>3416</v>
      </c>
    </row>
    <row r="3229" spans="7:7">
      <c r="G3229" t="s">
        <v>3417</v>
      </c>
    </row>
    <row r="3230" spans="7:7">
      <c r="G3230" t="s">
        <v>3418</v>
      </c>
    </row>
    <row r="3231" spans="7:7">
      <c r="G3231" t="s">
        <v>3419</v>
      </c>
    </row>
    <row r="3232" spans="7:7">
      <c r="G3232" t="s">
        <v>3420</v>
      </c>
    </row>
    <row r="3233" spans="7:7">
      <c r="G3233" t="s">
        <v>3421</v>
      </c>
    </row>
    <row r="3234" spans="7:7">
      <c r="G3234" t="s">
        <v>3422</v>
      </c>
    </row>
    <row r="3235" spans="7:7">
      <c r="G3235" t="s">
        <v>3423</v>
      </c>
    </row>
    <row r="3236" spans="7:7">
      <c r="G3236" t="s">
        <v>3424</v>
      </c>
    </row>
    <row r="3237" spans="7:7">
      <c r="G3237" t="s">
        <v>3425</v>
      </c>
    </row>
    <row r="3238" spans="7:7">
      <c r="G3238" t="s">
        <v>3426</v>
      </c>
    </row>
    <row r="3239" spans="7:7">
      <c r="G3239" t="s">
        <v>3427</v>
      </c>
    </row>
    <row r="3240" spans="7:7">
      <c r="G3240" t="s">
        <v>3428</v>
      </c>
    </row>
    <row r="3241" spans="7:7">
      <c r="G3241" t="s">
        <v>3429</v>
      </c>
    </row>
    <row r="3242" spans="7:7">
      <c r="G3242" t="s">
        <v>3430</v>
      </c>
    </row>
    <row r="3243" spans="7:7">
      <c r="G3243" t="s">
        <v>3431</v>
      </c>
    </row>
    <row r="3244" spans="7:7">
      <c r="G3244" t="s">
        <v>3432</v>
      </c>
    </row>
    <row r="3245" spans="7:7">
      <c r="G3245" t="s">
        <v>3433</v>
      </c>
    </row>
    <row r="3246" spans="7:7">
      <c r="G3246" t="s">
        <v>3434</v>
      </c>
    </row>
    <row r="3247" spans="7:7">
      <c r="G3247" t="s">
        <v>3435</v>
      </c>
    </row>
    <row r="3248" spans="7:7">
      <c r="G3248" t="s">
        <v>3436</v>
      </c>
    </row>
    <row r="3249" spans="7:7">
      <c r="G3249" t="s">
        <v>3437</v>
      </c>
    </row>
    <row r="3250" spans="7:7">
      <c r="G3250" t="s">
        <v>3438</v>
      </c>
    </row>
    <row r="3251" spans="7:7">
      <c r="G3251" t="s">
        <v>3439</v>
      </c>
    </row>
    <row r="3252" spans="7:7">
      <c r="G3252" t="s">
        <v>3440</v>
      </c>
    </row>
    <row r="3253" spans="7:7">
      <c r="G3253" t="s">
        <v>3441</v>
      </c>
    </row>
    <row r="3254" spans="7:7">
      <c r="G3254" t="s">
        <v>3442</v>
      </c>
    </row>
    <row r="3255" spans="7:7">
      <c r="G3255" t="s">
        <v>3443</v>
      </c>
    </row>
    <row r="3256" spans="7:7">
      <c r="G3256" t="s">
        <v>3444</v>
      </c>
    </row>
    <row r="3257" spans="7:7">
      <c r="G3257" t="s">
        <v>3445</v>
      </c>
    </row>
    <row r="3258" spans="7:7">
      <c r="G3258" t="s">
        <v>3446</v>
      </c>
    </row>
    <row r="3259" spans="7:7">
      <c r="G3259" t="s">
        <v>3447</v>
      </c>
    </row>
    <row r="3260" spans="7:7">
      <c r="G3260" t="s">
        <v>3448</v>
      </c>
    </row>
    <row r="3261" spans="7:7">
      <c r="G3261" t="s">
        <v>3449</v>
      </c>
    </row>
    <row r="3262" spans="7:7">
      <c r="G3262" t="s">
        <v>3450</v>
      </c>
    </row>
    <row r="3263" spans="7:7">
      <c r="G3263" t="s">
        <v>3451</v>
      </c>
    </row>
    <row r="3264" spans="7:7">
      <c r="G3264" t="s">
        <v>3452</v>
      </c>
    </row>
    <row r="3265" spans="7:7">
      <c r="G3265" t="s">
        <v>3453</v>
      </c>
    </row>
    <row r="3266" spans="7:7">
      <c r="G3266" t="s">
        <v>3454</v>
      </c>
    </row>
    <row r="3267" spans="7:7">
      <c r="G3267" t="s">
        <v>3455</v>
      </c>
    </row>
    <row r="3268" spans="7:7">
      <c r="G3268" t="s">
        <v>3456</v>
      </c>
    </row>
    <row r="3269" spans="7:7">
      <c r="G3269" t="s">
        <v>3457</v>
      </c>
    </row>
    <row r="3270" spans="7:7">
      <c r="G3270" t="s">
        <v>3458</v>
      </c>
    </row>
    <row r="3271" spans="7:7">
      <c r="G3271" t="s">
        <v>3459</v>
      </c>
    </row>
    <row r="3272" spans="7:7">
      <c r="G3272" t="s">
        <v>3460</v>
      </c>
    </row>
    <row r="3273" spans="7:7">
      <c r="G3273" t="s">
        <v>3461</v>
      </c>
    </row>
    <row r="3274" spans="7:7">
      <c r="G3274" t="s">
        <v>3462</v>
      </c>
    </row>
    <row r="3275" spans="7:7">
      <c r="G3275" t="s">
        <v>3463</v>
      </c>
    </row>
    <row r="3276" spans="7:7">
      <c r="G3276" t="s">
        <v>3464</v>
      </c>
    </row>
    <row r="3277" spans="7:7">
      <c r="G3277" t="s">
        <v>3465</v>
      </c>
    </row>
    <row r="3278" spans="7:7">
      <c r="G3278" t="s">
        <v>3466</v>
      </c>
    </row>
    <row r="3279" spans="7:7">
      <c r="G3279" t="s">
        <v>3467</v>
      </c>
    </row>
    <row r="3280" spans="7:7">
      <c r="G3280" t="s">
        <v>3468</v>
      </c>
    </row>
    <row r="3281" spans="7:7">
      <c r="G3281" t="s">
        <v>3469</v>
      </c>
    </row>
    <row r="3282" spans="7:7">
      <c r="G3282" t="s">
        <v>3470</v>
      </c>
    </row>
    <row r="3283" spans="7:7">
      <c r="G3283" t="s">
        <v>3471</v>
      </c>
    </row>
    <row r="3284" spans="7:7">
      <c r="G3284" t="s">
        <v>3472</v>
      </c>
    </row>
    <row r="3285" spans="7:7">
      <c r="G3285" t="s">
        <v>3473</v>
      </c>
    </row>
    <row r="3286" spans="7:7">
      <c r="G3286" t="s">
        <v>3474</v>
      </c>
    </row>
    <row r="3287" spans="7:7">
      <c r="G3287" t="s">
        <v>3475</v>
      </c>
    </row>
    <row r="3288" spans="7:7">
      <c r="G3288" t="s">
        <v>3476</v>
      </c>
    </row>
    <row r="3289" spans="7:7">
      <c r="G3289" t="s">
        <v>3477</v>
      </c>
    </row>
    <row r="3290" spans="7:7">
      <c r="G3290" t="s">
        <v>3478</v>
      </c>
    </row>
    <row r="3291" spans="7:7">
      <c r="G3291" t="s">
        <v>3479</v>
      </c>
    </row>
    <row r="3292" spans="7:7">
      <c r="G3292" t="s">
        <v>3480</v>
      </c>
    </row>
    <row r="3293" spans="7:7">
      <c r="G3293" t="s">
        <v>3481</v>
      </c>
    </row>
    <row r="3294" spans="7:7">
      <c r="G3294" t="s">
        <v>3482</v>
      </c>
    </row>
    <row r="3295" spans="7:7">
      <c r="G3295" t="s">
        <v>3483</v>
      </c>
    </row>
    <row r="3296" spans="7:7">
      <c r="G3296" t="s">
        <v>3484</v>
      </c>
    </row>
    <row r="3297" spans="7:7">
      <c r="G3297" t="s">
        <v>3485</v>
      </c>
    </row>
    <row r="3298" spans="7:7">
      <c r="G3298" t="s">
        <v>3486</v>
      </c>
    </row>
    <row r="3299" spans="7:7">
      <c r="G3299" t="s">
        <v>3487</v>
      </c>
    </row>
    <row r="3300" spans="7:7">
      <c r="G3300" t="s">
        <v>3488</v>
      </c>
    </row>
    <row r="3301" spans="7:7">
      <c r="G3301" t="s">
        <v>3489</v>
      </c>
    </row>
    <row r="3302" spans="7:7">
      <c r="G3302" t="s">
        <v>3490</v>
      </c>
    </row>
    <row r="3303" spans="7:7">
      <c r="G3303" t="s">
        <v>3491</v>
      </c>
    </row>
    <row r="3304" spans="7:7">
      <c r="G3304" t="s">
        <v>3492</v>
      </c>
    </row>
    <row r="3305" spans="7:7">
      <c r="G3305" t="s">
        <v>3493</v>
      </c>
    </row>
    <row r="3306" spans="7:7">
      <c r="G3306" t="s">
        <v>3494</v>
      </c>
    </row>
    <row r="3307" spans="7:7">
      <c r="G3307" t="s">
        <v>3495</v>
      </c>
    </row>
    <row r="3308" spans="7:7">
      <c r="G3308" t="s">
        <v>3496</v>
      </c>
    </row>
    <row r="3309" spans="7:7">
      <c r="G3309" t="s">
        <v>3497</v>
      </c>
    </row>
    <row r="3310" spans="7:7">
      <c r="G3310" t="s">
        <v>3498</v>
      </c>
    </row>
    <row r="3311" spans="7:7">
      <c r="G3311" t="s">
        <v>3499</v>
      </c>
    </row>
    <row r="3312" spans="7:7">
      <c r="G3312" t="s">
        <v>3500</v>
      </c>
    </row>
    <row r="3313" spans="7:7">
      <c r="G3313" t="s">
        <v>3501</v>
      </c>
    </row>
    <row r="3314" spans="7:7">
      <c r="G3314" t="s">
        <v>3502</v>
      </c>
    </row>
    <row r="3315" spans="7:7">
      <c r="G3315" t="s">
        <v>3503</v>
      </c>
    </row>
    <row r="3316" spans="7:7">
      <c r="G3316" t="s">
        <v>3504</v>
      </c>
    </row>
    <row r="3317" spans="7:7">
      <c r="G3317" t="s">
        <v>3505</v>
      </c>
    </row>
    <row r="3318" spans="7:7">
      <c r="G3318" t="s">
        <v>3506</v>
      </c>
    </row>
    <row r="3319" spans="7:7">
      <c r="G3319" t="s">
        <v>3507</v>
      </c>
    </row>
    <row r="3320" spans="7:7">
      <c r="G3320" t="s">
        <v>3508</v>
      </c>
    </row>
    <row r="3321" spans="7:7">
      <c r="G3321" t="s">
        <v>3509</v>
      </c>
    </row>
    <row r="3322" spans="7:7">
      <c r="G3322" t="s">
        <v>3510</v>
      </c>
    </row>
    <row r="3323" spans="7:7">
      <c r="G3323" t="s">
        <v>3511</v>
      </c>
    </row>
    <row r="3324" spans="7:7">
      <c r="G3324" t="s">
        <v>3512</v>
      </c>
    </row>
    <row r="3325" spans="7:7">
      <c r="G3325" t="s">
        <v>3513</v>
      </c>
    </row>
    <row r="3326" spans="7:7">
      <c r="G3326" t="s">
        <v>3514</v>
      </c>
    </row>
    <row r="3327" spans="7:7">
      <c r="G3327" t="s">
        <v>3515</v>
      </c>
    </row>
    <row r="3328" spans="7:7">
      <c r="G3328" t="s">
        <v>3516</v>
      </c>
    </row>
    <row r="3329" spans="7:7">
      <c r="G3329" t="s">
        <v>3517</v>
      </c>
    </row>
    <row r="3330" spans="7:7">
      <c r="G3330" t="s">
        <v>3518</v>
      </c>
    </row>
    <row r="3331" spans="7:7">
      <c r="G3331" t="s">
        <v>3519</v>
      </c>
    </row>
    <row r="3332" spans="7:7">
      <c r="G3332" t="s">
        <v>3520</v>
      </c>
    </row>
    <row r="3333" spans="7:7">
      <c r="G3333" t="s">
        <v>3521</v>
      </c>
    </row>
    <row r="3334" spans="7:7">
      <c r="G3334" t="s">
        <v>3522</v>
      </c>
    </row>
    <row r="3335" spans="7:7">
      <c r="G3335" t="s">
        <v>3523</v>
      </c>
    </row>
    <row r="3336" spans="7:7">
      <c r="G3336" t="s">
        <v>3524</v>
      </c>
    </row>
    <row r="3337" spans="7:7">
      <c r="G3337" t="s">
        <v>3525</v>
      </c>
    </row>
    <row r="3338" spans="7:7">
      <c r="G3338" t="s">
        <v>3526</v>
      </c>
    </row>
    <row r="3339" spans="7:7">
      <c r="G3339" t="s">
        <v>3527</v>
      </c>
    </row>
    <row r="3340" spans="7:7">
      <c r="G3340" t="s">
        <v>3528</v>
      </c>
    </row>
    <row r="3341" spans="7:7">
      <c r="G3341" t="s">
        <v>3529</v>
      </c>
    </row>
    <row r="3342" spans="7:7">
      <c r="G3342" t="s">
        <v>3530</v>
      </c>
    </row>
    <row r="3343" spans="7:7">
      <c r="G3343" t="s">
        <v>3531</v>
      </c>
    </row>
    <row r="3344" spans="7:7">
      <c r="G3344" t="s">
        <v>3532</v>
      </c>
    </row>
    <row r="3345" spans="7:7">
      <c r="G3345" t="s">
        <v>3533</v>
      </c>
    </row>
    <row r="3346" spans="7:7">
      <c r="G3346" t="s">
        <v>3534</v>
      </c>
    </row>
    <row r="3347" spans="7:7">
      <c r="G3347" t="s">
        <v>3535</v>
      </c>
    </row>
    <row r="3348" spans="7:7">
      <c r="G3348" t="s">
        <v>3536</v>
      </c>
    </row>
    <row r="3349" spans="7:7">
      <c r="G3349" t="s">
        <v>3537</v>
      </c>
    </row>
    <row r="3350" spans="7:7">
      <c r="G3350" t="s">
        <v>3538</v>
      </c>
    </row>
    <row r="3351" spans="7:7">
      <c r="G3351" t="s">
        <v>3539</v>
      </c>
    </row>
    <row r="3352" spans="7:7">
      <c r="G3352" t="s">
        <v>3540</v>
      </c>
    </row>
    <row r="3353" spans="7:7">
      <c r="G3353" t="s">
        <v>3541</v>
      </c>
    </row>
    <row r="3354" spans="7:7">
      <c r="G3354" t="s">
        <v>3542</v>
      </c>
    </row>
    <row r="3355" spans="7:7">
      <c r="G3355" t="s">
        <v>3543</v>
      </c>
    </row>
    <row r="3356" spans="7:7">
      <c r="G3356" t="s">
        <v>3544</v>
      </c>
    </row>
    <row r="3357" spans="7:7">
      <c r="G3357" t="s">
        <v>3545</v>
      </c>
    </row>
    <row r="3358" spans="7:7">
      <c r="G3358" t="s">
        <v>3546</v>
      </c>
    </row>
    <row r="3359" spans="7:7">
      <c r="G3359" t="s">
        <v>3547</v>
      </c>
    </row>
    <row r="3360" spans="7:7">
      <c r="G3360" t="s">
        <v>3548</v>
      </c>
    </row>
    <row r="3361" spans="7:7">
      <c r="G3361" t="s">
        <v>3549</v>
      </c>
    </row>
    <row r="3362" spans="7:7">
      <c r="G3362" t="s">
        <v>3550</v>
      </c>
    </row>
    <row r="3363" spans="7:7">
      <c r="G3363" t="s">
        <v>3551</v>
      </c>
    </row>
    <row r="3364" spans="7:7">
      <c r="G3364" t="s">
        <v>3552</v>
      </c>
    </row>
    <row r="3365" spans="7:7">
      <c r="G3365" t="s">
        <v>3553</v>
      </c>
    </row>
    <row r="3366" spans="7:7">
      <c r="G3366" t="s">
        <v>3554</v>
      </c>
    </row>
    <row r="3367" spans="7:7">
      <c r="G3367" t="s">
        <v>3555</v>
      </c>
    </row>
    <row r="3368" spans="7:7">
      <c r="G3368" t="s">
        <v>3556</v>
      </c>
    </row>
    <row r="3369" spans="7:7">
      <c r="G3369" t="s">
        <v>3557</v>
      </c>
    </row>
    <row r="3370" spans="7:7">
      <c r="G3370" t="s">
        <v>3558</v>
      </c>
    </row>
    <row r="3371" spans="7:7">
      <c r="G3371" t="s">
        <v>3559</v>
      </c>
    </row>
    <row r="3372" spans="7:7">
      <c r="G3372" t="s">
        <v>3560</v>
      </c>
    </row>
    <row r="3373" spans="7:7">
      <c r="G3373" t="s">
        <v>3561</v>
      </c>
    </row>
    <row r="3374" spans="7:7">
      <c r="G3374" t="s">
        <v>3562</v>
      </c>
    </row>
    <row r="3375" spans="7:7">
      <c r="G3375" t="s">
        <v>3563</v>
      </c>
    </row>
    <row r="3376" spans="7:7">
      <c r="G3376" t="s">
        <v>3564</v>
      </c>
    </row>
    <row r="3377" spans="7:7">
      <c r="G3377" t="s">
        <v>3565</v>
      </c>
    </row>
    <row r="3378" spans="7:7">
      <c r="G3378" t="s">
        <v>3566</v>
      </c>
    </row>
    <row r="3379" spans="7:7">
      <c r="G3379" t="s">
        <v>3567</v>
      </c>
    </row>
    <row r="3380" spans="7:7">
      <c r="G3380" t="s">
        <v>3568</v>
      </c>
    </row>
    <row r="3381" spans="7:7">
      <c r="G3381" t="s">
        <v>3569</v>
      </c>
    </row>
    <row r="3382" spans="7:7">
      <c r="G3382" t="s">
        <v>3570</v>
      </c>
    </row>
    <row r="3383" spans="7:7">
      <c r="G3383" t="s">
        <v>3571</v>
      </c>
    </row>
    <row r="3384" spans="7:7">
      <c r="G3384" t="s">
        <v>3572</v>
      </c>
    </row>
    <row r="3385" spans="7:7">
      <c r="G3385" t="s">
        <v>3573</v>
      </c>
    </row>
    <row r="3386" spans="7:7">
      <c r="G3386" t="s">
        <v>3574</v>
      </c>
    </row>
    <row r="3387" spans="7:7">
      <c r="G3387" t="s">
        <v>3575</v>
      </c>
    </row>
    <row r="3388" spans="7:7">
      <c r="G3388" t="s">
        <v>3576</v>
      </c>
    </row>
    <row r="3389" spans="7:7">
      <c r="G3389" t="s">
        <v>3577</v>
      </c>
    </row>
    <row r="3390" spans="7:7">
      <c r="G3390" t="s">
        <v>3578</v>
      </c>
    </row>
    <row r="3391" spans="7:7">
      <c r="G3391" t="s">
        <v>3579</v>
      </c>
    </row>
    <row r="3392" spans="7:7">
      <c r="G3392" t="s">
        <v>3580</v>
      </c>
    </row>
    <row r="3393" spans="7:7">
      <c r="G3393" t="s">
        <v>3581</v>
      </c>
    </row>
    <row r="3394" spans="7:7">
      <c r="G3394" t="s">
        <v>3582</v>
      </c>
    </row>
    <row r="3395" spans="7:7">
      <c r="G3395" t="s">
        <v>3583</v>
      </c>
    </row>
    <row r="3396" spans="7:7">
      <c r="G3396" t="s">
        <v>3584</v>
      </c>
    </row>
    <row r="3397" spans="7:7">
      <c r="G3397" t="s">
        <v>3585</v>
      </c>
    </row>
    <row r="3398" spans="7:7">
      <c r="G3398" t="s">
        <v>3586</v>
      </c>
    </row>
    <row r="3399" spans="7:7">
      <c r="G3399" t="s">
        <v>3587</v>
      </c>
    </row>
    <row r="3400" spans="7:7">
      <c r="G3400" t="s">
        <v>3588</v>
      </c>
    </row>
    <row r="3401" spans="7:7">
      <c r="G3401" t="s">
        <v>3589</v>
      </c>
    </row>
    <row r="3402" spans="7:7">
      <c r="G3402" t="s">
        <v>3590</v>
      </c>
    </row>
    <row r="3403" spans="7:7">
      <c r="G3403" t="s">
        <v>3591</v>
      </c>
    </row>
    <row r="3404" spans="7:7">
      <c r="G3404" t="s">
        <v>3592</v>
      </c>
    </row>
    <row r="3405" spans="7:7">
      <c r="G3405" t="s">
        <v>3593</v>
      </c>
    </row>
    <row r="3406" spans="7:7">
      <c r="G3406" t="s">
        <v>3594</v>
      </c>
    </row>
    <row r="3407" spans="7:7">
      <c r="G3407" t="s">
        <v>3595</v>
      </c>
    </row>
    <row r="3408" spans="7:7">
      <c r="G3408" t="s">
        <v>3596</v>
      </c>
    </row>
    <row r="3409" spans="7:7">
      <c r="G3409" t="s">
        <v>3597</v>
      </c>
    </row>
    <row r="3410" spans="7:7">
      <c r="G3410" t="s">
        <v>3598</v>
      </c>
    </row>
    <row r="3411" spans="7:7">
      <c r="G3411" t="s">
        <v>3599</v>
      </c>
    </row>
    <row r="3412" spans="7:7">
      <c r="G3412" t="s">
        <v>3600</v>
      </c>
    </row>
    <row r="3413" spans="7:7">
      <c r="G3413" t="s">
        <v>3601</v>
      </c>
    </row>
    <row r="3414" spans="7:7">
      <c r="G3414" t="s">
        <v>3602</v>
      </c>
    </row>
    <row r="3415" spans="7:7">
      <c r="G3415" t="s">
        <v>3603</v>
      </c>
    </row>
    <row r="3416" spans="7:7">
      <c r="G3416" t="s">
        <v>3604</v>
      </c>
    </row>
    <row r="3417" spans="7:7">
      <c r="G3417" t="s">
        <v>3605</v>
      </c>
    </row>
    <row r="3418" spans="7:7">
      <c r="G3418" t="s">
        <v>3606</v>
      </c>
    </row>
    <row r="3419" spans="7:7">
      <c r="G3419" t="s">
        <v>3607</v>
      </c>
    </row>
    <row r="3420" spans="7:7">
      <c r="G3420" t="s">
        <v>3608</v>
      </c>
    </row>
    <row r="3421" spans="7:7">
      <c r="G3421" t="s">
        <v>3609</v>
      </c>
    </row>
    <row r="3422" spans="7:7">
      <c r="G3422" t="s">
        <v>3610</v>
      </c>
    </row>
    <row r="3423" spans="7:7">
      <c r="G3423" t="s">
        <v>3611</v>
      </c>
    </row>
    <row r="3424" spans="7:7">
      <c r="G3424" t="s">
        <v>3612</v>
      </c>
    </row>
    <row r="3425" spans="7:7">
      <c r="G3425" t="s">
        <v>3613</v>
      </c>
    </row>
    <row r="3426" spans="7:7">
      <c r="G3426" t="s">
        <v>3614</v>
      </c>
    </row>
    <row r="3427" spans="7:7">
      <c r="G3427" t="s">
        <v>3615</v>
      </c>
    </row>
    <row r="3428" spans="7:7">
      <c r="G3428" t="s">
        <v>3616</v>
      </c>
    </row>
    <row r="3429" spans="7:7">
      <c r="G3429" t="s">
        <v>3617</v>
      </c>
    </row>
    <row r="3430" spans="7:7">
      <c r="G3430" t="s">
        <v>3618</v>
      </c>
    </row>
    <row r="3431" spans="7:7">
      <c r="G3431" t="s">
        <v>3619</v>
      </c>
    </row>
    <row r="3432" spans="7:7">
      <c r="G3432" t="s">
        <v>3620</v>
      </c>
    </row>
    <row r="3433" spans="7:7">
      <c r="G3433" t="s">
        <v>3621</v>
      </c>
    </row>
    <row r="3434" spans="7:7">
      <c r="G3434" t="s">
        <v>3622</v>
      </c>
    </row>
    <row r="3435" spans="7:7">
      <c r="G3435" t="s">
        <v>3623</v>
      </c>
    </row>
    <row r="3436" spans="7:7">
      <c r="G3436" t="s">
        <v>3624</v>
      </c>
    </row>
    <row r="3437" spans="7:7">
      <c r="G3437" t="s">
        <v>3625</v>
      </c>
    </row>
    <row r="3438" spans="7:7">
      <c r="G3438" t="s">
        <v>3626</v>
      </c>
    </row>
    <row r="3439" spans="7:7">
      <c r="G3439" t="s">
        <v>3627</v>
      </c>
    </row>
    <row r="3440" spans="7:7">
      <c r="G3440" t="s">
        <v>3628</v>
      </c>
    </row>
    <row r="3441" spans="7:7">
      <c r="G3441" t="s">
        <v>3629</v>
      </c>
    </row>
    <row r="3442" spans="7:7">
      <c r="G3442" t="s">
        <v>3630</v>
      </c>
    </row>
    <row r="3443" spans="7:7">
      <c r="G3443" t="s">
        <v>3631</v>
      </c>
    </row>
    <row r="3444" spans="7:7">
      <c r="G3444" t="s">
        <v>3632</v>
      </c>
    </row>
    <row r="3445" spans="7:7">
      <c r="G3445" t="s">
        <v>3633</v>
      </c>
    </row>
    <row r="3446" spans="7:7">
      <c r="G3446" t="s">
        <v>3634</v>
      </c>
    </row>
    <row r="3447" spans="7:7">
      <c r="G3447" t="s">
        <v>3635</v>
      </c>
    </row>
    <row r="3448" spans="7:7">
      <c r="G3448" t="s">
        <v>3636</v>
      </c>
    </row>
    <row r="3449" spans="7:7">
      <c r="G3449" t="s">
        <v>3637</v>
      </c>
    </row>
    <row r="3450" spans="7:7">
      <c r="G3450" t="s">
        <v>3638</v>
      </c>
    </row>
    <row r="3451" spans="7:7">
      <c r="G3451" t="s">
        <v>3639</v>
      </c>
    </row>
    <row r="3452" spans="7:7">
      <c r="G3452" t="s">
        <v>3640</v>
      </c>
    </row>
    <row r="3453" spans="7:7">
      <c r="G3453" t="s">
        <v>3641</v>
      </c>
    </row>
    <row r="3454" spans="7:7">
      <c r="G3454" t="s">
        <v>3642</v>
      </c>
    </row>
    <row r="3455" spans="7:7">
      <c r="G3455" t="s">
        <v>3643</v>
      </c>
    </row>
    <row r="3456" spans="7:7">
      <c r="G3456" t="s">
        <v>3644</v>
      </c>
    </row>
    <row r="3457" spans="7:7">
      <c r="G3457" t="s">
        <v>3645</v>
      </c>
    </row>
    <row r="3458" spans="7:7">
      <c r="G3458" t="s">
        <v>3646</v>
      </c>
    </row>
    <row r="3459" spans="7:7">
      <c r="G3459" t="s">
        <v>3647</v>
      </c>
    </row>
    <row r="3460" spans="7:7">
      <c r="G3460" t="s">
        <v>3648</v>
      </c>
    </row>
    <row r="3461" spans="7:7">
      <c r="G3461" t="s">
        <v>3649</v>
      </c>
    </row>
    <row r="3462" spans="7:7">
      <c r="G3462" t="s">
        <v>3650</v>
      </c>
    </row>
    <row r="3463" spans="7:7">
      <c r="G3463" t="s">
        <v>3651</v>
      </c>
    </row>
    <row r="3464" spans="7:7">
      <c r="G3464" t="s">
        <v>3652</v>
      </c>
    </row>
    <row r="3465" spans="7:7">
      <c r="G3465" t="s">
        <v>3653</v>
      </c>
    </row>
    <row r="3466" spans="7:7">
      <c r="G3466" t="s">
        <v>3654</v>
      </c>
    </row>
    <row r="3467" spans="7:7">
      <c r="G3467" t="s">
        <v>3655</v>
      </c>
    </row>
    <row r="3468" spans="7:7">
      <c r="G3468" t="s">
        <v>3656</v>
      </c>
    </row>
    <row r="3469" spans="7:7">
      <c r="G3469" t="s">
        <v>3657</v>
      </c>
    </row>
    <row r="3470" spans="7:7">
      <c r="G3470" t="s">
        <v>3658</v>
      </c>
    </row>
    <row r="3471" spans="7:7">
      <c r="G3471" t="s">
        <v>3659</v>
      </c>
    </row>
    <row r="3472" spans="7:7">
      <c r="G3472" t="s">
        <v>3660</v>
      </c>
    </row>
    <row r="3473" spans="7:7">
      <c r="G3473" t="s">
        <v>3661</v>
      </c>
    </row>
    <row r="3474" spans="7:7">
      <c r="G3474" t="s">
        <v>3662</v>
      </c>
    </row>
    <row r="3475" spans="7:7">
      <c r="G3475" t="s">
        <v>3663</v>
      </c>
    </row>
    <row r="3476" spans="7:7">
      <c r="G3476" t="s">
        <v>3664</v>
      </c>
    </row>
    <row r="3477" spans="7:7">
      <c r="G3477" t="s">
        <v>3665</v>
      </c>
    </row>
    <row r="3478" spans="7:7">
      <c r="G3478" t="s">
        <v>3666</v>
      </c>
    </row>
    <row r="3479" spans="7:7">
      <c r="G3479" t="s">
        <v>3667</v>
      </c>
    </row>
    <row r="3480" spans="7:7">
      <c r="G3480" t="s">
        <v>3668</v>
      </c>
    </row>
    <row r="3481" spans="7:7">
      <c r="G3481" t="s">
        <v>3669</v>
      </c>
    </row>
    <row r="3482" spans="7:7">
      <c r="G3482" t="s">
        <v>3670</v>
      </c>
    </row>
    <row r="3483" spans="7:7">
      <c r="G3483" t="s">
        <v>3671</v>
      </c>
    </row>
    <row r="3484" spans="7:7">
      <c r="G3484" t="s">
        <v>3672</v>
      </c>
    </row>
    <row r="3485" spans="7:7">
      <c r="G3485" t="s">
        <v>3673</v>
      </c>
    </row>
    <row r="3486" spans="7:7">
      <c r="G3486" t="s">
        <v>3674</v>
      </c>
    </row>
    <row r="3487" spans="7:7">
      <c r="G3487" t="s">
        <v>3675</v>
      </c>
    </row>
    <row r="3488" spans="7:7">
      <c r="G3488" t="s">
        <v>3676</v>
      </c>
    </row>
    <row r="3489" spans="7:7">
      <c r="G3489" t="s">
        <v>3677</v>
      </c>
    </row>
    <row r="3490" spans="7:7">
      <c r="G3490" t="s">
        <v>3678</v>
      </c>
    </row>
    <row r="3491" spans="7:7">
      <c r="G3491" t="s">
        <v>3679</v>
      </c>
    </row>
    <row r="3492" spans="7:7">
      <c r="G3492" t="s">
        <v>3680</v>
      </c>
    </row>
    <row r="3493" spans="7:7">
      <c r="G3493" t="s">
        <v>3681</v>
      </c>
    </row>
    <row r="3494" spans="7:7">
      <c r="G3494" t="s">
        <v>3682</v>
      </c>
    </row>
    <row r="3495" spans="7:7">
      <c r="G3495" t="s">
        <v>3683</v>
      </c>
    </row>
    <row r="3496" spans="7:7">
      <c r="G3496" t="s">
        <v>3684</v>
      </c>
    </row>
    <row r="3497" spans="7:7">
      <c r="G3497" t="s">
        <v>3685</v>
      </c>
    </row>
    <row r="3498" spans="7:7">
      <c r="G3498" t="s">
        <v>3686</v>
      </c>
    </row>
    <row r="3499" spans="7:7">
      <c r="G3499" t="s">
        <v>3687</v>
      </c>
    </row>
    <row r="3500" spans="7:7">
      <c r="G3500" t="s">
        <v>3688</v>
      </c>
    </row>
    <row r="3501" spans="7:7">
      <c r="G3501" t="s">
        <v>3689</v>
      </c>
    </row>
    <row r="3502" spans="7:7">
      <c r="G3502" t="s">
        <v>3690</v>
      </c>
    </row>
    <row r="3503" spans="7:7">
      <c r="G3503" t="s">
        <v>3691</v>
      </c>
    </row>
    <row r="3504" spans="7:7">
      <c r="G3504" t="s">
        <v>3692</v>
      </c>
    </row>
    <row r="3505" spans="7:7">
      <c r="G3505" t="s">
        <v>3693</v>
      </c>
    </row>
    <row r="3506" spans="7:7">
      <c r="G3506" t="s">
        <v>3694</v>
      </c>
    </row>
    <row r="3507" spans="7:7">
      <c r="G3507" t="s">
        <v>3695</v>
      </c>
    </row>
    <row r="3508" spans="7:7">
      <c r="G3508" t="s">
        <v>3696</v>
      </c>
    </row>
    <row r="3509" spans="7:7">
      <c r="G3509" t="s">
        <v>3697</v>
      </c>
    </row>
    <row r="3510" spans="7:7">
      <c r="G3510" t="s">
        <v>3698</v>
      </c>
    </row>
    <row r="3511" spans="7:7">
      <c r="G3511" t="s">
        <v>3699</v>
      </c>
    </row>
    <row r="3512" spans="7:7">
      <c r="G3512" t="s">
        <v>3700</v>
      </c>
    </row>
    <row r="3513" spans="7:7">
      <c r="G3513" t="s">
        <v>3701</v>
      </c>
    </row>
    <row r="3514" spans="7:7">
      <c r="G3514" t="s">
        <v>3702</v>
      </c>
    </row>
    <row r="3515" spans="7:7">
      <c r="G3515" t="s">
        <v>3703</v>
      </c>
    </row>
    <row r="3516" spans="7:7">
      <c r="G3516" t="s">
        <v>3704</v>
      </c>
    </row>
    <row r="3517" spans="7:7">
      <c r="G3517" t="s">
        <v>3705</v>
      </c>
    </row>
    <row r="3518" spans="7:7">
      <c r="G3518" t="s">
        <v>3706</v>
      </c>
    </row>
    <row r="3519" spans="7:7">
      <c r="G3519" t="s">
        <v>3707</v>
      </c>
    </row>
    <row r="3520" spans="7:7">
      <c r="G3520" t="s">
        <v>3708</v>
      </c>
    </row>
    <row r="3521" spans="7:7">
      <c r="G3521" t="s">
        <v>3709</v>
      </c>
    </row>
    <row r="3522" spans="7:7">
      <c r="G3522" t="s">
        <v>3710</v>
      </c>
    </row>
    <row r="3523" spans="7:7">
      <c r="G3523" t="s">
        <v>3711</v>
      </c>
    </row>
    <row r="3524" spans="7:7">
      <c r="G3524" t="s">
        <v>3712</v>
      </c>
    </row>
    <row r="3525" spans="7:7">
      <c r="G3525" t="s">
        <v>3713</v>
      </c>
    </row>
    <row r="3526" spans="7:7">
      <c r="G3526" t="s">
        <v>3714</v>
      </c>
    </row>
    <row r="3527" spans="7:7">
      <c r="G3527" t="s">
        <v>3715</v>
      </c>
    </row>
    <row r="3528" spans="7:7">
      <c r="G3528" t="s">
        <v>3716</v>
      </c>
    </row>
    <row r="3529" spans="7:7">
      <c r="G3529" t="s">
        <v>3717</v>
      </c>
    </row>
    <row r="3530" spans="7:7">
      <c r="G3530" t="s">
        <v>3718</v>
      </c>
    </row>
    <row r="3531" spans="7:7">
      <c r="G3531" t="s">
        <v>3719</v>
      </c>
    </row>
    <row r="3532" spans="7:7">
      <c r="G3532" t="s">
        <v>3720</v>
      </c>
    </row>
    <row r="3533" spans="7:7">
      <c r="G3533" t="s">
        <v>3721</v>
      </c>
    </row>
    <row r="3534" spans="7:7">
      <c r="G3534" t="s">
        <v>3722</v>
      </c>
    </row>
    <row r="3535" spans="7:7">
      <c r="G3535" t="s">
        <v>3723</v>
      </c>
    </row>
    <row r="3536" spans="7:7">
      <c r="G3536" t="s">
        <v>3724</v>
      </c>
    </row>
    <row r="3537" spans="7:7">
      <c r="G3537" t="s">
        <v>3725</v>
      </c>
    </row>
    <row r="3538" spans="7:7">
      <c r="G3538" t="s">
        <v>3726</v>
      </c>
    </row>
    <row r="3539" spans="7:7">
      <c r="G3539" t="s">
        <v>3727</v>
      </c>
    </row>
    <row r="3540" spans="7:7">
      <c r="G3540" t="s">
        <v>3728</v>
      </c>
    </row>
    <row r="3541" spans="7:7">
      <c r="G3541" t="s">
        <v>3729</v>
      </c>
    </row>
    <row r="3542" spans="7:7">
      <c r="G3542" t="s">
        <v>3730</v>
      </c>
    </row>
    <row r="3543" spans="7:7">
      <c r="G3543" t="s">
        <v>3731</v>
      </c>
    </row>
    <row r="3544" spans="7:7">
      <c r="G3544" t="s">
        <v>3732</v>
      </c>
    </row>
    <row r="3545" spans="7:7">
      <c r="G3545" t="s">
        <v>3733</v>
      </c>
    </row>
    <row r="3546" spans="7:7">
      <c r="G3546" t="s">
        <v>3734</v>
      </c>
    </row>
    <row r="3547" spans="7:7">
      <c r="G3547" t="s">
        <v>3735</v>
      </c>
    </row>
    <row r="3548" spans="7:7">
      <c r="G3548" t="s">
        <v>3736</v>
      </c>
    </row>
    <row r="3549" spans="7:7">
      <c r="G3549" t="s">
        <v>3737</v>
      </c>
    </row>
    <row r="3550" spans="7:7">
      <c r="G3550" t="s">
        <v>3738</v>
      </c>
    </row>
    <row r="3551" spans="7:7">
      <c r="G3551" t="s">
        <v>3739</v>
      </c>
    </row>
    <row r="3552" spans="7:7">
      <c r="G3552" t="s">
        <v>3740</v>
      </c>
    </row>
    <row r="3553" spans="7:7">
      <c r="G3553" t="s">
        <v>3741</v>
      </c>
    </row>
    <row r="3554" spans="7:7">
      <c r="G3554" t="s">
        <v>3742</v>
      </c>
    </row>
    <row r="3555" spans="7:7">
      <c r="G3555" t="s">
        <v>3743</v>
      </c>
    </row>
    <row r="3556" spans="7:7">
      <c r="G3556" t="s">
        <v>3744</v>
      </c>
    </row>
    <row r="3557" spans="7:7">
      <c r="G3557" t="s">
        <v>3745</v>
      </c>
    </row>
    <row r="3558" spans="7:7">
      <c r="G3558" t="s">
        <v>3746</v>
      </c>
    </row>
    <row r="3559" spans="7:7">
      <c r="G3559" t="s">
        <v>3747</v>
      </c>
    </row>
    <row r="3560" spans="7:7">
      <c r="G3560" t="s">
        <v>3748</v>
      </c>
    </row>
    <row r="3561" spans="7:7">
      <c r="G3561" t="s">
        <v>3749</v>
      </c>
    </row>
    <row r="3562" spans="7:7">
      <c r="G3562" t="s">
        <v>3750</v>
      </c>
    </row>
    <row r="3563" spans="7:7">
      <c r="G3563" t="s">
        <v>3751</v>
      </c>
    </row>
    <row r="3564" spans="7:7">
      <c r="G3564" t="s">
        <v>3752</v>
      </c>
    </row>
    <row r="3565" spans="7:7">
      <c r="G3565" t="s">
        <v>3753</v>
      </c>
    </row>
    <row r="3566" spans="7:7">
      <c r="G3566" t="s">
        <v>3754</v>
      </c>
    </row>
    <row r="3567" spans="7:7">
      <c r="G3567" t="s">
        <v>3755</v>
      </c>
    </row>
    <row r="3568" spans="7:7">
      <c r="G3568" t="s">
        <v>3756</v>
      </c>
    </row>
    <row r="3569" spans="7:7">
      <c r="G3569" t="s">
        <v>3757</v>
      </c>
    </row>
    <row r="3570" spans="7:7">
      <c r="G3570" t="s">
        <v>3758</v>
      </c>
    </row>
    <row r="3571" spans="7:7">
      <c r="G3571" t="s">
        <v>3759</v>
      </c>
    </row>
    <row r="3572" spans="7:7">
      <c r="G3572" t="s">
        <v>3760</v>
      </c>
    </row>
    <row r="3573" spans="7:7">
      <c r="G3573" t="s">
        <v>3761</v>
      </c>
    </row>
    <row r="3574" spans="7:7">
      <c r="G3574" t="s">
        <v>3762</v>
      </c>
    </row>
    <row r="3575" spans="7:7">
      <c r="G3575" t="s">
        <v>3763</v>
      </c>
    </row>
    <row r="3576" spans="7:7">
      <c r="G3576" t="s">
        <v>3764</v>
      </c>
    </row>
    <row r="3577" spans="7:7">
      <c r="G3577" t="s">
        <v>3765</v>
      </c>
    </row>
    <row r="3578" spans="7:7">
      <c r="G3578" t="s">
        <v>3766</v>
      </c>
    </row>
    <row r="3579" spans="7:7">
      <c r="G3579" t="s">
        <v>3767</v>
      </c>
    </row>
    <row r="3580" spans="7:7">
      <c r="G3580" t="s">
        <v>3768</v>
      </c>
    </row>
    <row r="3581" spans="7:7">
      <c r="G3581" t="s">
        <v>3769</v>
      </c>
    </row>
    <row r="3582" spans="7:7">
      <c r="G3582" t="s">
        <v>3770</v>
      </c>
    </row>
    <row r="3583" spans="7:7">
      <c r="G3583" t="s">
        <v>3771</v>
      </c>
    </row>
    <row r="3584" spans="7:7">
      <c r="G3584" t="s">
        <v>3772</v>
      </c>
    </row>
    <row r="3585" spans="7:7">
      <c r="G3585" t="s">
        <v>3773</v>
      </c>
    </row>
    <row r="3586" spans="7:7">
      <c r="G3586" t="s">
        <v>3774</v>
      </c>
    </row>
    <row r="3587" spans="7:7">
      <c r="G3587" t="s">
        <v>3775</v>
      </c>
    </row>
    <row r="3588" spans="7:7">
      <c r="G3588" t="s">
        <v>3776</v>
      </c>
    </row>
    <row r="3589" spans="7:7">
      <c r="G3589" t="s">
        <v>3777</v>
      </c>
    </row>
    <row r="3590" spans="7:7">
      <c r="G3590" t="s">
        <v>3778</v>
      </c>
    </row>
    <row r="3591" spans="7:7">
      <c r="G3591" t="s">
        <v>3779</v>
      </c>
    </row>
    <row r="3592" spans="7:7">
      <c r="G3592" t="s">
        <v>3780</v>
      </c>
    </row>
    <row r="3593" spans="7:7">
      <c r="G3593" t="s">
        <v>3781</v>
      </c>
    </row>
    <row r="3594" spans="7:7">
      <c r="G3594" t="s">
        <v>3782</v>
      </c>
    </row>
    <row r="3595" spans="7:7">
      <c r="G3595" t="s">
        <v>3783</v>
      </c>
    </row>
    <row r="3596" spans="7:7">
      <c r="G3596" t="s">
        <v>3784</v>
      </c>
    </row>
    <row r="3597" spans="7:7">
      <c r="G3597" t="s">
        <v>3785</v>
      </c>
    </row>
    <row r="3598" spans="7:7">
      <c r="G3598" t="s">
        <v>3786</v>
      </c>
    </row>
    <row r="3599" spans="7:7">
      <c r="G3599" t="s">
        <v>3787</v>
      </c>
    </row>
    <row r="3600" spans="7:7">
      <c r="G3600" t="s">
        <v>3788</v>
      </c>
    </row>
    <row r="3601" spans="7:7">
      <c r="G3601" t="s">
        <v>3789</v>
      </c>
    </row>
    <row r="3602" spans="7:7">
      <c r="G3602" t="s">
        <v>3790</v>
      </c>
    </row>
    <row r="3603" spans="7:7">
      <c r="G3603" t="s">
        <v>3791</v>
      </c>
    </row>
    <row r="3604" spans="7:7">
      <c r="G3604" t="s">
        <v>3792</v>
      </c>
    </row>
    <row r="3605" spans="7:7">
      <c r="G3605" t="s">
        <v>3793</v>
      </c>
    </row>
    <row r="3606" spans="7:7">
      <c r="G3606" t="s">
        <v>3794</v>
      </c>
    </row>
    <row r="3607" spans="7:7">
      <c r="G3607" t="s">
        <v>3795</v>
      </c>
    </row>
    <row r="3608" spans="7:7">
      <c r="G3608" t="s">
        <v>3796</v>
      </c>
    </row>
    <row r="3609" spans="7:7">
      <c r="G3609" t="s">
        <v>3797</v>
      </c>
    </row>
    <row r="3610" spans="7:7">
      <c r="G3610" t="s">
        <v>3798</v>
      </c>
    </row>
    <row r="3611" spans="7:7">
      <c r="G3611" t="s">
        <v>3799</v>
      </c>
    </row>
    <row r="3612" spans="7:7">
      <c r="G3612" t="s">
        <v>3800</v>
      </c>
    </row>
    <row r="3613" spans="7:7">
      <c r="G3613" t="s">
        <v>3801</v>
      </c>
    </row>
    <row r="3614" spans="7:7">
      <c r="G3614" t="s">
        <v>3802</v>
      </c>
    </row>
    <row r="3615" spans="7:7">
      <c r="G3615" t="s">
        <v>3803</v>
      </c>
    </row>
    <row r="3616" spans="7:7">
      <c r="G3616" t="s">
        <v>3804</v>
      </c>
    </row>
    <row r="3617" spans="7:7">
      <c r="G3617" t="s">
        <v>3805</v>
      </c>
    </row>
    <row r="3618" spans="7:7">
      <c r="G3618" t="s">
        <v>3806</v>
      </c>
    </row>
    <row r="3619" spans="7:7">
      <c r="G3619" t="s">
        <v>3807</v>
      </c>
    </row>
    <row r="3620" spans="7:7">
      <c r="G3620" t="s">
        <v>3808</v>
      </c>
    </row>
    <row r="3621" spans="7:7">
      <c r="G3621" t="s">
        <v>3809</v>
      </c>
    </row>
    <row r="3622" spans="7:7">
      <c r="G3622" t="s">
        <v>3810</v>
      </c>
    </row>
    <row r="3623" spans="7:7">
      <c r="G3623" t="s">
        <v>3811</v>
      </c>
    </row>
    <row r="3624" spans="7:7">
      <c r="G3624" t="s">
        <v>3812</v>
      </c>
    </row>
    <row r="3625" spans="7:7">
      <c r="G3625" t="s">
        <v>3813</v>
      </c>
    </row>
    <row r="3626" spans="7:7">
      <c r="G3626" t="s">
        <v>3814</v>
      </c>
    </row>
    <row r="3627" spans="7:7">
      <c r="G3627" t="s">
        <v>3815</v>
      </c>
    </row>
    <row r="3628" spans="7:7">
      <c r="G3628" t="s">
        <v>3816</v>
      </c>
    </row>
    <row r="3629" spans="7:7">
      <c r="G3629" t="s">
        <v>3817</v>
      </c>
    </row>
    <row r="3630" spans="7:7">
      <c r="G3630" t="s">
        <v>3818</v>
      </c>
    </row>
    <row r="3631" spans="7:7">
      <c r="G3631" t="s">
        <v>3819</v>
      </c>
    </row>
    <row r="3632" spans="7:7">
      <c r="G3632" t="s">
        <v>3820</v>
      </c>
    </row>
    <row r="3633" spans="7:7">
      <c r="G3633" t="s">
        <v>3821</v>
      </c>
    </row>
    <row r="3634" spans="7:7">
      <c r="G3634" t="s">
        <v>3822</v>
      </c>
    </row>
    <row r="3635" spans="7:7">
      <c r="G3635" t="s">
        <v>3823</v>
      </c>
    </row>
    <row r="3636" spans="7:7">
      <c r="G3636" t="s">
        <v>3824</v>
      </c>
    </row>
    <row r="3637" spans="7:7">
      <c r="G3637" t="s">
        <v>3825</v>
      </c>
    </row>
    <row r="3638" spans="7:7">
      <c r="G3638" t="s">
        <v>3826</v>
      </c>
    </row>
    <row r="3639" spans="7:7">
      <c r="G3639" t="s">
        <v>3827</v>
      </c>
    </row>
    <row r="3640" spans="7:7">
      <c r="G3640" t="s">
        <v>3828</v>
      </c>
    </row>
    <row r="3641" spans="7:7">
      <c r="G3641" t="s">
        <v>3829</v>
      </c>
    </row>
    <row r="3642" spans="7:7">
      <c r="G3642" t="s">
        <v>3830</v>
      </c>
    </row>
    <row r="3643" spans="7:7">
      <c r="G3643" t="s">
        <v>3831</v>
      </c>
    </row>
    <row r="3644" spans="7:7">
      <c r="G3644" t="s">
        <v>3832</v>
      </c>
    </row>
    <row r="3645" spans="7:7">
      <c r="G3645" t="s">
        <v>3833</v>
      </c>
    </row>
    <row r="3646" spans="7:7">
      <c r="G3646" t="s">
        <v>3834</v>
      </c>
    </row>
    <row r="3647" spans="7:7">
      <c r="G3647" t="s">
        <v>3835</v>
      </c>
    </row>
    <row r="3648" spans="7:7">
      <c r="G3648" t="s">
        <v>3836</v>
      </c>
    </row>
    <row r="3649" spans="7:7">
      <c r="G3649" t="s">
        <v>3837</v>
      </c>
    </row>
    <row r="3650" spans="7:7">
      <c r="G3650" t="s">
        <v>3838</v>
      </c>
    </row>
    <row r="3651" spans="7:7">
      <c r="G3651" t="s">
        <v>3839</v>
      </c>
    </row>
    <row r="3652" spans="7:7">
      <c r="G3652" t="s">
        <v>3840</v>
      </c>
    </row>
    <row r="3653" spans="7:7">
      <c r="G3653" t="s">
        <v>3841</v>
      </c>
    </row>
    <row r="3654" spans="7:7">
      <c r="G3654" t="s">
        <v>3842</v>
      </c>
    </row>
    <row r="3655" spans="7:7">
      <c r="G3655" t="s">
        <v>3843</v>
      </c>
    </row>
    <row r="3656" spans="7:7">
      <c r="G3656" t="s">
        <v>3844</v>
      </c>
    </row>
    <row r="3657" spans="7:7">
      <c r="G3657" t="s">
        <v>3845</v>
      </c>
    </row>
    <row r="3658" spans="7:7">
      <c r="G3658" t="s">
        <v>3846</v>
      </c>
    </row>
    <row r="3659" spans="7:7">
      <c r="G3659" t="s">
        <v>3847</v>
      </c>
    </row>
    <row r="3660" spans="7:7">
      <c r="G3660" t="s">
        <v>3848</v>
      </c>
    </row>
    <row r="3661" spans="7:7">
      <c r="G3661" t="s">
        <v>3849</v>
      </c>
    </row>
    <row r="3662" spans="7:7">
      <c r="G3662" t="s">
        <v>3850</v>
      </c>
    </row>
    <row r="3663" spans="7:7">
      <c r="G3663" t="s">
        <v>3851</v>
      </c>
    </row>
    <row r="3664" spans="7:7">
      <c r="G3664" t="s">
        <v>3852</v>
      </c>
    </row>
    <row r="3665" spans="7:7">
      <c r="G3665" t="s">
        <v>3853</v>
      </c>
    </row>
    <row r="3666" spans="7:7">
      <c r="G3666" t="s">
        <v>3854</v>
      </c>
    </row>
    <row r="3667" spans="7:7">
      <c r="G3667" t="s">
        <v>3855</v>
      </c>
    </row>
    <row r="3668" spans="7:7">
      <c r="G3668" t="s">
        <v>3856</v>
      </c>
    </row>
    <row r="3669" spans="7:7">
      <c r="G3669" t="s">
        <v>3857</v>
      </c>
    </row>
    <row r="3670" spans="7:7">
      <c r="G3670" t="s">
        <v>3858</v>
      </c>
    </row>
    <row r="3671" spans="7:7">
      <c r="G3671" t="s">
        <v>3859</v>
      </c>
    </row>
    <row r="3672" spans="7:7">
      <c r="G3672" t="s">
        <v>3860</v>
      </c>
    </row>
    <row r="3673" spans="7:7">
      <c r="G3673" t="s">
        <v>3861</v>
      </c>
    </row>
    <row r="3674" spans="7:7">
      <c r="G3674" t="s">
        <v>3862</v>
      </c>
    </row>
    <row r="3675" spans="7:7">
      <c r="G3675" t="s">
        <v>3863</v>
      </c>
    </row>
    <row r="3676" spans="7:7">
      <c r="G3676" t="s">
        <v>3864</v>
      </c>
    </row>
    <row r="3677" spans="7:7">
      <c r="G3677" t="s">
        <v>3865</v>
      </c>
    </row>
    <row r="3678" spans="7:7">
      <c r="G3678" t="s">
        <v>3866</v>
      </c>
    </row>
    <row r="3679" spans="7:7">
      <c r="G3679" t="s">
        <v>3867</v>
      </c>
    </row>
    <row r="3680" spans="7:7">
      <c r="G3680" t="s">
        <v>3868</v>
      </c>
    </row>
    <row r="3681" spans="7:7">
      <c r="G3681" t="s">
        <v>3869</v>
      </c>
    </row>
    <row r="3682" spans="7:7">
      <c r="G3682" t="s">
        <v>3870</v>
      </c>
    </row>
    <row r="3683" spans="7:7">
      <c r="G3683" t="s">
        <v>3871</v>
      </c>
    </row>
    <row r="3684" spans="7:7">
      <c r="G3684" t="s">
        <v>3872</v>
      </c>
    </row>
    <row r="3685" spans="7:7">
      <c r="G3685" t="s">
        <v>3873</v>
      </c>
    </row>
    <row r="3686" spans="7:7">
      <c r="G3686" t="s">
        <v>3874</v>
      </c>
    </row>
    <row r="3687" spans="7:7">
      <c r="G3687" t="s">
        <v>3875</v>
      </c>
    </row>
    <row r="3688" spans="7:7">
      <c r="G3688" t="s">
        <v>3876</v>
      </c>
    </row>
    <row r="3689" spans="7:7">
      <c r="G3689" t="s">
        <v>3877</v>
      </c>
    </row>
    <row r="3690" spans="7:7">
      <c r="G3690" t="s">
        <v>3878</v>
      </c>
    </row>
    <row r="3691" spans="7:7">
      <c r="G3691" t="s">
        <v>3879</v>
      </c>
    </row>
    <row r="3692" spans="7:7">
      <c r="G3692" t="s">
        <v>3880</v>
      </c>
    </row>
    <row r="3693" spans="7:7">
      <c r="G3693" t="s">
        <v>3881</v>
      </c>
    </row>
    <row r="3694" spans="7:7">
      <c r="G3694" t="s">
        <v>3882</v>
      </c>
    </row>
    <row r="3695" spans="7:7">
      <c r="G3695" t="s">
        <v>3883</v>
      </c>
    </row>
    <row r="3696" spans="7:7">
      <c r="G3696" t="s">
        <v>3884</v>
      </c>
    </row>
    <row r="3697" spans="7:7">
      <c r="G3697" t="s">
        <v>3885</v>
      </c>
    </row>
    <row r="3698" spans="7:7">
      <c r="G3698" t="s">
        <v>3886</v>
      </c>
    </row>
    <row r="3699" spans="7:7">
      <c r="G3699" t="s">
        <v>3887</v>
      </c>
    </row>
    <row r="3700" spans="7:7">
      <c r="G3700" t="s">
        <v>3888</v>
      </c>
    </row>
    <row r="3701" spans="7:7">
      <c r="G3701" t="s">
        <v>3889</v>
      </c>
    </row>
    <row r="3702" spans="7:7">
      <c r="G3702" t="s">
        <v>3890</v>
      </c>
    </row>
    <row r="3703" spans="7:7">
      <c r="G3703" t="s">
        <v>3891</v>
      </c>
    </row>
    <row r="3704" spans="7:7">
      <c r="G3704" t="s">
        <v>3892</v>
      </c>
    </row>
    <row r="3705" spans="7:7">
      <c r="G3705" t="s">
        <v>3893</v>
      </c>
    </row>
    <row r="3706" spans="7:7">
      <c r="G3706" t="s">
        <v>3894</v>
      </c>
    </row>
    <row r="3707" spans="7:7">
      <c r="G3707" t="s">
        <v>3895</v>
      </c>
    </row>
    <row r="3708" spans="7:7">
      <c r="G3708" t="s">
        <v>3896</v>
      </c>
    </row>
    <row r="3709" spans="7:7">
      <c r="G3709" t="s">
        <v>3897</v>
      </c>
    </row>
    <row r="3710" spans="7:7">
      <c r="G3710" t="s">
        <v>3898</v>
      </c>
    </row>
    <row r="3711" spans="7:7">
      <c r="G3711" t="s">
        <v>3899</v>
      </c>
    </row>
    <row r="3712" spans="7:7">
      <c r="G3712" t="s">
        <v>3900</v>
      </c>
    </row>
    <row r="3713" spans="7:7">
      <c r="G3713" t="s">
        <v>3901</v>
      </c>
    </row>
    <row r="3714" spans="7:7">
      <c r="G3714" t="s">
        <v>3902</v>
      </c>
    </row>
    <row r="3715" spans="7:7">
      <c r="G3715" t="s">
        <v>3903</v>
      </c>
    </row>
    <row r="3716" spans="7:7">
      <c r="G3716" t="s">
        <v>3904</v>
      </c>
    </row>
    <row r="3717" spans="7:7">
      <c r="G3717" t="s">
        <v>3905</v>
      </c>
    </row>
    <row r="3718" spans="7:7">
      <c r="G3718" t="s">
        <v>3906</v>
      </c>
    </row>
    <row r="3719" spans="7:7">
      <c r="G3719" t="s">
        <v>3907</v>
      </c>
    </row>
    <row r="3720" spans="7:7">
      <c r="G3720" t="s">
        <v>3908</v>
      </c>
    </row>
    <row r="3721" spans="7:7">
      <c r="G3721" t="s">
        <v>3909</v>
      </c>
    </row>
    <row r="3722" spans="7:7">
      <c r="G3722" t="s">
        <v>3910</v>
      </c>
    </row>
    <row r="3723" spans="7:7">
      <c r="G3723" t="s">
        <v>3911</v>
      </c>
    </row>
    <row r="3724" spans="7:7">
      <c r="G3724" t="s">
        <v>3912</v>
      </c>
    </row>
    <row r="3725" spans="7:7">
      <c r="G3725" t="s">
        <v>3913</v>
      </c>
    </row>
    <row r="3726" spans="7:7">
      <c r="G3726" t="s">
        <v>3914</v>
      </c>
    </row>
    <row r="3727" spans="7:7">
      <c r="G3727" t="s">
        <v>3915</v>
      </c>
    </row>
    <row r="3728" spans="7:7">
      <c r="G3728" t="s">
        <v>3916</v>
      </c>
    </row>
    <row r="3729" spans="7:7">
      <c r="G3729" t="s">
        <v>3917</v>
      </c>
    </row>
    <row r="3730" spans="7:7">
      <c r="G3730" t="s">
        <v>3918</v>
      </c>
    </row>
    <row r="3731" spans="7:7">
      <c r="G3731" t="s">
        <v>3919</v>
      </c>
    </row>
    <row r="3732" spans="7:7">
      <c r="G3732" t="s">
        <v>3920</v>
      </c>
    </row>
    <row r="3733" spans="7:7">
      <c r="G3733" t="s">
        <v>3921</v>
      </c>
    </row>
    <row r="3734" spans="7:7">
      <c r="G3734" t="s">
        <v>3922</v>
      </c>
    </row>
    <row r="3735" spans="7:7">
      <c r="G3735" t="s">
        <v>3923</v>
      </c>
    </row>
    <row r="3736" spans="7:7">
      <c r="G3736" t="s">
        <v>3924</v>
      </c>
    </row>
    <row r="3737" spans="7:7">
      <c r="G3737" t="s">
        <v>3925</v>
      </c>
    </row>
    <row r="3738" spans="7:7">
      <c r="G3738" t="s">
        <v>3926</v>
      </c>
    </row>
    <row r="3739" spans="7:7">
      <c r="G3739" t="s">
        <v>3927</v>
      </c>
    </row>
    <row r="3740" spans="7:7">
      <c r="G3740" t="s">
        <v>3928</v>
      </c>
    </row>
    <row r="3741" spans="7:7">
      <c r="G3741" t="s">
        <v>3929</v>
      </c>
    </row>
    <row r="3742" spans="7:7">
      <c r="G3742" t="s">
        <v>3930</v>
      </c>
    </row>
    <row r="3743" spans="7:7">
      <c r="G3743" t="s">
        <v>3931</v>
      </c>
    </row>
    <row r="3744" spans="7:7">
      <c r="G3744" t="s">
        <v>3932</v>
      </c>
    </row>
    <row r="3745" spans="7:7">
      <c r="G3745" t="s">
        <v>3933</v>
      </c>
    </row>
    <row r="3746" spans="7:7">
      <c r="G3746" t="s">
        <v>3934</v>
      </c>
    </row>
    <row r="3747" spans="7:7">
      <c r="G3747" t="s">
        <v>3935</v>
      </c>
    </row>
    <row r="3748" spans="7:7">
      <c r="G3748" t="s">
        <v>3936</v>
      </c>
    </row>
    <row r="3749" spans="7:7">
      <c r="G3749" t="s">
        <v>3937</v>
      </c>
    </row>
    <row r="3750" spans="7:7">
      <c r="G3750" t="s">
        <v>3938</v>
      </c>
    </row>
    <row r="3751" spans="7:7">
      <c r="G3751" t="s">
        <v>3939</v>
      </c>
    </row>
    <row r="3752" spans="7:7">
      <c r="G3752" t="s">
        <v>3940</v>
      </c>
    </row>
    <row r="3753" spans="7:7">
      <c r="G3753" t="s">
        <v>3941</v>
      </c>
    </row>
    <row r="3754" spans="7:7">
      <c r="G3754" t="s">
        <v>3942</v>
      </c>
    </row>
    <row r="3755" spans="7:7">
      <c r="G3755" t="s">
        <v>3943</v>
      </c>
    </row>
    <row r="3756" spans="7:7">
      <c r="G3756" t="s">
        <v>3944</v>
      </c>
    </row>
    <row r="3757" spans="7:7">
      <c r="G3757" t="s">
        <v>3945</v>
      </c>
    </row>
    <row r="3758" spans="7:7">
      <c r="G3758" t="s">
        <v>3946</v>
      </c>
    </row>
    <row r="3759" spans="7:7">
      <c r="G3759" t="s">
        <v>3947</v>
      </c>
    </row>
    <row r="3760" spans="7:7">
      <c r="G3760" t="s">
        <v>3948</v>
      </c>
    </row>
    <row r="3761" spans="7:7">
      <c r="G3761" t="s">
        <v>3949</v>
      </c>
    </row>
    <row r="3762" spans="7:7">
      <c r="G3762" t="s">
        <v>3950</v>
      </c>
    </row>
    <row r="3763" spans="7:7">
      <c r="G3763" t="s">
        <v>3951</v>
      </c>
    </row>
    <row r="3764" spans="7:7">
      <c r="G3764" t="s">
        <v>3952</v>
      </c>
    </row>
    <row r="3765" spans="7:7">
      <c r="G3765" t="s">
        <v>3953</v>
      </c>
    </row>
    <row r="3766" spans="7:7">
      <c r="G3766" t="s">
        <v>3954</v>
      </c>
    </row>
    <row r="3767" spans="7:7">
      <c r="G3767" t="s">
        <v>3955</v>
      </c>
    </row>
    <row r="3768" spans="7:7">
      <c r="G3768" t="s">
        <v>3956</v>
      </c>
    </row>
    <row r="3769" spans="7:7">
      <c r="G3769" t="s">
        <v>3957</v>
      </c>
    </row>
    <row r="3770" spans="7:7">
      <c r="G3770" t="s">
        <v>3958</v>
      </c>
    </row>
    <row r="3771" spans="7:7">
      <c r="G3771" t="s">
        <v>3959</v>
      </c>
    </row>
    <row r="3772" spans="7:7">
      <c r="G3772" t="s">
        <v>3960</v>
      </c>
    </row>
    <row r="3773" spans="7:7">
      <c r="G3773" t="s">
        <v>3961</v>
      </c>
    </row>
    <row r="3774" spans="7:7">
      <c r="G3774" t="s">
        <v>3962</v>
      </c>
    </row>
    <row r="3775" spans="7:7">
      <c r="G3775" t="s">
        <v>3963</v>
      </c>
    </row>
    <row r="3776" spans="7:7">
      <c r="G3776" t="s">
        <v>3964</v>
      </c>
    </row>
    <row r="3777" spans="7:7">
      <c r="G3777" t="s">
        <v>3965</v>
      </c>
    </row>
    <row r="3778" spans="7:7">
      <c r="G3778" t="s">
        <v>3966</v>
      </c>
    </row>
    <row r="3779" spans="7:7">
      <c r="G3779" t="s">
        <v>3967</v>
      </c>
    </row>
    <row r="3780" spans="7:7">
      <c r="G3780" t="s">
        <v>3968</v>
      </c>
    </row>
    <row r="3781" spans="7:7">
      <c r="G3781" t="s">
        <v>3969</v>
      </c>
    </row>
    <row r="3782" spans="7:7">
      <c r="G3782" t="s">
        <v>3970</v>
      </c>
    </row>
    <row r="3783" spans="7:7">
      <c r="G3783" t="s">
        <v>3971</v>
      </c>
    </row>
    <row r="3784" spans="7:7">
      <c r="G3784" t="s">
        <v>3972</v>
      </c>
    </row>
    <row r="3785" spans="7:7">
      <c r="G3785" t="s">
        <v>3973</v>
      </c>
    </row>
    <row r="3786" spans="7:7">
      <c r="G3786" t="s">
        <v>3974</v>
      </c>
    </row>
    <row r="3787" spans="7:7">
      <c r="G3787" t="s">
        <v>3975</v>
      </c>
    </row>
    <row r="3788" spans="7:7">
      <c r="G3788" t="s">
        <v>3976</v>
      </c>
    </row>
    <row r="3789" spans="7:7">
      <c r="G3789" t="s">
        <v>3977</v>
      </c>
    </row>
    <row r="3790" spans="7:7">
      <c r="G3790" t="s">
        <v>3978</v>
      </c>
    </row>
    <row r="3791" spans="7:7">
      <c r="G3791" t="s">
        <v>3979</v>
      </c>
    </row>
    <row r="3792" spans="7:7">
      <c r="G3792" t="s">
        <v>3980</v>
      </c>
    </row>
    <row r="3793" spans="7:7">
      <c r="G3793" t="s">
        <v>3981</v>
      </c>
    </row>
    <row r="3794" spans="7:7">
      <c r="G3794" t="s">
        <v>3982</v>
      </c>
    </row>
    <row r="3795" spans="7:7">
      <c r="G3795" t="s">
        <v>3983</v>
      </c>
    </row>
    <row r="3796" spans="7:7">
      <c r="G3796" t="s">
        <v>3984</v>
      </c>
    </row>
    <row r="3797" spans="7:7">
      <c r="G3797" t="s">
        <v>3985</v>
      </c>
    </row>
    <row r="3798" spans="7:7">
      <c r="G3798" t="s">
        <v>3986</v>
      </c>
    </row>
    <row r="3799" spans="7:7">
      <c r="G3799" t="s">
        <v>3987</v>
      </c>
    </row>
    <row r="3800" spans="7:7">
      <c r="G3800" t="s">
        <v>3988</v>
      </c>
    </row>
    <row r="3801" spans="7:7">
      <c r="G3801" t="s">
        <v>3989</v>
      </c>
    </row>
    <row r="3802" spans="7:7">
      <c r="G3802" t="s">
        <v>3990</v>
      </c>
    </row>
    <row r="3803" spans="7:7">
      <c r="G3803" t="s">
        <v>3991</v>
      </c>
    </row>
    <row r="3804" spans="7:7">
      <c r="G3804" t="s">
        <v>3992</v>
      </c>
    </row>
    <row r="3805" spans="7:7">
      <c r="G3805" t="s">
        <v>3993</v>
      </c>
    </row>
    <row r="3806" spans="7:7">
      <c r="G3806" t="s">
        <v>3994</v>
      </c>
    </row>
    <row r="3807" spans="7:7">
      <c r="G3807" t="s">
        <v>3995</v>
      </c>
    </row>
    <row r="3808" spans="7:7">
      <c r="G3808" t="s">
        <v>3996</v>
      </c>
    </row>
    <row r="3809" spans="7:7">
      <c r="G3809" t="s">
        <v>3997</v>
      </c>
    </row>
    <row r="3810" spans="7:7">
      <c r="G3810" t="s">
        <v>3998</v>
      </c>
    </row>
    <row r="3811" spans="7:7">
      <c r="G3811" t="s">
        <v>3999</v>
      </c>
    </row>
    <row r="3812" spans="7:7">
      <c r="G3812" t="s">
        <v>4000</v>
      </c>
    </row>
    <row r="3813" spans="7:7">
      <c r="G3813" t="s">
        <v>4001</v>
      </c>
    </row>
    <row r="3814" spans="7:7">
      <c r="G3814" t="s">
        <v>4002</v>
      </c>
    </row>
    <row r="3815" spans="7:7">
      <c r="G3815" t="s">
        <v>4003</v>
      </c>
    </row>
    <row r="3816" spans="7:7">
      <c r="G3816" t="s">
        <v>4004</v>
      </c>
    </row>
    <row r="3817" spans="7:7">
      <c r="G3817" t="s">
        <v>4005</v>
      </c>
    </row>
    <row r="3818" spans="7:7">
      <c r="G3818" t="s">
        <v>4006</v>
      </c>
    </row>
    <row r="3819" spans="7:7">
      <c r="G3819" t="s">
        <v>4007</v>
      </c>
    </row>
    <row r="3820" spans="7:7">
      <c r="G3820" t="s">
        <v>4008</v>
      </c>
    </row>
    <row r="3821" spans="7:7">
      <c r="G3821" t="s">
        <v>4009</v>
      </c>
    </row>
    <row r="3822" spans="7:7">
      <c r="G3822" t="s">
        <v>4010</v>
      </c>
    </row>
    <row r="3823" spans="7:7">
      <c r="G3823" t="s">
        <v>4011</v>
      </c>
    </row>
    <row r="3824" spans="7:7">
      <c r="G3824" t="s">
        <v>4012</v>
      </c>
    </row>
    <row r="3825" spans="7:7">
      <c r="G3825" t="s">
        <v>4013</v>
      </c>
    </row>
    <row r="3826" spans="7:7">
      <c r="G3826" t="s">
        <v>4014</v>
      </c>
    </row>
    <row r="3827" spans="7:7">
      <c r="G3827" t="s">
        <v>4015</v>
      </c>
    </row>
    <row r="3828" spans="7:7">
      <c r="G3828" t="s">
        <v>4016</v>
      </c>
    </row>
    <row r="3829" spans="7:7">
      <c r="G3829" t="s">
        <v>4017</v>
      </c>
    </row>
    <row r="3830" spans="7:7">
      <c r="G3830" t="s">
        <v>4018</v>
      </c>
    </row>
    <row r="3831" spans="7:7">
      <c r="G3831" t="s">
        <v>4019</v>
      </c>
    </row>
    <row r="3832" spans="7:7">
      <c r="G3832" t="s">
        <v>4020</v>
      </c>
    </row>
    <row r="3833" spans="7:7">
      <c r="G3833" t="s">
        <v>4021</v>
      </c>
    </row>
    <row r="3834" spans="7:7">
      <c r="G3834" t="s">
        <v>4022</v>
      </c>
    </row>
    <row r="3835" spans="7:7">
      <c r="G3835" t="s">
        <v>4023</v>
      </c>
    </row>
    <row r="3836" spans="7:7">
      <c r="G3836" t="s">
        <v>4024</v>
      </c>
    </row>
    <row r="3837" spans="7:7">
      <c r="G3837" t="s">
        <v>4025</v>
      </c>
    </row>
    <row r="3838" spans="7:7">
      <c r="G3838" t="s">
        <v>4026</v>
      </c>
    </row>
    <row r="3839" spans="7:7">
      <c r="G3839" t="s">
        <v>4027</v>
      </c>
    </row>
    <row r="3840" spans="7:7">
      <c r="G3840" t="s">
        <v>4028</v>
      </c>
    </row>
    <row r="3841" spans="7:7">
      <c r="G3841" t="s">
        <v>4029</v>
      </c>
    </row>
    <row r="3842" spans="7:7">
      <c r="G3842" t="s">
        <v>4030</v>
      </c>
    </row>
    <row r="3843" spans="7:7">
      <c r="G3843" t="s">
        <v>4031</v>
      </c>
    </row>
    <row r="3844" spans="7:7">
      <c r="G3844" t="s">
        <v>4032</v>
      </c>
    </row>
    <row r="3845" spans="7:7">
      <c r="G3845" t="s">
        <v>4033</v>
      </c>
    </row>
    <row r="3846" spans="7:7">
      <c r="G3846" t="s">
        <v>4034</v>
      </c>
    </row>
    <row r="3847" spans="7:7">
      <c r="G3847" t="s">
        <v>4035</v>
      </c>
    </row>
    <row r="3848" spans="7:7">
      <c r="G3848" t="s">
        <v>4036</v>
      </c>
    </row>
    <row r="3849" spans="7:7">
      <c r="G3849" t="s">
        <v>4037</v>
      </c>
    </row>
    <row r="3850" spans="7:7">
      <c r="G3850" t="s">
        <v>4038</v>
      </c>
    </row>
    <row r="3851" spans="7:7">
      <c r="G3851" t="s">
        <v>4039</v>
      </c>
    </row>
    <row r="3852" spans="7:7">
      <c r="G3852" t="s">
        <v>4040</v>
      </c>
    </row>
    <row r="3853" spans="7:7">
      <c r="G3853" t="s">
        <v>4041</v>
      </c>
    </row>
    <row r="3854" spans="7:7">
      <c r="G3854" t="s">
        <v>4042</v>
      </c>
    </row>
    <row r="3855" spans="7:7">
      <c r="G3855" t="s">
        <v>4043</v>
      </c>
    </row>
    <row r="3856" spans="7:7">
      <c r="G3856" t="s">
        <v>4044</v>
      </c>
    </row>
    <row r="3857" spans="7:7">
      <c r="G3857" t="s">
        <v>4045</v>
      </c>
    </row>
    <row r="3858" spans="7:7">
      <c r="G3858" t="s">
        <v>4046</v>
      </c>
    </row>
    <row r="3859" spans="7:7">
      <c r="G3859" t="s">
        <v>4047</v>
      </c>
    </row>
    <row r="3860" spans="7:7">
      <c r="G3860" t="s">
        <v>4048</v>
      </c>
    </row>
    <row r="3861" spans="7:7">
      <c r="G3861" t="s">
        <v>4049</v>
      </c>
    </row>
    <row r="3862" spans="7:7">
      <c r="G3862" t="s">
        <v>4050</v>
      </c>
    </row>
    <row r="3863" spans="7:7">
      <c r="G3863" t="s">
        <v>4051</v>
      </c>
    </row>
    <row r="3864" spans="7:7">
      <c r="G3864" t="s">
        <v>4052</v>
      </c>
    </row>
    <row r="3865" spans="7:7">
      <c r="G3865" t="s">
        <v>4053</v>
      </c>
    </row>
    <row r="3866" spans="7:7">
      <c r="G3866" t="s">
        <v>4054</v>
      </c>
    </row>
    <row r="3867" spans="7:7">
      <c r="G3867" t="s">
        <v>4055</v>
      </c>
    </row>
    <row r="3868" spans="7:7">
      <c r="G3868" t="s">
        <v>4056</v>
      </c>
    </row>
    <row r="3869" spans="7:7">
      <c r="G3869" t="s">
        <v>4057</v>
      </c>
    </row>
    <row r="3870" spans="7:7">
      <c r="G3870" t="s">
        <v>4058</v>
      </c>
    </row>
    <row r="3871" spans="7:7">
      <c r="G3871" t="s">
        <v>4059</v>
      </c>
    </row>
    <row r="3872" spans="7:7">
      <c r="G3872" t="s">
        <v>4060</v>
      </c>
    </row>
    <row r="3873" spans="7:7">
      <c r="G3873" t="s">
        <v>4061</v>
      </c>
    </row>
    <row r="3874" spans="7:7">
      <c r="G3874" t="s">
        <v>4062</v>
      </c>
    </row>
    <row r="3875" spans="7:7">
      <c r="G3875" t="s">
        <v>4063</v>
      </c>
    </row>
    <row r="3876" spans="7:7">
      <c r="G3876" t="s">
        <v>4064</v>
      </c>
    </row>
    <row r="3877" spans="7:7">
      <c r="G3877" t="s">
        <v>4065</v>
      </c>
    </row>
    <row r="3878" spans="7:7">
      <c r="G3878" t="s">
        <v>4066</v>
      </c>
    </row>
    <row r="3879" spans="7:7">
      <c r="G3879" t="s">
        <v>4067</v>
      </c>
    </row>
    <row r="3880" spans="7:7">
      <c r="G3880" t="s">
        <v>4068</v>
      </c>
    </row>
    <row r="3881" spans="7:7">
      <c r="G3881" t="s">
        <v>4069</v>
      </c>
    </row>
    <row r="3882" spans="7:7">
      <c r="G3882" t="s">
        <v>4070</v>
      </c>
    </row>
    <row r="3883" spans="7:7">
      <c r="G3883" t="s">
        <v>4071</v>
      </c>
    </row>
    <row r="3884" spans="7:7">
      <c r="G3884" t="s">
        <v>4072</v>
      </c>
    </row>
    <row r="3885" spans="7:7">
      <c r="G3885" t="s">
        <v>4073</v>
      </c>
    </row>
    <row r="3886" spans="7:7">
      <c r="G3886" t="s">
        <v>4074</v>
      </c>
    </row>
    <row r="3887" spans="7:7">
      <c r="G3887" t="s">
        <v>4075</v>
      </c>
    </row>
    <row r="3888" spans="7:7">
      <c r="G3888" t="s">
        <v>4076</v>
      </c>
    </row>
    <row r="3889" spans="7:7">
      <c r="G3889" t="s">
        <v>4077</v>
      </c>
    </row>
    <row r="3890" spans="7:7">
      <c r="G3890" t="s">
        <v>4078</v>
      </c>
    </row>
    <row r="3891" spans="7:7">
      <c r="G3891" t="s">
        <v>4079</v>
      </c>
    </row>
    <row r="3892" spans="7:7">
      <c r="G3892" t="s">
        <v>4080</v>
      </c>
    </row>
    <row r="3893" spans="7:7">
      <c r="G3893" t="s">
        <v>4081</v>
      </c>
    </row>
    <row r="3894" spans="7:7">
      <c r="G3894" t="s">
        <v>4082</v>
      </c>
    </row>
    <row r="3895" spans="7:7">
      <c r="G3895" t="s">
        <v>4083</v>
      </c>
    </row>
    <row r="3896" spans="7:7">
      <c r="G3896" t="s">
        <v>4084</v>
      </c>
    </row>
    <row r="3897" spans="7:7">
      <c r="G3897" t="s">
        <v>4085</v>
      </c>
    </row>
    <row r="3898" spans="7:7">
      <c r="G3898" t="s">
        <v>4086</v>
      </c>
    </row>
    <row r="3899" spans="7:7">
      <c r="G3899" t="s">
        <v>4087</v>
      </c>
    </row>
    <row r="3900" spans="7:7">
      <c r="G3900" t="s">
        <v>4088</v>
      </c>
    </row>
    <row r="3901" spans="7:7">
      <c r="G3901" t="s">
        <v>4089</v>
      </c>
    </row>
    <row r="3902" spans="7:7">
      <c r="G3902" t="s">
        <v>4090</v>
      </c>
    </row>
    <row r="3903" spans="7:7">
      <c r="G3903" t="s">
        <v>4091</v>
      </c>
    </row>
    <row r="3904" spans="7:7">
      <c r="G3904" t="s">
        <v>4092</v>
      </c>
    </row>
    <row r="3905" spans="7:7">
      <c r="G3905" t="s">
        <v>4093</v>
      </c>
    </row>
    <row r="3906" spans="7:7">
      <c r="G3906" t="s">
        <v>4094</v>
      </c>
    </row>
    <row r="3907" spans="7:7">
      <c r="G3907" t="s">
        <v>4095</v>
      </c>
    </row>
    <row r="3908" spans="7:7">
      <c r="G3908" t="s">
        <v>4096</v>
      </c>
    </row>
    <row r="3909" spans="7:7">
      <c r="G3909" t="s">
        <v>4097</v>
      </c>
    </row>
    <row r="3910" spans="7:7">
      <c r="G3910" t="s">
        <v>4098</v>
      </c>
    </row>
    <row r="3911" spans="7:7">
      <c r="G3911" t="s">
        <v>4099</v>
      </c>
    </row>
    <row r="3912" spans="7:7">
      <c r="G3912" t="s">
        <v>4100</v>
      </c>
    </row>
    <row r="3913" spans="7:7">
      <c r="G3913" t="s">
        <v>4101</v>
      </c>
    </row>
    <row r="3914" spans="7:7">
      <c r="G3914" t="s">
        <v>4102</v>
      </c>
    </row>
    <row r="3915" spans="7:7">
      <c r="G3915" t="s">
        <v>4103</v>
      </c>
    </row>
    <row r="3916" spans="7:7">
      <c r="G3916" t="s">
        <v>4104</v>
      </c>
    </row>
    <row r="3917" spans="7:7">
      <c r="G3917" t="s">
        <v>4105</v>
      </c>
    </row>
    <row r="3918" spans="7:7">
      <c r="G3918" t="s">
        <v>4106</v>
      </c>
    </row>
    <row r="3919" spans="7:7">
      <c r="G3919" t="s">
        <v>4107</v>
      </c>
    </row>
    <row r="3920" spans="7:7">
      <c r="G3920" t="s">
        <v>4108</v>
      </c>
    </row>
    <row r="3921" spans="7:7">
      <c r="G3921" t="s">
        <v>4109</v>
      </c>
    </row>
    <row r="3922" spans="7:7">
      <c r="G3922" t="s">
        <v>4110</v>
      </c>
    </row>
    <row r="3923" spans="7:7">
      <c r="G3923" t="s">
        <v>4111</v>
      </c>
    </row>
    <row r="3924" spans="7:7">
      <c r="G3924" t="s">
        <v>4112</v>
      </c>
    </row>
    <row r="3925" spans="7:7">
      <c r="G3925" t="s">
        <v>4113</v>
      </c>
    </row>
    <row r="3926" spans="7:7">
      <c r="G3926" t="s">
        <v>4114</v>
      </c>
    </row>
    <row r="3927" spans="7:7">
      <c r="G3927" t="s">
        <v>4115</v>
      </c>
    </row>
    <row r="3928" spans="7:7">
      <c r="G3928" t="s">
        <v>4116</v>
      </c>
    </row>
    <row r="3929" spans="7:7">
      <c r="G3929" t="s">
        <v>4117</v>
      </c>
    </row>
    <row r="3930" spans="7:7">
      <c r="G3930" t="s">
        <v>4118</v>
      </c>
    </row>
    <row r="3931" spans="7:7">
      <c r="G3931" t="s">
        <v>4119</v>
      </c>
    </row>
    <row r="3932" spans="7:7">
      <c r="G3932" t="s">
        <v>4120</v>
      </c>
    </row>
    <row r="3933" spans="7:7">
      <c r="G3933" t="s">
        <v>4121</v>
      </c>
    </row>
    <row r="3934" spans="7:7">
      <c r="G3934" t="s">
        <v>4122</v>
      </c>
    </row>
    <row r="3935" spans="7:7">
      <c r="G3935" t="s">
        <v>4123</v>
      </c>
    </row>
    <row r="3936" spans="7:7">
      <c r="G3936" t="s">
        <v>4124</v>
      </c>
    </row>
    <row r="3937" spans="7:7">
      <c r="G3937" t="s">
        <v>4125</v>
      </c>
    </row>
    <row r="3938" spans="7:7">
      <c r="G3938" t="s">
        <v>4126</v>
      </c>
    </row>
    <row r="3939" spans="7:7">
      <c r="G3939" t="s">
        <v>4127</v>
      </c>
    </row>
    <row r="3940" spans="7:7">
      <c r="G3940" t="s">
        <v>4128</v>
      </c>
    </row>
    <row r="3941" spans="7:7">
      <c r="G3941" t="s">
        <v>4129</v>
      </c>
    </row>
    <row r="3942" spans="7:7">
      <c r="G3942" t="s">
        <v>4130</v>
      </c>
    </row>
    <row r="3943" spans="7:7">
      <c r="G3943" t="s">
        <v>4131</v>
      </c>
    </row>
    <row r="3944" spans="7:7">
      <c r="G3944" t="s">
        <v>4132</v>
      </c>
    </row>
    <row r="3945" spans="7:7">
      <c r="G3945" t="s">
        <v>4133</v>
      </c>
    </row>
    <row r="3946" spans="7:7">
      <c r="G3946" t="s">
        <v>4134</v>
      </c>
    </row>
    <row r="3947" spans="7:7">
      <c r="G3947" t="s">
        <v>4135</v>
      </c>
    </row>
    <row r="3948" spans="7:7">
      <c r="G3948" t="s">
        <v>4136</v>
      </c>
    </row>
    <row r="3949" spans="7:7">
      <c r="G3949" t="s">
        <v>4137</v>
      </c>
    </row>
    <row r="3950" spans="7:7">
      <c r="G3950" t="s">
        <v>4138</v>
      </c>
    </row>
    <row r="3951" spans="7:7">
      <c r="G3951" t="s">
        <v>4139</v>
      </c>
    </row>
    <row r="3952" spans="7:7">
      <c r="G3952" t="s">
        <v>4140</v>
      </c>
    </row>
    <row r="3953" spans="7:7">
      <c r="G3953" t="s">
        <v>4141</v>
      </c>
    </row>
    <row r="3954" spans="7:7">
      <c r="G3954" t="s">
        <v>4142</v>
      </c>
    </row>
    <row r="3955" spans="7:7">
      <c r="G3955" t="s">
        <v>4143</v>
      </c>
    </row>
    <row r="3956" spans="7:7">
      <c r="G3956" t="s">
        <v>4144</v>
      </c>
    </row>
    <row r="3957" spans="7:7">
      <c r="G3957" t="s">
        <v>4145</v>
      </c>
    </row>
    <row r="3958" spans="7:7">
      <c r="G3958" t="s">
        <v>4146</v>
      </c>
    </row>
    <row r="3959" spans="7:7">
      <c r="G3959" t="s">
        <v>4147</v>
      </c>
    </row>
    <row r="3960" spans="7:7">
      <c r="G3960" t="s">
        <v>4148</v>
      </c>
    </row>
    <row r="3961" spans="7:7">
      <c r="G3961" t="s">
        <v>4149</v>
      </c>
    </row>
    <row r="3962" spans="7:7">
      <c r="G3962" t="s">
        <v>4150</v>
      </c>
    </row>
    <row r="3963" spans="7:7">
      <c r="G3963" t="s">
        <v>4151</v>
      </c>
    </row>
    <row r="3964" spans="7:7">
      <c r="G3964" t="s">
        <v>4152</v>
      </c>
    </row>
    <row r="3965" spans="7:7">
      <c r="G3965" t="s">
        <v>4153</v>
      </c>
    </row>
    <row r="3966" spans="7:7">
      <c r="G3966" t="s">
        <v>4154</v>
      </c>
    </row>
    <row r="3967" spans="7:7">
      <c r="G3967" t="s">
        <v>4155</v>
      </c>
    </row>
    <row r="3968" spans="7:7">
      <c r="G3968" t="s">
        <v>4156</v>
      </c>
    </row>
    <row r="3969" spans="7:7">
      <c r="G3969" t="s">
        <v>4157</v>
      </c>
    </row>
    <row r="3970" spans="7:7">
      <c r="G3970" t="s">
        <v>4158</v>
      </c>
    </row>
    <row r="3971" spans="7:7">
      <c r="G3971" t="s">
        <v>4159</v>
      </c>
    </row>
    <row r="3972" spans="7:7">
      <c r="G3972" t="s">
        <v>4160</v>
      </c>
    </row>
    <row r="3973" spans="7:7">
      <c r="G3973" t="s">
        <v>4161</v>
      </c>
    </row>
    <row r="3974" spans="7:7">
      <c r="G3974" t="s">
        <v>4162</v>
      </c>
    </row>
    <row r="3975" spans="7:7">
      <c r="G3975" t="s">
        <v>4163</v>
      </c>
    </row>
    <row r="3976" spans="7:7">
      <c r="G3976" t="s">
        <v>4164</v>
      </c>
    </row>
    <row r="3977" spans="7:7">
      <c r="G3977" t="s">
        <v>4165</v>
      </c>
    </row>
    <row r="3978" spans="7:7">
      <c r="G3978" t="s">
        <v>4166</v>
      </c>
    </row>
    <row r="3979" spans="7:7">
      <c r="G3979" t="s">
        <v>4167</v>
      </c>
    </row>
    <row r="3980" spans="7:7">
      <c r="G3980" t="s">
        <v>4168</v>
      </c>
    </row>
    <row r="3981" spans="7:7">
      <c r="G3981" t="s">
        <v>4169</v>
      </c>
    </row>
    <row r="3982" spans="7:7">
      <c r="G3982" t="s">
        <v>4170</v>
      </c>
    </row>
    <row r="3983" spans="7:7">
      <c r="G3983" t="s">
        <v>4171</v>
      </c>
    </row>
    <row r="3984" spans="7:7">
      <c r="G3984" t="s">
        <v>4172</v>
      </c>
    </row>
    <row r="3985" spans="7:7">
      <c r="G3985" t="s">
        <v>4173</v>
      </c>
    </row>
    <row r="3986" spans="7:7">
      <c r="G3986" t="s">
        <v>4174</v>
      </c>
    </row>
    <row r="3987" spans="7:7">
      <c r="G3987" t="s">
        <v>4175</v>
      </c>
    </row>
    <row r="3988" spans="7:7">
      <c r="G3988" t="s">
        <v>4176</v>
      </c>
    </row>
    <row r="3989" spans="7:7">
      <c r="G3989" t="s">
        <v>4177</v>
      </c>
    </row>
    <row r="3990" spans="7:7">
      <c r="G3990" t="s">
        <v>4178</v>
      </c>
    </row>
    <row r="3991" spans="7:7">
      <c r="G3991" t="s">
        <v>4179</v>
      </c>
    </row>
    <row r="3992" spans="7:7">
      <c r="G3992" t="s">
        <v>4180</v>
      </c>
    </row>
    <row r="3993" spans="7:7">
      <c r="G3993" t="s">
        <v>4181</v>
      </c>
    </row>
    <row r="3994" spans="7:7">
      <c r="G3994" t="s">
        <v>4182</v>
      </c>
    </row>
    <row r="3995" spans="7:7">
      <c r="G3995" t="s">
        <v>4183</v>
      </c>
    </row>
    <row r="3996" spans="7:7">
      <c r="G3996" t="s">
        <v>4184</v>
      </c>
    </row>
    <row r="3997" spans="7:7">
      <c r="G3997" t="s">
        <v>4185</v>
      </c>
    </row>
    <row r="3998" spans="7:7">
      <c r="G3998" t="s">
        <v>4186</v>
      </c>
    </row>
    <row r="3999" spans="7:7">
      <c r="G3999" t="s">
        <v>4187</v>
      </c>
    </row>
    <row r="4000" spans="7:7">
      <c r="G4000" t="s">
        <v>4188</v>
      </c>
    </row>
    <row r="4001" spans="7:7">
      <c r="G4001" t="s">
        <v>4189</v>
      </c>
    </row>
    <row r="4002" spans="7:7">
      <c r="G4002" t="s">
        <v>4190</v>
      </c>
    </row>
    <row r="4003" spans="7:7">
      <c r="G4003" t="s">
        <v>4191</v>
      </c>
    </row>
    <row r="4004" spans="7:7">
      <c r="G4004" t="s">
        <v>4192</v>
      </c>
    </row>
    <row r="4005" spans="7:7">
      <c r="G4005" t="s">
        <v>4193</v>
      </c>
    </row>
    <row r="4006" spans="7:7">
      <c r="G4006" t="s">
        <v>4194</v>
      </c>
    </row>
    <row r="4007" spans="7:7">
      <c r="G4007" t="s">
        <v>4195</v>
      </c>
    </row>
    <row r="4008" spans="7:7">
      <c r="G4008" t="s">
        <v>4196</v>
      </c>
    </row>
    <row r="4009" spans="7:7">
      <c r="G4009" t="s">
        <v>4197</v>
      </c>
    </row>
    <row r="4010" spans="7:7">
      <c r="G4010" t="s">
        <v>4198</v>
      </c>
    </row>
    <row r="4011" spans="7:7">
      <c r="G4011" t="s">
        <v>4199</v>
      </c>
    </row>
    <row r="4012" spans="7:7">
      <c r="G4012" t="s">
        <v>4200</v>
      </c>
    </row>
    <row r="4013" spans="7:7">
      <c r="G4013" t="s">
        <v>4201</v>
      </c>
    </row>
    <row r="4014" spans="7:7">
      <c r="G4014" t="s">
        <v>4202</v>
      </c>
    </row>
    <row r="4015" spans="7:7">
      <c r="G4015" t="s">
        <v>4203</v>
      </c>
    </row>
    <row r="4016" spans="7:7">
      <c r="G4016" t="s">
        <v>4204</v>
      </c>
    </row>
    <row r="4017" spans="7:7">
      <c r="G4017" t="s">
        <v>4205</v>
      </c>
    </row>
    <row r="4018" spans="7:7">
      <c r="G4018" t="s">
        <v>4206</v>
      </c>
    </row>
    <row r="4019" spans="7:7">
      <c r="G4019" t="s">
        <v>4207</v>
      </c>
    </row>
    <row r="4020" spans="7:7">
      <c r="G4020" t="s">
        <v>4208</v>
      </c>
    </row>
    <row r="4021" spans="7:7">
      <c r="G4021" t="s">
        <v>4209</v>
      </c>
    </row>
    <row r="4022" spans="7:7">
      <c r="G4022" t="s">
        <v>4210</v>
      </c>
    </row>
    <row r="4023" spans="7:7">
      <c r="G4023" t="s">
        <v>4211</v>
      </c>
    </row>
    <row r="4024" spans="7:7">
      <c r="G4024" t="s">
        <v>4212</v>
      </c>
    </row>
    <row r="4025" spans="7:7">
      <c r="G4025" t="s">
        <v>4213</v>
      </c>
    </row>
    <row r="4026" spans="7:7">
      <c r="G4026" t="s">
        <v>4214</v>
      </c>
    </row>
    <row r="4027" spans="7:7">
      <c r="G4027" t="s">
        <v>4215</v>
      </c>
    </row>
    <row r="4028" spans="7:7">
      <c r="G4028" t="s">
        <v>4216</v>
      </c>
    </row>
    <row r="4029" spans="7:7">
      <c r="G4029" t="s">
        <v>4217</v>
      </c>
    </row>
    <row r="4030" spans="7:7">
      <c r="G4030" t="s">
        <v>4218</v>
      </c>
    </row>
    <row r="4031" spans="7:7">
      <c r="G4031" t="s">
        <v>4219</v>
      </c>
    </row>
    <row r="4032" spans="7:7">
      <c r="G4032" t="s">
        <v>4220</v>
      </c>
    </row>
    <row r="4033" spans="7:7">
      <c r="G4033" t="s">
        <v>4221</v>
      </c>
    </row>
    <row r="4034" spans="7:7">
      <c r="G4034" t="s">
        <v>4222</v>
      </c>
    </row>
    <row r="4035" spans="7:7">
      <c r="G4035" t="s">
        <v>4223</v>
      </c>
    </row>
    <row r="4036" spans="7:7">
      <c r="G4036" t="s">
        <v>4224</v>
      </c>
    </row>
    <row r="4037" spans="7:7">
      <c r="G4037" t="s">
        <v>4225</v>
      </c>
    </row>
    <row r="4038" spans="7:7">
      <c r="G4038" t="s">
        <v>4226</v>
      </c>
    </row>
    <row r="4039" spans="7:7">
      <c r="G4039" t="s">
        <v>4227</v>
      </c>
    </row>
    <row r="4040" spans="7:7">
      <c r="G4040" t="s">
        <v>4228</v>
      </c>
    </row>
    <row r="4041" spans="7:7">
      <c r="G4041" t="s">
        <v>4229</v>
      </c>
    </row>
    <row r="4042" spans="7:7">
      <c r="G4042" t="s">
        <v>4230</v>
      </c>
    </row>
    <row r="4043" spans="7:7">
      <c r="G4043" t="s">
        <v>4231</v>
      </c>
    </row>
    <row r="4044" spans="7:7">
      <c r="G4044" t="s">
        <v>4232</v>
      </c>
    </row>
    <row r="4045" spans="7:7">
      <c r="G4045" t="s">
        <v>4233</v>
      </c>
    </row>
    <row r="4046" spans="7:7">
      <c r="G4046" t="s">
        <v>4234</v>
      </c>
    </row>
    <row r="4047" spans="7:7">
      <c r="G4047" t="s">
        <v>4235</v>
      </c>
    </row>
    <row r="4048" spans="7:7">
      <c r="G4048" t="s">
        <v>4236</v>
      </c>
    </row>
    <row r="4049" spans="7:7">
      <c r="G4049" t="s">
        <v>4237</v>
      </c>
    </row>
    <row r="4050" spans="7:7">
      <c r="G4050" t="s">
        <v>4238</v>
      </c>
    </row>
    <row r="4051" spans="7:7">
      <c r="G4051" t="s">
        <v>4239</v>
      </c>
    </row>
    <row r="4052" spans="7:7">
      <c r="G4052" t="s">
        <v>4240</v>
      </c>
    </row>
    <row r="4053" spans="7:7">
      <c r="G4053" t="s">
        <v>4241</v>
      </c>
    </row>
    <row r="4054" spans="7:7">
      <c r="G4054" t="s">
        <v>4242</v>
      </c>
    </row>
    <row r="4055" spans="7:7">
      <c r="G4055" t="s">
        <v>4243</v>
      </c>
    </row>
    <row r="4056" spans="7:7">
      <c r="G4056" t="s">
        <v>4244</v>
      </c>
    </row>
    <row r="4057" spans="7:7">
      <c r="G4057" t="s">
        <v>4245</v>
      </c>
    </row>
    <row r="4058" spans="7:7">
      <c r="G4058" t="s">
        <v>4246</v>
      </c>
    </row>
    <row r="4059" spans="7:7">
      <c r="G4059" t="s">
        <v>4247</v>
      </c>
    </row>
    <row r="4060" spans="7:7">
      <c r="G4060" t="s">
        <v>4248</v>
      </c>
    </row>
    <row r="4061" spans="7:7">
      <c r="G4061" t="s">
        <v>4249</v>
      </c>
    </row>
    <row r="4062" spans="7:7">
      <c r="G4062" t="s">
        <v>4250</v>
      </c>
    </row>
    <row r="4063" spans="7:7">
      <c r="G4063" t="s">
        <v>4251</v>
      </c>
    </row>
    <row r="4064" spans="7:7">
      <c r="G4064" t="s">
        <v>4252</v>
      </c>
    </row>
    <row r="4065" spans="7:7">
      <c r="G4065" t="s">
        <v>4253</v>
      </c>
    </row>
    <row r="4066" spans="7:7">
      <c r="G4066" t="s">
        <v>4254</v>
      </c>
    </row>
    <row r="4067" spans="7:7">
      <c r="G4067" t="s">
        <v>4255</v>
      </c>
    </row>
    <row r="4068" spans="7:7">
      <c r="G4068" t="s">
        <v>4256</v>
      </c>
    </row>
    <row r="4069" spans="7:7">
      <c r="G4069" t="s">
        <v>4257</v>
      </c>
    </row>
    <row r="4070" spans="7:7">
      <c r="G4070" t="s">
        <v>4258</v>
      </c>
    </row>
    <row r="4071" spans="7:7">
      <c r="G4071" t="s">
        <v>4259</v>
      </c>
    </row>
    <row r="4072" spans="7:7">
      <c r="G4072" t="s">
        <v>4260</v>
      </c>
    </row>
    <row r="4073" spans="7:7">
      <c r="G4073" t="s">
        <v>4261</v>
      </c>
    </row>
    <row r="4074" spans="7:7">
      <c r="G4074" t="s">
        <v>4262</v>
      </c>
    </row>
    <row r="4075" spans="7:7">
      <c r="G4075" t="s">
        <v>4263</v>
      </c>
    </row>
    <row r="4076" spans="7:7">
      <c r="G4076" t="s">
        <v>4264</v>
      </c>
    </row>
    <row r="4077" spans="7:7">
      <c r="G4077" t="s">
        <v>4265</v>
      </c>
    </row>
    <row r="4078" spans="7:7">
      <c r="G4078" t="s">
        <v>4266</v>
      </c>
    </row>
    <row r="4079" spans="7:7">
      <c r="G4079" t="s">
        <v>4267</v>
      </c>
    </row>
    <row r="4080" spans="7:7">
      <c r="G4080" t="s">
        <v>4268</v>
      </c>
    </row>
    <row r="4081" spans="7:7">
      <c r="G4081" t="s">
        <v>4269</v>
      </c>
    </row>
    <row r="4082" spans="7:7">
      <c r="G4082" t="s">
        <v>4270</v>
      </c>
    </row>
    <row r="4083" spans="7:7">
      <c r="G4083" t="s">
        <v>4271</v>
      </c>
    </row>
    <row r="4084" spans="7:7">
      <c r="G4084" t="s">
        <v>4272</v>
      </c>
    </row>
    <row r="4085" spans="7:7">
      <c r="G4085" t="s">
        <v>4273</v>
      </c>
    </row>
    <row r="4086" spans="7:7">
      <c r="G4086" t="s">
        <v>4274</v>
      </c>
    </row>
    <row r="4087" spans="7:7">
      <c r="G4087" t="s">
        <v>4275</v>
      </c>
    </row>
    <row r="4088" spans="7:7">
      <c r="G4088" t="s">
        <v>4276</v>
      </c>
    </row>
    <row r="4089" spans="7:7">
      <c r="G4089" t="s">
        <v>4277</v>
      </c>
    </row>
    <row r="4090" spans="7:7">
      <c r="G4090" t="s">
        <v>4278</v>
      </c>
    </row>
    <row r="4091" spans="7:7">
      <c r="G4091" t="s">
        <v>4279</v>
      </c>
    </row>
    <row r="4092" spans="7:7">
      <c r="G4092" t="s">
        <v>4280</v>
      </c>
    </row>
    <row r="4093" spans="7:7">
      <c r="G4093" t="s">
        <v>4281</v>
      </c>
    </row>
    <row r="4094" spans="7:7">
      <c r="G4094" t="s">
        <v>4282</v>
      </c>
    </row>
    <row r="4095" spans="7:7">
      <c r="G4095" t="s">
        <v>4283</v>
      </c>
    </row>
    <row r="4096" spans="7:7">
      <c r="G4096" t="s">
        <v>4284</v>
      </c>
    </row>
    <row r="4097" spans="7:7">
      <c r="G4097" t="s">
        <v>4285</v>
      </c>
    </row>
    <row r="4098" spans="7:7">
      <c r="G4098" t="s">
        <v>4286</v>
      </c>
    </row>
    <row r="4099" spans="7:7">
      <c r="G4099" t="s">
        <v>4287</v>
      </c>
    </row>
    <row r="4100" spans="7:7">
      <c r="G4100" t="s">
        <v>4288</v>
      </c>
    </row>
    <row r="4101" spans="7:7">
      <c r="G4101" t="s">
        <v>4289</v>
      </c>
    </row>
    <row r="4102" spans="7:7">
      <c r="G4102" t="s">
        <v>4290</v>
      </c>
    </row>
    <row r="4103" spans="7:7">
      <c r="G4103" t="s">
        <v>4291</v>
      </c>
    </row>
    <row r="4104" spans="7:7">
      <c r="G4104" t="s">
        <v>4292</v>
      </c>
    </row>
    <row r="4105" spans="7:7">
      <c r="G4105" t="s">
        <v>4293</v>
      </c>
    </row>
    <row r="4106" spans="7:7">
      <c r="G4106" t="s">
        <v>4294</v>
      </c>
    </row>
    <row r="4107" spans="7:7">
      <c r="G4107" t="s">
        <v>4295</v>
      </c>
    </row>
    <row r="4108" spans="7:7">
      <c r="G4108" t="s">
        <v>4296</v>
      </c>
    </row>
    <row r="4109" spans="7:7">
      <c r="G4109" t="s">
        <v>4297</v>
      </c>
    </row>
    <row r="4110" spans="7:7">
      <c r="G4110" t="s">
        <v>4298</v>
      </c>
    </row>
    <row r="4111" spans="7:7">
      <c r="G4111" t="s">
        <v>4299</v>
      </c>
    </row>
    <row r="4112" spans="7:7">
      <c r="G4112" t="s">
        <v>4300</v>
      </c>
    </row>
    <row r="4113" spans="7:7">
      <c r="G4113" t="s">
        <v>4301</v>
      </c>
    </row>
    <row r="4114" spans="7:7">
      <c r="G4114" t="s">
        <v>4302</v>
      </c>
    </row>
    <row r="4115" spans="7:7">
      <c r="G4115" t="s">
        <v>4303</v>
      </c>
    </row>
    <row r="4116" spans="7:7">
      <c r="G4116" t="s">
        <v>4304</v>
      </c>
    </row>
    <row r="4117" spans="7:7">
      <c r="G4117" t="s">
        <v>4305</v>
      </c>
    </row>
    <row r="4118" spans="7:7">
      <c r="G4118" t="s">
        <v>4306</v>
      </c>
    </row>
    <row r="4119" spans="7:7">
      <c r="G4119" t="s">
        <v>4307</v>
      </c>
    </row>
    <row r="4120" spans="7:7">
      <c r="G4120" t="s">
        <v>4308</v>
      </c>
    </row>
    <row r="4121" spans="7:7">
      <c r="G4121" t="s">
        <v>4309</v>
      </c>
    </row>
    <row r="4122" spans="7:7">
      <c r="G4122" t="s">
        <v>4310</v>
      </c>
    </row>
    <row r="4123" spans="7:7">
      <c r="G4123" t="s">
        <v>4311</v>
      </c>
    </row>
    <row r="4124" spans="7:7">
      <c r="G4124" t="s">
        <v>4312</v>
      </c>
    </row>
    <row r="4125" spans="7:7">
      <c r="G4125" t="s">
        <v>4313</v>
      </c>
    </row>
    <row r="4126" spans="7:7">
      <c r="G4126" t="s">
        <v>4314</v>
      </c>
    </row>
    <row r="4127" spans="7:7">
      <c r="G4127" t="s">
        <v>4315</v>
      </c>
    </row>
    <row r="4128" spans="7:7">
      <c r="G4128" t="s">
        <v>4316</v>
      </c>
    </row>
    <row r="4129" spans="7:7">
      <c r="G4129" t="s">
        <v>4317</v>
      </c>
    </row>
    <row r="4130" spans="7:7">
      <c r="G4130" t="s">
        <v>4318</v>
      </c>
    </row>
    <row r="4131" spans="7:7">
      <c r="G4131" t="s">
        <v>4319</v>
      </c>
    </row>
    <row r="4132" spans="7:7">
      <c r="G4132" t="s">
        <v>4320</v>
      </c>
    </row>
    <row r="4133" spans="7:7">
      <c r="G4133" t="s">
        <v>4321</v>
      </c>
    </row>
    <row r="4134" spans="7:7">
      <c r="G4134" t="s">
        <v>4322</v>
      </c>
    </row>
    <row r="4135" spans="7:7">
      <c r="G4135" t="s">
        <v>4323</v>
      </c>
    </row>
    <row r="4136" spans="7:7">
      <c r="G4136" t="s">
        <v>4324</v>
      </c>
    </row>
    <row r="4137" spans="7:7">
      <c r="G4137" t="s">
        <v>4325</v>
      </c>
    </row>
    <row r="4138" spans="7:7">
      <c r="G4138" t="s">
        <v>4326</v>
      </c>
    </row>
    <row r="4139" spans="7:7">
      <c r="G4139" t="s">
        <v>4327</v>
      </c>
    </row>
    <row r="4140" spans="7:7">
      <c r="G4140" t="s">
        <v>4328</v>
      </c>
    </row>
    <row r="4141" spans="7:7">
      <c r="G4141" t="s">
        <v>4329</v>
      </c>
    </row>
    <row r="4142" spans="7:7">
      <c r="G4142" t="s">
        <v>4330</v>
      </c>
    </row>
    <row r="4143" spans="7:7">
      <c r="G4143" t="s">
        <v>4331</v>
      </c>
    </row>
    <row r="4144" spans="7:7">
      <c r="G4144" t="s">
        <v>4332</v>
      </c>
    </row>
    <row r="4145" spans="7:7">
      <c r="G4145" t="s">
        <v>4333</v>
      </c>
    </row>
    <row r="4146" spans="7:7">
      <c r="G4146" t="s">
        <v>4334</v>
      </c>
    </row>
    <row r="4147" spans="7:7">
      <c r="G4147" t="s">
        <v>4335</v>
      </c>
    </row>
    <row r="4148" spans="7:7">
      <c r="G4148" t="s">
        <v>4336</v>
      </c>
    </row>
    <row r="4149" spans="7:7">
      <c r="G4149" t="s">
        <v>4337</v>
      </c>
    </row>
    <row r="4150" spans="7:7">
      <c r="G4150" t="s">
        <v>4338</v>
      </c>
    </row>
    <row r="4151" spans="7:7">
      <c r="G4151" t="s">
        <v>4339</v>
      </c>
    </row>
    <row r="4152" spans="7:7">
      <c r="G4152" t="s">
        <v>4340</v>
      </c>
    </row>
    <row r="4153" spans="7:7">
      <c r="G4153" t="s">
        <v>4341</v>
      </c>
    </row>
    <row r="4154" spans="7:7">
      <c r="G4154" t="s">
        <v>4342</v>
      </c>
    </row>
    <row r="4155" spans="7:7">
      <c r="G4155" t="s">
        <v>4343</v>
      </c>
    </row>
    <row r="4156" spans="7:7">
      <c r="G4156" t="s">
        <v>4344</v>
      </c>
    </row>
    <row r="4157" spans="7:7">
      <c r="G4157" t="s">
        <v>4345</v>
      </c>
    </row>
    <row r="4158" spans="7:7">
      <c r="G4158" t="s">
        <v>4346</v>
      </c>
    </row>
    <row r="4159" spans="7:7">
      <c r="G4159" t="s">
        <v>4347</v>
      </c>
    </row>
    <row r="4160" spans="7:7">
      <c r="G4160" t="s">
        <v>4348</v>
      </c>
    </row>
    <row r="4161" spans="7:7">
      <c r="G4161" t="s">
        <v>4349</v>
      </c>
    </row>
    <row r="4162" spans="7:7">
      <c r="G4162" t="s">
        <v>4350</v>
      </c>
    </row>
    <row r="4163" spans="7:7">
      <c r="G4163" t="s">
        <v>4351</v>
      </c>
    </row>
    <row r="4164" spans="7:7">
      <c r="G4164" t="s">
        <v>4352</v>
      </c>
    </row>
    <row r="4165" spans="7:7">
      <c r="G4165" t="s">
        <v>4353</v>
      </c>
    </row>
    <row r="4166" spans="7:7">
      <c r="G4166" t="s">
        <v>4354</v>
      </c>
    </row>
    <row r="4167" spans="7:7">
      <c r="G4167" t="s">
        <v>4355</v>
      </c>
    </row>
    <row r="4168" spans="7:7">
      <c r="G4168" t="s">
        <v>4356</v>
      </c>
    </row>
    <row r="4169" spans="7:7">
      <c r="G4169" t="s">
        <v>4357</v>
      </c>
    </row>
    <row r="4170" spans="7:7">
      <c r="G4170" t="s">
        <v>4358</v>
      </c>
    </row>
    <row r="4171" spans="7:7">
      <c r="G4171" t="s">
        <v>4359</v>
      </c>
    </row>
    <row r="4172" spans="7:7">
      <c r="G4172" t="s">
        <v>4360</v>
      </c>
    </row>
    <row r="4173" spans="7:7">
      <c r="G4173" t="s">
        <v>4361</v>
      </c>
    </row>
    <row r="4174" spans="7:7">
      <c r="G4174" t="s">
        <v>4362</v>
      </c>
    </row>
    <row r="4175" spans="7:7">
      <c r="G4175" t="s">
        <v>4363</v>
      </c>
    </row>
    <row r="4176" spans="7:7">
      <c r="G4176" t="s">
        <v>4364</v>
      </c>
    </row>
    <row r="4177" spans="7:7">
      <c r="G4177" t="s">
        <v>4365</v>
      </c>
    </row>
    <row r="4178" spans="7:7">
      <c r="G4178" t="s">
        <v>4366</v>
      </c>
    </row>
    <row r="4179" spans="7:7">
      <c r="G4179" t="s">
        <v>4367</v>
      </c>
    </row>
    <row r="4180" spans="7:7">
      <c r="G4180" t="s">
        <v>4368</v>
      </c>
    </row>
    <row r="4181" spans="7:7">
      <c r="G4181" t="s">
        <v>4369</v>
      </c>
    </row>
    <row r="4182" spans="7:7">
      <c r="G4182" t="s">
        <v>4370</v>
      </c>
    </row>
    <row r="4183" spans="7:7">
      <c r="G4183" t="s">
        <v>4371</v>
      </c>
    </row>
    <row r="4184" spans="7:7">
      <c r="G4184" t="s">
        <v>4372</v>
      </c>
    </row>
    <row r="4185" spans="7:7">
      <c r="G4185" t="s">
        <v>4373</v>
      </c>
    </row>
    <row r="4186" spans="7:7">
      <c r="G4186" t="s">
        <v>4374</v>
      </c>
    </row>
    <row r="4187" spans="7:7">
      <c r="G4187" t="s">
        <v>4375</v>
      </c>
    </row>
    <row r="4188" spans="7:7">
      <c r="G4188" t="s">
        <v>4376</v>
      </c>
    </row>
    <row r="4189" spans="7:7">
      <c r="G4189" t="s">
        <v>4377</v>
      </c>
    </row>
    <row r="4190" spans="7:7">
      <c r="G4190" t="s">
        <v>4378</v>
      </c>
    </row>
    <row r="4191" spans="7:7">
      <c r="G4191" t="s">
        <v>4379</v>
      </c>
    </row>
    <row r="4192" spans="7:7">
      <c r="G4192" t="s">
        <v>4380</v>
      </c>
    </row>
    <row r="4193" spans="7:7">
      <c r="G4193" t="s">
        <v>4381</v>
      </c>
    </row>
    <row r="4194" spans="7:7">
      <c r="G4194" t="s">
        <v>4382</v>
      </c>
    </row>
    <row r="4195" spans="7:7">
      <c r="G4195" t="s">
        <v>4383</v>
      </c>
    </row>
    <row r="4196" spans="7:7">
      <c r="G4196" t="s">
        <v>4384</v>
      </c>
    </row>
    <row r="4197" spans="7:7">
      <c r="G4197" t="s">
        <v>4385</v>
      </c>
    </row>
    <row r="4198" spans="7:7">
      <c r="G4198" t="s">
        <v>4386</v>
      </c>
    </row>
    <row r="4199" spans="7:7">
      <c r="G4199" t="s">
        <v>4387</v>
      </c>
    </row>
    <row r="4200" spans="7:7">
      <c r="G4200" t="s">
        <v>4388</v>
      </c>
    </row>
    <row r="4201" spans="7:7">
      <c r="G4201" t="s">
        <v>4389</v>
      </c>
    </row>
    <row r="4202" spans="7:7">
      <c r="G4202" t="s">
        <v>4390</v>
      </c>
    </row>
    <row r="4203" spans="7:7">
      <c r="G4203" t="s">
        <v>4391</v>
      </c>
    </row>
    <row r="4204" spans="7:7">
      <c r="G4204" t="s">
        <v>4392</v>
      </c>
    </row>
    <row r="4205" spans="7:7">
      <c r="G4205" t="s">
        <v>4393</v>
      </c>
    </row>
    <row r="4206" spans="7:7">
      <c r="G4206" t="s">
        <v>4394</v>
      </c>
    </row>
    <row r="4207" spans="7:7">
      <c r="G4207" t="s">
        <v>4395</v>
      </c>
    </row>
    <row r="4208" spans="7:7">
      <c r="G4208" t="s">
        <v>4396</v>
      </c>
    </row>
    <row r="4209" spans="7:7">
      <c r="G4209" t="s">
        <v>4397</v>
      </c>
    </row>
    <row r="4210" spans="7:7">
      <c r="G4210" t="s">
        <v>4398</v>
      </c>
    </row>
    <row r="4211" spans="7:7">
      <c r="G4211" t="s">
        <v>4399</v>
      </c>
    </row>
    <row r="4212" spans="7:7">
      <c r="G4212" t="s">
        <v>4400</v>
      </c>
    </row>
    <row r="4213" spans="7:7">
      <c r="G4213" t="s">
        <v>4401</v>
      </c>
    </row>
    <row r="4214" spans="7:7">
      <c r="G4214" t="s">
        <v>4402</v>
      </c>
    </row>
    <row r="4215" spans="7:7">
      <c r="G4215" t="s">
        <v>4403</v>
      </c>
    </row>
    <row r="4216" spans="7:7">
      <c r="G4216" t="s">
        <v>4404</v>
      </c>
    </row>
    <row r="4217" spans="7:7">
      <c r="G4217" t="s">
        <v>4405</v>
      </c>
    </row>
    <row r="4218" spans="7:7">
      <c r="G4218" t="s">
        <v>4406</v>
      </c>
    </row>
    <row r="4219" spans="7:7">
      <c r="G4219" t="s">
        <v>4407</v>
      </c>
    </row>
    <row r="4220" spans="7:7">
      <c r="G4220" t="s">
        <v>4408</v>
      </c>
    </row>
    <row r="4221" spans="7:7">
      <c r="G4221" t="s">
        <v>4409</v>
      </c>
    </row>
    <row r="4222" spans="7:7">
      <c r="G4222" t="s">
        <v>4410</v>
      </c>
    </row>
    <row r="4223" spans="7:7">
      <c r="G4223" t="s">
        <v>4411</v>
      </c>
    </row>
    <row r="4224" spans="7:7">
      <c r="G4224" t="s">
        <v>4412</v>
      </c>
    </row>
    <row r="4225" spans="7:7">
      <c r="G4225" t="s">
        <v>4413</v>
      </c>
    </row>
    <row r="4226" spans="7:7">
      <c r="G4226" t="s">
        <v>4414</v>
      </c>
    </row>
    <row r="4227" spans="7:7">
      <c r="G4227" t="s">
        <v>4415</v>
      </c>
    </row>
    <row r="4228" spans="7:7">
      <c r="G4228" t="s">
        <v>4416</v>
      </c>
    </row>
    <row r="4229" spans="7:7">
      <c r="G4229" t="s">
        <v>4417</v>
      </c>
    </row>
    <row r="4230" spans="7:7">
      <c r="G4230" t="s">
        <v>4418</v>
      </c>
    </row>
    <row r="4231" spans="7:7">
      <c r="G4231" t="s">
        <v>4419</v>
      </c>
    </row>
    <row r="4232" spans="7:7">
      <c r="G4232" t="s">
        <v>4420</v>
      </c>
    </row>
    <row r="4233" spans="7:7">
      <c r="G4233" t="s">
        <v>4421</v>
      </c>
    </row>
    <row r="4234" spans="7:7">
      <c r="G4234" t="s">
        <v>4422</v>
      </c>
    </row>
    <row r="4235" spans="7:7">
      <c r="G4235" t="s">
        <v>4423</v>
      </c>
    </row>
    <row r="4236" spans="7:7">
      <c r="G4236" t="s">
        <v>4424</v>
      </c>
    </row>
    <row r="4237" spans="7:7">
      <c r="G4237" t="s">
        <v>4425</v>
      </c>
    </row>
    <row r="4238" spans="7:7">
      <c r="G4238" t="s">
        <v>4426</v>
      </c>
    </row>
    <row r="4239" spans="7:7">
      <c r="G4239" t="s">
        <v>4427</v>
      </c>
    </row>
    <row r="4240" spans="7:7">
      <c r="G4240" t="s">
        <v>4428</v>
      </c>
    </row>
    <row r="4241" spans="7:7">
      <c r="G4241" t="s">
        <v>4429</v>
      </c>
    </row>
    <row r="4242" spans="7:7">
      <c r="G4242" t="s">
        <v>4430</v>
      </c>
    </row>
    <row r="4243" spans="7:7">
      <c r="G4243" t="s">
        <v>4431</v>
      </c>
    </row>
    <row r="4244" spans="7:7">
      <c r="G4244" t="s">
        <v>4432</v>
      </c>
    </row>
    <row r="4245" spans="7:7">
      <c r="G4245" t="s">
        <v>4433</v>
      </c>
    </row>
    <row r="4246" spans="7:7">
      <c r="G4246" t="s">
        <v>4434</v>
      </c>
    </row>
    <row r="4247" spans="7:7">
      <c r="G4247" t="s">
        <v>4435</v>
      </c>
    </row>
    <row r="4248" spans="7:7">
      <c r="G4248" t="s">
        <v>4436</v>
      </c>
    </row>
    <row r="4249" spans="7:7">
      <c r="G4249" t="s">
        <v>4437</v>
      </c>
    </row>
    <row r="4250" spans="7:7">
      <c r="G4250" t="s">
        <v>4438</v>
      </c>
    </row>
    <row r="4251" spans="7:7">
      <c r="G4251" t="s">
        <v>4439</v>
      </c>
    </row>
    <row r="4252" spans="7:7">
      <c r="G4252" t="s">
        <v>4440</v>
      </c>
    </row>
    <row r="4253" spans="7:7">
      <c r="G4253" t="s">
        <v>4441</v>
      </c>
    </row>
    <row r="4254" spans="7:7">
      <c r="G4254" t="s">
        <v>4442</v>
      </c>
    </row>
    <row r="4255" spans="7:7">
      <c r="G4255" t="s">
        <v>4443</v>
      </c>
    </row>
    <row r="4256" spans="7:7">
      <c r="G4256" t="s">
        <v>4444</v>
      </c>
    </row>
    <row r="4257" spans="7:7">
      <c r="G4257" t="s">
        <v>4445</v>
      </c>
    </row>
    <row r="4258" spans="7:7">
      <c r="G4258" t="s">
        <v>4446</v>
      </c>
    </row>
    <row r="4259" spans="7:7">
      <c r="G4259" t="s">
        <v>4447</v>
      </c>
    </row>
    <row r="4260" spans="7:7">
      <c r="G4260" t="s">
        <v>4448</v>
      </c>
    </row>
    <row r="4261" spans="7:7">
      <c r="G4261" t="s">
        <v>4449</v>
      </c>
    </row>
    <row r="4262" spans="7:7">
      <c r="G4262" t="s">
        <v>4450</v>
      </c>
    </row>
    <row r="4263" spans="7:7">
      <c r="G4263" t="s">
        <v>4451</v>
      </c>
    </row>
    <row r="4264" spans="7:7">
      <c r="G4264" t="s">
        <v>4452</v>
      </c>
    </row>
    <row r="4265" spans="7:7">
      <c r="G4265" t="s">
        <v>4453</v>
      </c>
    </row>
    <row r="4266" spans="7:7">
      <c r="G4266" t="s">
        <v>4454</v>
      </c>
    </row>
    <row r="4267" spans="7:7">
      <c r="G4267" t="s">
        <v>4455</v>
      </c>
    </row>
    <row r="4268" spans="7:7">
      <c r="G4268" t="s">
        <v>4456</v>
      </c>
    </row>
    <row r="4269" spans="7:7">
      <c r="G4269" t="s">
        <v>4457</v>
      </c>
    </row>
    <row r="4270" spans="7:7">
      <c r="G4270" t="s">
        <v>4458</v>
      </c>
    </row>
    <row r="4271" spans="7:7">
      <c r="G4271" t="s">
        <v>4459</v>
      </c>
    </row>
    <row r="4272" spans="7:7">
      <c r="G4272" t="s">
        <v>4460</v>
      </c>
    </row>
    <row r="4273" spans="7:7">
      <c r="G4273" t="s">
        <v>4461</v>
      </c>
    </row>
    <row r="4274" spans="7:7">
      <c r="G4274" t="s">
        <v>4462</v>
      </c>
    </row>
    <row r="4275" spans="7:7">
      <c r="G4275" t="s">
        <v>4463</v>
      </c>
    </row>
    <row r="4276" spans="7:7">
      <c r="G4276" t="s">
        <v>4464</v>
      </c>
    </row>
    <row r="4277" spans="7:7">
      <c r="G4277" t="s">
        <v>4465</v>
      </c>
    </row>
    <row r="4278" spans="7:7">
      <c r="G4278" t="s">
        <v>4466</v>
      </c>
    </row>
    <row r="4279" spans="7:7">
      <c r="G4279" t="s">
        <v>4467</v>
      </c>
    </row>
    <row r="4280" spans="7:7">
      <c r="G4280" t="s">
        <v>4468</v>
      </c>
    </row>
    <row r="4281" spans="7:7">
      <c r="G4281" t="s">
        <v>4469</v>
      </c>
    </row>
    <row r="4282" spans="7:7">
      <c r="G4282" t="s">
        <v>4470</v>
      </c>
    </row>
    <row r="4283" spans="7:7">
      <c r="G4283" t="s">
        <v>4471</v>
      </c>
    </row>
    <row r="4284" spans="7:7">
      <c r="G4284" t="s">
        <v>4472</v>
      </c>
    </row>
    <row r="4285" spans="7:7">
      <c r="G4285" t="s">
        <v>4473</v>
      </c>
    </row>
    <row r="4286" spans="7:7">
      <c r="G4286" t="s">
        <v>4474</v>
      </c>
    </row>
    <row r="4287" spans="7:7">
      <c r="G4287" t="s">
        <v>4475</v>
      </c>
    </row>
    <row r="4288" spans="7:7">
      <c r="G4288" t="s">
        <v>4476</v>
      </c>
    </row>
    <row r="4289" spans="7:7">
      <c r="G4289" t="s">
        <v>4477</v>
      </c>
    </row>
    <row r="4290" spans="7:7">
      <c r="G4290" t="s">
        <v>4478</v>
      </c>
    </row>
    <row r="4291" spans="7:7">
      <c r="G4291" t="s">
        <v>4479</v>
      </c>
    </row>
    <row r="4292" spans="7:7">
      <c r="G4292" t="s">
        <v>4480</v>
      </c>
    </row>
    <row r="4293" spans="7:7">
      <c r="G4293" t="s">
        <v>4481</v>
      </c>
    </row>
    <row r="4294" spans="7:7">
      <c r="G4294" t="s">
        <v>4482</v>
      </c>
    </row>
    <row r="4295" spans="7:7">
      <c r="G4295" t="s">
        <v>4483</v>
      </c>
    </row>
    <row r="4296" spans="7:7">
      <c r="G4296" t="s">
        <v>4484</v>
      </c>
    </row>
    <row r="4297" spans="7:7">
      <c r="G4297" t="s">
        <v>4485</v>
      </c>
    </row>
    <row r="4298" spans="7:7">
      <c r="G4298" t="s">
        <v>4486</v>
      </c>
    </row>
    <row r="4299" spans="7:7">
      <c r="G4299" t="s">
        <v>4487</v>
      </c>
    </row>
    <row r="4300" spans="7:7">
      <c r="G4300" t="s">
        <v>4488</v>
      </c>
    </row>
    <row r="4301" spans="7:7">
      <c r="G4301" t="s">
        <v>4489</v>
      </c>
    </row>
    <row r="4302" spans="7:7">
      <c r="G4302" t="s">
        <v>4490</v>
      </c>
    </row>
    <row r="4303" spans="7:7">
      <c r="G4303" t="s">
        <v>4491</v>
      </c>
    </row>
    <row r="4304" spans="7:7">
      <c r="G4304" t="s">
        <v>4492</v>
      </c>
    </row>
    <row r="4305" spans="7:7">
      <c r="G4305" t="s">
        <v>4493</v>
      </c>
    </row>
    <row r="4306" spans="7:7">
      <c r="G4306" t="s">
        <v>4494</v>
      </c>
    </row>
    <row r="4307" spans="7:7">
      <c r="G4307" t="s">
        <v>4495</v>
      </c>
    </row>
    <row r="4308" spans="7:7">
      <c r="G4308" t="s">
        <v>4496</v>
      </c>
    </row>
    <row r="4309" spans="7:7">
      <c r="G4309" t="s">
        <v>4497</v>
      </c>
    </row>
    <row r="4310" spans="7:7">
      <c r="G4310" t="s">
        <v>4498</v>
      </c>
    </row>
    <row r="4311" spans="7:7">
      <c r="G4311" t="s">
        <v>4499</v>
      </c>
    </row>
    <row r="4312" spans="7:7">
      <c r="G4312" t="s">
        <v>4500</v>
      </c>
    </row>
    <row r="4313" spans="7:7">
      <c r="G4313" t="s">
        <v>4501</v>
      </c>
    </row>
    <row r="4314" spans="7:7">
      <c r="G4314" t="s">
        <v>4502</v>
      </c>
    </row>
    <row r="4315" spans="7:7">
      <c r="G4315" t="s">
        <v>4503</v>
      </c>
    </row>
    <row r="4316" spans="7:7">
      <c r="G4316" t="s">
        <v>4504</v>
      </c>
    </row>
    <row r="4317" spans="7:7">
      <c r="G4317" t="s">
        <v>4505</v>
      </c>
    </row>
    <row r="4318" spans="7:7">
      <c r="G4318" t="s">
        <v>4506</v>
      </c>
    </row>
    <row r="4319" spans="7:7">
      <c r="G4319" t="s">
        <v>4507</v>
      </c>
    </row>
    <row r="4320" spans="7:7">
      <c r="G4320" t="s">
        <v>4508</v>
      </c>
    </row>
    <row r="4321" spans="7:7">
      <c r="G4321" t="s">
        <v>4509</v>
      </c>
    </row>
    <row r="4322" spans="7:7">
      <c r="G4322" t="s">
        <v>4510</v>
      </c>
    </row>
    <row r="4323" spans="7:7">
      <c r="G4323" t="s">
        <v>4511</v>
      </c>
    </row>
    <row r="4324" spans="7:7">
      <c r="G4324" t="s">
        <v>4512</v>
      </c>
    </row>
    <row r="4325" spans="7:7">
      <c r="G4325" t="s">
        <v>4513</v>
      </c>
    </row>
    <row r="4326" spans="7:7">
      <c r="G4326" t="s">
        <v>4514</v>
      </c>
    </row>
    <row r="4327" spans="7:7">
      <c r="G4327" t="s">
        <v>4515</v>
      </c>
    </row>
    <row r="4328" spans="7:7">
      <c r="G4328" t="s">
        <v>4516</v>
      </c>
    </row>
    <row r="4329" spans="7:7">
      <c r="G4329" t="s">
        <v>4517</v>
      </c>
    </row>
    <row r="4330" spans="7:7">
      <c r="G4330" t="s">
        <v>4518</v>
      </c>
    </row>
    <row r="4331" spans="7:7">
      <c r="G4331" t="s">
        <v>4519</v>
      </c>
    </row>
    <row r="4332" spans="7:7">
      <c r="G4332" t="s">
        <v>4520</v>
      </c>
    </row>
    <row r="4333" spans="7:7">
      <c r="G4333" t="s">
        <v>4521</v>
      </c>
    </row>
    <row r="4334" spans="7:7">
      <c r="G4334" t="s">
        <v>4522</v>
      </c>
    </row>
    <row r="4335" spans="7:7">
      <c r="G4335" t="s">
        <v>4523</v>
      </c>
    </row>
    <row r="4336" spans="7:7">
      <c r="G4336" t="s">
        <v>4524</v>
      </c>
    </row>
    <row r="4337" spans="7:7">
      <c r="G4337" t="s">
        <v>4525</v>
      </c>
    </row>
    <row r="4338" spans="7:7">
      <c r="G4338" t="s">
        <v>4526</v>
      </c>
    </row>
    <row r="4339" spans="7:7">
      <c r="G4339" t="s">
        <v>4527</v>
      </c>
    </row>
    <row r="4340" spans="7:7">
      <c r="G4340" t="s">
        <v>4528</v>
      </c>
    </row>
    <row r="4341" spans="7:7">
      <c r="G4341" t="s">
        <v>4529</v>
      </c>
    </row>
    <row r="4342" spans="7:7">
      <c r="G4342" t="s">
        <v>4530</v>
      </c>
    </row>
    <row r="4343" spans="7:7">
      <c r="G4343" t="s">
        <v>4531</v>
      </c>
    </row>
    <row r="4344" spans="7:7">
      <c r="G4344" t="s">
        <v>4532</v>
      </c>
    </row>
    <row r="4345" spans="7:7">
      <c r="G4345" t="s">
        <v>4533</v>
      </c>
    </row>
    <row r="4346" spans="7:7">
      <c r="G4346" t="s">
        <v>4534</v>
      </c>
    </row>
    <row r="4347" spans="7:7">
      <c r="G4347" t="s">
        <v>4535</v>
      </c>
    </row>
    <row r="4348" spans="7:7">
      <c r="G4348" t="s">
        <v>4536</v>
      </c>
    </row>
    <row r="4349" spans="7:7">
      <c r="G4349" t="s">
        <v>4537</v>
      </c>
    </row>
    <row r="4350" spans="7:7">
      <c r="G4350" t="s">
        <v>4538</v>
      </c>
    </row>
    <row r="4351" spans="7:7">
      <c r="G4351" t="s">
        <v>4539</v>
      </c>
    </row>
    <row r="4352" spans="7:7">
      <c r="G4352" t="s">
        <v>4540</v>
      </c>
    </row>
    <row r="4353" spans="7:7">
      <c r="G4353" t="s">
        <v>4541</v>
      </c>
    </row>
    <row r="4354" spans="7:7">
      <c r="G4354" t="s">
        <v>4542</v>
      </c>
    </row>
    <row r="4355" spans="7:7">
      <c r="G4355" t="s">
        <v>4543</v>
      </c>
    </row>
    <row r="4356" spans="7:7">
      <c r="G4356" t="s">
        <v>4544</v>
      </c>
    </row>
    <row r="4357" spans="7:7">
      <c r="G4357" t="s">
        <v>4545</v>
      </c>
    </row>
    <row r="4358" spans="7:7">
      <c r="G4358" t="s">
        <v>4546</v>
      </c>
    </row>
    <row r="4359" spans="7:7">
      <c r="G4359" t="s">
        <v>4547</v>
      </c>
    </row>
    <row r="4360" spans="7:7">
      <c r="G4360" t="s">
        <v>4548</v>
      </c>
    </row>
    <row r="4361" spans="7:7">
      <c r="G4361" t="s">
        <v>4549</v>
      </c>
    </row>
    <row r="4362" spans="7:7">
      <c r="G4362" t="s">
        <v>4550</v>
      </c>
    </row>
    <row r="4363" spans="7:7">
      <c r="G4363" t="s">
        <v>4551</v>
      </c>
    </row>
    <row r="4364" spans="7:7">
      <c r="G4364" t="s">
        <v>4552</v>
      </c>
    </row>
    <row r="4365" spans="7:7">
      <c r="G4365" t="s">
        <v>4553</v>
      </c>
    </row>
    <row r="4366" spans="7:7">
      <c r="G4366" t="s">
        <v>4554</v>
      </c>
    </row>
    <row r="4367" spans="7:7">
      <c r="G4367" t="s">
        <v>4555</v>
      </c>
    </row>
    <row r="4368" spans="7:7">
      <c r="G4368" t="s">
        <v>4556</v>
      </c>
    </row>
    <row r="4369" spans="7:7">
      <c r="G4369" t="s">
        <v>4557</v>
      </c>
    </row>
    <row r="4370" spans="7:7">
      <c r="G4370" t="s">
        <v>4558</v>
      </c>
    </row>
    <row r="4371" spans="7:7">
      <c r="G4371" t="s">
        <v>4559</v>
      </c>
    </row>
    <row r="4372" spans="7:7">
      <c r="G4372" t="s">
        <v>4560</v>
      </c>
    </row>
    <row r="4373" spans="7:7">
      <c r="G4373" t="s">
        <v>4561</v>
      </c>
    </row>
    <row r="4374" spans="7:7">
      <c r="G4374" t="s">
        <v>4562</v>
      </c>
    </row>
    <row r="4375" spans="7:7">
      <c r="G4375" t="s">
        <v>4563</v>
      </c>
    </row>
    <row r="4376" spans="7:7">
      <c r="G4376" t="s">
        <v>4564</v>
      </c>
    </row>
    <row r="4377" spans="7:7">
      <c r="G4377" t="s">
        <v>4565</v>
      </c>
    </row>
    <row r="4378" spans="7:7">
      <c r="G4378" t="s">
        <v>4566</v>
      </c>
    </row>
    <row r="4379" spans="7:7">
      <c r="G4379" t="s">
        <v>4567</v>
      </c>
    </row>
    <row r="4380" spans="7:7">
      <c r="G4380" t="s">
        <v>4568</v>
      </c>
    </row>
    <row r="4381" spans="7:7">
      <c r="G4381" t="s">
        <v>4569</v>
      </c>
    </row>
    <row r="4382" spans="7:7">
      <c r="G4382" t="s">
        <v>4570</v>
      </c>
    </row>
    <row r="4383" spans="7:7">
      <c r="G4383" t="s">
        <v>4571</v>
      </c>
    </row>
    <row r="4384" spans="7:7">
      <c r="G4384" t="s">
        <v>4572</v>
      </c>
    </row>
    <row r="4385" spans="7:7">
      <c r="G4385" t="s">
        <v>4573</v>
      </c>
    </row>
    <row r="4386" spans="7:7">
      <c r="G4386" t="s">
        <v>4574</v>
      </c>
    </row>
    <row r="4387" spans="7:7">
      <c r="G4387" t="s">
        <v>4575</v>
      </c>
    </row>
    <row r="4388" spans="7:7">
      <c r="G4388" t="s">
        <v>4576</v>
      </c>
    </row>
    <row r="4389" spans="7:7">
      <c r="G4389" t="s">
        <v>4577</v>
      </c>
    </row>
    <row r="4390" spans="7:7">
      <c r="G4390" t="s">
        <v>4578</v>
      </c>
    </row>
    <row r="4391" spans="7:7">
      <c r="G4391" t="s">
        <v>4579</v>
      </c>
    </row>
    <row r="4392" spans="7:7">
      <c r="G4392" t="s">
        <v>4580</v>
      </c>
    </row>
    <row r="4393" spans="7:7">
      <c r="G4393" t="s">
        <v>4581</v>
      </c>
    </row>
    <row r="4394" spans="7:7">
      <c r="G4394" t="s">
        <v>4582</v>
      </c>
    </row>
    <row r="4395" spans="7:7">
      <c r="G4395" t="s">
        <v>4583</v>
      </c>
    </row>
    <row r="4396" spans="7:7">
      <c r="G4396" t="s">
        <v>4584</v>
      </c>
    </row>
    <row r="4397" spans="7:7">
      <c r="G4397" t="s">
        <v>4585</v>
      </c>
    </row>
    <row r="4398" spans="7:7">
      <c r="G4398" t="s">
        <v>4586</v>
      </c>
    </row>
    <row r="4399" spans="7:7">
      <c r="G4399" t="s">
        <v>4587</v>
      </c>
    </row>
    <row r="4400" spans="7:7">
      <c r="G4400" t="s">
        <v>4588</v>
      </c>
    </row>
    <row r="4401" spans="7:7">
      <c r="G4401" t="s">
        <v>4589</v>
      </c>
    </row>
    <row r="4402" spans="7:7">
      <c r="G4402" t="s">
        <v>4590</v>
      </c>
    </row>
    <row r="4403" spans="7:7">
      <c r="G4403" t="s">
        <v>4591</v>
      </c>
    </row>
    <row r="4404" spans="7:7">
      <c r="G4404" t="s">
        <v>4592</v>
      </c>
    </row>
    <row r="4405" spans="7:7">
      <c r="G4405" t="s">
        <v>4593</v>
      </c>
    </row>
    <row r="4406" spans="7:7">
      <c r="G4406" t="s">
        <v>4594</v>
      </c>
    </row>
    <row r="4407" spans="7:7">
      <c r="G4407" t="s">
        <v>4595</v>
      </c>
    </row>
    <row r="4408" spans="7:7">
      <c r="G4408" t="s">
        <v>4596</v>
      </c>
    </row>
    <row r="4409" spans="7:7">
      <c r="G4409" t="s">
        <v>4597</v>
      </c>
    </row>
    <row r="4410" spans="7:7">
      <c r="G4410" t="s">
        <v>4598</v>
      </c>
    </row>
    <row r="4411" spans="7:7">
      <c r="G4411" t="s">
        <v>4599</v>
      </c>
    </row>
    <row r="4412" spans="7:7">
      <c r="G4412" t="s">
        <v>4600</v>
      </c>
    </row>
    <row r="4413" spans="7:7">
      <c r="G4413" t="s">
        <v>4601</v>
      </c>
    </row>
    <row r="4414" spans="7:7">
      <c r="G4414" t="s">
        <v>4602</v>
      </c>
    </row>
    <row r="4415" spans="7:7">
      <c r="G4415" t="s">
        <v>4603</v>
      </c>
    </row>
    <row r="4416" spans="7:7">
      <c r="G4416" t="s">
        <v>4604</v>
      </c>
    </row>
    <row r="4417" spans="7:7">
      <c r="G4417" t="s">
        <v>4605</v>
      </c>
    </row>
    <row r="4418" spans="7:7">
      <c r="G4418" t="s">
        <v>4606</v>
      </c>
    </row>
    <row r="4419" spans="7:7">
      <c r="G4419" t="s">
        <v>4607</v>
      </c>
    </row>
    <row r="4420" spans="7:7">
      <c r="G4420" t="s">
        <v>4608</v>
      </c>
    </row>
    <row r="4421" spans="7:7">
      <c r="G4421" t="s">
        <v>4609</v>
      </c>
    </row>
    <row r="4422" spans="7:7">
      <c r="G4422" t="s">
        <v>4610</v>
      </c>
    </row>
    <row r="4423" spans="7:7">
      <c r="G4423" t="s">
        <v>4611</v>
      </c>
    </row>
    <row r="4424" spans="7:7">
      <c r="G4424" t="s">
        <v>4612</v>
      </c>
    </row>
    <row r="4425" spans="7:7">
      <c r="G4425" t="s">
        <v>4613</v>
      </c>
    </row>
    <row r="4426" spans="7:7">
      <c r="G4426" t="s">
        <v>4614</v>
      </c>
    </row>
    <row r="4427" spans="7:7">
      <c r="G4427" t="s">
        <v>4615</v>
      </c>
    </row>
    <row r="4428" spans="7:7">
      <c r="G4428" t="s">
        <v>4616</v>
      </c>
    </row>
    <row r="4429" spans="7:7">
      <c r="G4429" t="s">
        <v>4617</v>
      </c>
    </row>
    <row r="4430" spans="7:7">
      <c r="G4430" t="s">
        <v>4618</v>
      </c>
    </row>
    <row r="4431" spans="7:7">
      <c r="G4431" t="s">
        <v>4619</v>
      </c>
    </row>
    <row r="4432" spans="7:7">
      <c r="G4432" t="s">
        <v>4620</v>
      </c>
    </row>
    <row r="4433" spans="7:7">
      <c r="G4433" t="s">
        <v>4621</v>
      </c>
    </row>
    <row r="4434" spans="7:7">
      <c r="G4434" t="s">
        <v>4622</v>
      </c>
    </row>
    <row r="4435" spans="7:7">
      <c r="G4435" t="s">
        <v>4623</v>
      </c>
    </row>
    <row r="4436" spans="7:7">
      <c r="G4436" t="s">
        <v>4624</v>
      </c>
    </row>
    <row r="4437" spans="7:7">
      <c r="G4437" t="s">
        <v>4625</v>
      </c>
    </row>
    <row r="4438" spans="7:7">
      <c r="G4438" t="s">
        <v>4626</v>
      </c>
    </row>
    <row r="4439" spans="7:7">
      <c r="G4439" t="s">
        <v>4627</v>
      </c>
    </row>
    <row r="4440" spans="7:7">
      <c r="G4440" t="s">
        <v>4628</v>
      </c>
    </row>
    <row r="4441" spans="7:7">
      <c r="G4441" t="s">
        <v>4629</v>
      </c>
    </row>
    <row r="4442" spans="7:7">
      <c r="G4442" t="s">
        <v>4630</v>
      </c>
    </row>
    <row r="4443" spans="7:7">
      <c r="G4443" t="s">
        <v>4631</v>
      </c>
    </row>
    <row r="4444" spans="7:7">
      <c r="G4444" t="s">
        <v>4632</v>
      </c>
    </row>
    <row r="4445" spans="7:7">
      <c r="G4445" t="s">
        <v>4633</v>
      </c>
    </row>
    <row r="4446" spans="7:7">
      <c r="G4446" t="s">
        <v>4634</v>
      </c>
    </row>
    <row r="4447" spans="7:7">
      <c r="G4447" t="s">
        <v>4635</v>
      </c>
    </row>
    <row r="4448" spans="7:7">
      <c r="G4448" t="s">
        <v>4636</v>
      </c>
    </row>
    <row r="4449" spans="7:7">
      <c r="G4449" t="s">
        <v>4637</v>
      </c>
    </row>
    <row r="4450" spans="7:7">
      <c r="G4450" t="s">
        <v>4638</v>
      </c>
    </row>
    <row r="4451" spans="7:7">
      <c r="G4451" t="s">
        <v>4639</v>
      </c>
    </row>
    <row r="4452" spans="7:7">
      <c r="G4452" t="s">
        <v>4640</v>
      </c>
    </row>
    <row r="4453" spans="7:7">
      <c r="G4453" t="s">
        <v>4641</v>
      </c>
    </row>
    <row r="4454" spans="7:7">
      <c r="G4454" t="s">
        <v>4642</v>
      </c>
    </row>
    <row r="4455" spans="7:7">
      <c r="G4455" t="s">
        <v>4643</v>
      </c>
    </row>
    <row r="4456" spans="7:7">
      <c r="G4456" t="s">
        <v>4644</v>
      </c>
    </row>
    <row r="4457" spans="7:7">
      <c r="G4457" t="s">
        <v>4645</v>
      </c>
    </row>
    <row r="4458" spans="7:7">
      <c r="G4458" t="s">
        <v>4646</v>
      </c>
    </row>
    <row r="4459" spans="7:7">
      <c r="G4459" t="s">
        <v>4647</v>
      </c>
    </row>
    <row r="4460" spans="7:7">
      <c r="G4460" t="s">
        <v>4648</v>
      </c>
    </row>
    <row r="4461" spans="7:7">
      <c r="G4461" t="s">
        <v>4649</v>
      </c>
    </row>
    <row r="4462" spans="7:7">
      <c r="G4462" t="s">
        <v>4650</v>
      </c>
    </row>
    <row r="4463" spans="7:7">
      <c r="G4463" t="s">
        <v>4651</v>
      </c>
    </row>
    <row r="4464" spans="7:7">
      <c r="G4464" t="s">
        <v>4652</v>
      </c>
    </row>
    <row r="4465" spans="7:7">
      <c r="G4465" t="s">
        <v>4653</v>
      </c>
    </row>
    <row r="4466" spans="7:7">
      <c r="G4466" t="s">
        <v>4654</v>
      </c>
    </row>
    <row r="4467" spans="7:7">
      <c r="G4467" t="s">
        <v>4655</v>
      </c>
    </row>
    <row r="4468" spans="7:7">
      <c r="G4468" t="s">
        <v>4656</v>
      </c>
    </row>
    <row r="4469" spans="7:7">
      <c r="G4469" t="s">
        <v>4657</v>
      </c>
    </row>
    <row r="4470" spans="7:7">
      <c r="G4470" t="s">
        <v>4658</v>
      </c>
    </row>
    <row r="4471" spans="7:7">
      <c r="G4471" t="s">
        <v>4659</v>
      </c>
    </row>
    <row r="4472" spans="7:7">
      <c r="G4472" t="s">
        <v>4660</v>
      </c>
    </row>
    <row r="4473" spans="7:7">
      <c r="G4473" t="s">
        <v>4661</v>
      </c>
    </row>
    <row r="4474" spans="7:7">
      <c r="G4474" t="s">
        <v>4662</v>
      </c>
    </row>
    <row r="4475" spans="7:7">
      <c r="G4475" t="s">
        <v>4663</v>
      </c>
    </row>
    <row r="4476" spans="7:7">
      <c r="G4476" t="s">
        <v>4664</v>
      </c>
    </row>
    <row r="4477" spans="7:7">
      <c r="G4477" t="s">
        <v>4665</v>
      </c>
    </row>
    <row r="4478" spans="7:7">
      <c r="G4478" t="s">
        <v>4666</v>
      </c>
    </row>
    <row r="4479" spans="7:7">
      <c r="G4479" t="s">
        <v>4667</v>
      </c>
    </row>
    <row r="4480" spans="7:7">
      <c r="G4480" t="s">
        <v>4668</v>
      </c>
    </row>
    <row r="4481" spans="7:7">
      <c r="G4481" t="s">
        <v>4669</v>
      </c>
    </row>
    <row r="4482" spans="7:7">
      <c r="G4482" t="s">
        <v>4670</v>
      </c>
    </row>
    <row r="4483" spans="7:7">
      <c r="G4483" t="s">
        <v>4671</v>
      </c>
    </row>
    <row r="4484" spans="7:7">
      <c r="G4484" t="s">
        <v>4672</v>
      </c>
    </row>
    <row r="4485" spans="7:7">
      <c r="G4485" t="s">
        <v>4673</v>
      </c>
    </row>
    <row r="4486" spans="7:7">
      <c r="G4486" t="s">
        <v>4674</v>
      </c>
    </row>
    <row r="4487" spans="7:7">
      <c r="G4487" t="s">
        <v>4675</v>
      </c>
    </row>
    <row r="4488" spans="7:7">
      <c r="G4488" t="s">
        <v>4676</v>
      </c>
    </row>
    <row r="4489" spans="7:7">
      <c r="G4489" t="s">
        <v>4677</v>
      </c>
    </row>
    <row r="4490" spans="7:7">
      <c r="G4490" t="s">
        <v>4678</v>
      </c>
    </row>
    <row r="4491" spans="7:7">
      <c r="G4491" t="s">
        <v>4679</v>
      </c>
    </row>
    <row r="4492" spans="7:7">
      <c r="G4492" t="s">
        <v>4680</v>
      </c>
    </row>
    <row r="4493" spans="7:7">
      <c r="G4493" t="s">
        <v>4681</v>
      </c>
    </row>
    <row r="4494" spans="7:7">
      <c r="G4494" t="s">
        <v>4682</v>
      </c>
    </row>
    <row r="4495" spans="7:7">
      <c r="G4495" t="s">
        <v>4683</v>
      </c>
    </row>
    <row r="4496" spans="7:7">
      <c r="G4496" t="s">
        <v>4684</v>
      </c>
    </row>
    <row r="4497" spans="7:7">
      <c r="G4497" t="s">
        <v>4685</v>
      </c>
    </row>
    <row r="4498" spans="7:7">
      <c r="G4498" t="s">
        <v>4686</v>
      </c>
    </row>
    <row r="4499" spans="7:7">
      <c r="G4499" t="s">
        <v>4687</v>
      </c>
    </row>
    <row r="4500" spans="7:7">
      <c r="G4500" t="s">
        <v>4688</v>
      </c>
    </row>
    <row r="4501" spans="7:7">
      <c r="G4501" t="s">
        <v>4689</v>
      </c>
    </row>
    <row r="4502" spans="7:7">
      <c r="G4502" t="s">
        <v>4690</v>
      </c>
    </row>
    <row r="4503" spans="7:7">
      <c r="G4503" t="s">
        <v>4691</v>
      </c>
    </row>
    <row r="4504" spans="7:7">
      <c r="G4504" t="s">
        <v>4692</v>
      </c>
    </row>
    <row r="4505" spans="7:7">
      <c r="G4505" t="s">
        <v>4693</v>
      </c>
    </row>
    <row r="4506" spans="7:7">
      <c r="G4506" t="s">
        <v>4694</v>
      </c>
    </row>
    <row r="4507" spans="7:7">
      <c r="G4507" t="s">
        <v>4695</v>
      </c>
    </row>
    <row r="4508" spans="7:7">
      <c r="G4508" t="s">
        <v>4696</v>
      </c>
    </row>
    <row r="4509" spans="7:7">
      <c r="G4509" t="s">
        <v>4697</v>
      </c>
    </row>
    <row r="4510" spans="7:7">
      <c r="G4510" t="s">
        <v>4698</v>
      </c>
    </row>
    <row r="4511" spans="7:7">
      <c r="G4511" t="s">
        <v>4699</v>
      </c>
    </row>
    <row r="4512" spans="7:7">
      <c r="G4512" t="s">
        <v>4700</v>
      </c>
    </row>
    <row r="4513" spans="7:7">
      <c r="G4513" t="s">
        <v>4701</v>
      </c>
    </row>
    <row r="4514" spans="7:7">
      <c r="G4514" t="s">
        <v>4702</v>
      </c>
    </row>
    <row r="4515" spans="7:7">
      <c r="G4515" t="s">
        <v>4703</v>
      </c>
    </row>
    <row r="4516" spans="7:7">
      <c r="G4516" t="s">
        <v>4704</v>
      </c>
    </row>
    <row r="4517" spans="7:7">
      <c r="G4517" t="s">
        <v>4705</v>
      </c>
    </row>
    <row r="4518" spans="7:7">
      <c r="G4518" t="s">
        <v>4706</v>
      </c>
    </row>
    <row r="4519" spans="7:7">
      <c r="G4519" t="s">
        <v>4707</v>
      </c>
    </row>
    <row r="4520" spans="7:7">
      <c r="G4520" t="s">
        <v>4708</v>
      </c>
    </row>
    <row r="4521" spans="7:7">
      <c r="G4521" t="s">
        <v>4709</v>
      </c>
    </row>
    <row r="4522" spans="7:7">
      <c r="G4522" t="s">
        <v>4710</v>
      </c>
    </row>
    <row r="4523" spans="7:7">
      <c r="G4523" t="s">
        <v>4711</v>
      </c>
    </row>
    <row r="4524" spans="7:7">
      <c r="G4524" t="s">
        <v>4712</v>
      </c>
    </row>
    <row r="4525" spans="7:7">
      <c r="G4525" t="s">
        <v>4713</v>
      </c>
    </row>
    <row r="4526" spans="7:7">
      <c r="G4526" t="s">
        <v>4714</v>
      </c>
    </row>
    <row r="4527" spans="7:7">
      <c r="G4527" t="s">
        <v>4715</v>
      </c>
    </row>
    <row r="4528" spans="7:7">
      <c r="G4528" t="s">
        <v>4716</v>
      </c>
    </row>
    <row r="4529" spans="7:7">
      <c r="G4529" t="s">
        <v>4717</v>
      </c>
    </row>
    <row r="4530" spans="7:7">
      <c r="G4530" t="s">
        <v>4718</v>
      </c>
    </row>
    <row r="4531" spans="7:7">
      <c r="G4531" t="s">
        <v>4719</v>
      </c>
    </row>
    <row r="4532" spans="7:7">
      <c r="G4532" t="s">
        <v>4720</v>
      </c>
    </row>
    <row r="4533" spans="7:7">
      <c r="G4533" t="s">
        <v>4721</v>
      </c>
    </row>
    <row r="4534" spans="7:7">
      <c r="G4534" t="s">
        <v>4722</v>
      </c>
    </row>
    <row r="4535" spans="7:7">
      <c r="G4535" t="s">
        <v>4723</v>
      </c>
    </row>
    <row r="4536" spans="7:7">
      <c r="G4536" t="s">
        <v>4724</v>
      </c>
    </row>
    <row r="4537" spans="7:7">
      <c r="G4537" t="s">
        <v>4725</v>
      </c>
    </row>
    <row r="4538" spans="7:7">
      <c r="G4538" t="s">
        <v>4726</v>
      </c>
    </row>
    <row r="4539" spans="7:7">
      <c r="G4539" t="s">
        <v>4727</v>
      </c>
    </row>
    <row r="4540" spans="7:7">
      <c r="G4540" t="s">
        <v>4728</v>
      </c>
    </row>
    <row r="4541" spans="7:7">
      <c r="G4541" t="s">
        <v>4729</v>
      </c>
    </row>
    <row r="4542" spans="7:7">
      <c r="G4542" t="s">
        <v>4730</v>
      </c>
    </row>
    <row r="4543" spans="7:7">
      <c r="G4543" t="s">
        <v>4731</v>
      </c>
    </row>
    <row r="4544" spans="7:7">
      <c r="G4544" t="s">
        <v>4732</v>
      </c>
    </row>
    <row r="4545" spans="7:7">
      <c r="G4545" t="s">
        <v>4733</v>
      </c>
    </row>
    <row r="4546" spans="7:7">
      <c r="G4546" t="s">
        <v>4734</v>
      </c>
    </row>
    <row r="4547" spans="7:7">
      <c r="G4547" t="s">
        <v>4735</v>
      </c>
    </row>
    <row r="4548" spans="7:7">
      <c r="G4548" t="s">
        <v>4736</v>
      </c>
    </row>
    <row r="4549" spans="7:7">
      <c r="G4549" t="s">
        <v>4737</v>
      </c>
    </row>
    <row r="4550" spans="7:7">
      <c r="G4550" t="s">
        <v>4738</v>
      </c>
    </row>
    <row r="4551" spans="7:7">
      <c r="G4551" t="s">
        <v>4739</v>
      </c>
    </row>
    <row r="4552" spans="7:7">
      <c r="G4552" t="s">
        <v>4740</v>
      </c>
    </row>
    <row r="4553" spans="7:7">
      <c r="G4553" t="s">
        <v>4741</v>
      </c>
    </row>
    <row r="4554" spans="7:7">
      <c r="G4554" t="s">
        <v>4742</v>
      </c>
    </row>
    <row r="4555" spans="7:7">
      <c r="G4555" t="s">
        <v>4743</v>
      </c>
    </row>
    <row r="4556" spans="7:7">
      <c r="G4556" t="s">
        <v>4744</v>
      </c>
    </row>
    <row r="4557" spans="7:7">
      <c r="G4557" t="s">
        <v>4745</v>
      </c>
    </row>
    <row r="4558" spans="7:7">
      <c r="G4558" t="s">
        <v>4746</v>
      </c>
    </row>
    <row r="4559" spans="7:7">
      <c r="G4559" t="s">
        <v>4747</v>
      </c>
    </row>
    <row r="4560" spans="7:7">
      <c r="G4560" t="s">
        <v>4748</v>
      </c>
    </row>
    <row r="4561" spans="7:7">
      <c r="G4561" t="s">
        <v>4749</v>
      </c>
    </row>
    <row r="4562" spans="7:7">
      <c r="G4562" t="s">
        <v>4750</v>
      </c>
    </row>
    <row r="4563" spans="7:7">
      <c r="G4563" t="s">
        <v>4751</v>
      </c>
    </row>
    <row r="4564" spans="7:7">
      <c r="G4564" t="s">
        <v>4752</v>
      </c>
    </row>
    <row r="4565" spans="7:7">
      <c r="G4565" t="s">
        <v>4753</v>
      </c>
    </row>
    <row r="4566" spans="7:7">
      <c r="G4566" t="s">
        <v>4754</v>
      </c>
    </row>
    <row r="4567" spans="7:7">
      <c r="G4567" t="s">
        <v>4755</v>
      </c>
    </row>
    <row r="4568" spans="7:7">
      <c r="G4568" t="s">
        <v>4756</v>
      </c>
    </row>
    <row r="4569" spans="7:7">
      <c r="G4569" t="s">
        <v>4757</v>
      </c>
    </row>
    <row r="4570" spans="7:7">
      <c r="G4570" t="s">
        <v>4758</v>
      </c>
    </row>
    <row r="4571" spans="7:7">
      <c r="G4571" t="s">
        <v>4759</v>
      </c>
    </row>
    <row r="4572" spans="7:7">
      <c r="G4572" t="s">
        <v>4760</v>
      </c>
    </row>
    <row r="4573" spans="7:7">
      <c r="G4573" t="s">
        <v>4761</v>
      </c>
    </row>
    <row r="4574" spans="7:7">
      <c r="G4574" t="s">
        <v>4762</v>
      </c>
    </row>
    <row r="4575" spans="7:7">
      <c r="G4575" t="s">
        <v>4763</v>
      </c>
    </row>
    <row r="4576" spans="7:7">
      <c r="G4576" t="s">
        <v>4764</v>
      </c>
    </row>
    <row r="4577" spans="7:7">
      <c r="G4577" t="s">
        <v>4765</v>
      </c>
    </row>
    <row r="4578" spans="7:7">
      <c r="G4578" t="s">
        <v>4766</v>
      </c>
    </row>
    <row r="4579" spans="7:7">
      <c r="G4579" t="s">
        <v>4767</v>
      </c>
    </row>
    <row r="4580" spans="7:7">
      <c r="G4580" t="s">
        <v>4768</v>
      </c>
    </row>
    <row r="4581" spans="7:7">
      <c r="G4581" t="s">
        <v>4769</v>
      </c>
    </row>
    <row r="4582" spans="7:7">
      <c r="G4582" t="s">
        <v>4770</v>
      </c>
    </row>
    <row r="4583" spans="7:7">
      <c r="G4583" t="s">
        <v>4771</v>
      </c>
    </row>
    <row r="4584" spans="7:7">
      <c r="G4584" t="s">
        <v>4772</v>
      </c>
    </row>
    <row r="4585" spans="7:7">
      <c r="G4585" t="s">
        <v>4773</v>
      </c>
    </row>
    <row r="4586" spans="7:7">
      <c r="G4586" t="s">
        <v>4774</v>
      </c>
    </row>
    <row r="4587" spans="7:7">
      <c r="G4587" t="s">
        <v>4775</v>
      </c>
    </row>
    <row r="4588" spans="7:7">
      <c r="G4588" t="s">
        <v>4776</v>
      </c>
    </row>
    <row r="4589" spans="7:7">
      <c r="G4589" t="s">
        <v>4777</v>
      </c>
    </row>
    <row r="4590" spans="7:7">
      <c r="G4590" t="s">
        <v>4778</v>
      </c>
    </row>
    <row r="4591" spans="7:7">
      <c r="G4591" t="s">
        <v>4779</v>
      </c>
    </row>
    <row r="4592" spans="7:7">
      <c r="G4592" t="s">
        <v>4780</v>
      </c>
    </row>
    <row r="4593" spans="7:7">
      <c r="G4593" t="s">
        <v>4781</v>
      </c>
    </row>
    <row r="4594" spans="7:7">
      <c r="G4594" t="s">
        <v>4782</v>
      </c>
    </row>
    <row r="4595" spans="7:7">
      <c r="G4595" t="s">
        <v>4783</v>
      </c>
    </row>
    <row r="4596" spans="7:7">
      <c r="G4596" t="s">
        <v>4784</v>
      </c>
    </row>
    <row r="4597" spans="7:7">
      <c r="G4597" t="s">
        <v>4785</v>
      </c>
    </row>
    <row r="4598" spans="7:7">
      <c r="G4598" t="s">
        <v>4786</v>
      </c>
    </row>
    <row r="4599" spans="7:7">
      <c r="G4599" t="s">
        <v>4787</v>
      </c>
    </row>
    <row r="4600" spans="7:7">
      <c r="G4600" t="s">
        <v>4788</v>
      </c>
    </row>
    <row r="4601" spans="7:7">
      <c r="G4601" t="s">
        <v>4789</v>
      </c>
    </row>
    <row r="4602" spans="7:7">
      <c r="G4602" t="s">
        <v>4790</v>
      </c>
    </row>
    <row r="4603" spans="7:7">
      <c r="G4603" t="s">
        <v>4791</v>
      </c>
    </row>
    <row r="4604" spans="7:7">
      <c r="G4604" t="s">
        <v>4792</v>
      </c>
    </row>
    <row r="4605" spans="7:7">
      <c r="G4605" t="s">
        <v>4793</v>
      </c>
    </row>
    <row r="4606" spans="7:7">
      <c r="G4606" t="s">
        <v>4794</v>
      </c>
    </row>
    <row r="4607" spans="7:7">
      <c r="G4607" t="s">
        <v>4795</v>
      </c>
    </row>
    <row r="4608" spans="7:7">
      <c r="G4608" t="s">
        <v>4796</v>
      </c>
    </row>
    <row r="4609" spans="7:7">
      <c r="G4609" t="s">
        <v>4797</v>
      </c>
    </row>
    <row r="4610" spans="7:7">
      <c r="G4610" t="s">
        <v>4798</v>
      </c>
    </row>
    <row r="4611" spans="7:7">
      <c r="G4611" t="s">
        <v>4799</v>
      </c>
    </row>
    <row r="4612" spans="7:7">
      <c r="G4612" t="s">
        <v>4800</v>
      </c>
    </row>
    <row r="4613" spans="7:7">
      <c r="G4613" t="s">
        <v>4801</v>
      </c>
    </row>
    <row r="4614" spans="7:7">
      <c r="G4614" t="s">
        <v>4802</v>
      </c>
    </row>
    <row r="4615" spans="7:7">
      <c r="G4615" t="s">
        <v>4803</v>
      </c>
    </row>
    <row r="4616" spans="7:7">
      <c r="G4616" t="s">
        <v>4804</v>
      </c>
    </row>
    <row r="4617" spans="7:7">
      <c r="G4617" t="s">
        <v>4805</v>
      </c>
    </row>
    <row r="4618" spans="7:7">
      <c r="G4618" t="s">
        <v>4806</v>
      </c>
    </row>
    <row r="4619" spans="7:7">
      <c r="G4619" t="s">
        <v>4807</v>
      </c>
    </row>
    <row r="4620" spans="7:7">
      <c r="G4620" t="s">
        <v>4808</v>
      </c>
    </row>
    <row r="4621" spans="7:7">
      <c r="G4621" t="s">
        <v>4809</v>
      </c>
    </row>
    <row r="4622" spans="7:7">
      <c r="G4622" t="s">
        <v>4810</v>
      </c>
    </row>
    <row r="4623" spans="7:7">
      <c r="G4623" t="s">
        <v>4811</v>
      </c>
    </row>
    <row r="4624" spans="7:7">
      <c r="G4624" t="s">
        <v>4812</v>
      </c>
    </row>
    <row r="4625" spans="7:7">
      <c r="G4625" t="s">
        <v>4813</v>
      </c>
    </row>
    <row r="4626" spans="7:7">
      <c r="G4626" t="s">
        <v>4814</v>
      </c>
    </row>
    <row r="4627" spans="7:7">
      <c r="G4627" t="s">
        <v>4815</v>
      </c>
    </row>
    <row r="4628" spans="7:7">
      <c r="G4628" t="s">
        <v>4816</v>
      </c>
    </row>
    <row r="4629" spans="7:7">
      <c r="G4629" t="s">
        <v>4817</v>
      </c>
    </row>
    <row r="4630" spans="7:7">
      <c r="G4630" t="s">
        <v>4818</v>
      </c>
    </row>
    <row r="4631" spans="7:7">
      <c r="G4631" t="s">
        <v>4819</v>
      </c>
    </row>
    <row r="4632" spans="7:7">
      <c r="G4632" t="s">
        <v>4820</v>
      </c>
    </row>
    <row r="4633" spans="7:7">
      <c r="G4633" t="s">
        <v>4821</v>
      </c>
    </row>
    <row r="4634" spans="7:7">
      <c r="G4634" t="s">
        <v>4822</v>
      </c>
    </row>
    <row r="4635" spans="7:7">
      <c r="G4635" t="s">
        <v>4823</v>
      </c>
    </row>
    <row r="4636" spans="7:7">
      <c r="G4636" t="s">
        <v>4824</v>
      </c>
    </row>
    <row r="4637" spans="7:7">
      <c r="G4637" t="s">
        <v>4825</v>
      </c>
    </row>
    <row r="4638" spans="7:7">
      <c r="G4638" t="s">
        <v>4826</v>
      </c>
    </row>
    <row r="4639" spans="7:7">
      <c r="G4639" t="s">
        <v>4827</v>
      </c>
    </row>
    <row r="4640" spans="7:7">
      <c r="G4640" t="s">
        <v>4828</v>
      </c>
    </row>
    <row r="4641" spans="7:7">
      <c r="G4641" t="s">
        <v>4829</v>
      </c>
    </row>
    <row r="4642" spans="7:7">
      <c r="G4642" t="s">
        <v>4830</v>
      </c>
    </row>
    <row r="4643" spans="7:7">
      <c r="G4643" t="s">
        <v>4831</v>
      </c>
    </row>
    <row r="4644" spans="7:7">
      <c r="G4644" t="s">
        <v>4832</v>
      </c>
    </row>
    <row r="4645" spans="7:7">
      <c r="G4645" t="s">
        <v>4833</v>
      </c>
    </row>
    <row r="4646" spans="7:7">
      <c r="G4646" t="s">
        <v>4834</v>
      </c>
    </row>
    <row r="4647" spans="7:7">
      <c r="G4647" t="s">
        <v>4835</v>
      </c>
    </row>
    <row r="4648" spans="7:7">
      <c r="G4648" t="s">
        <v>4836</v>
      </c>
    </row>
    <row r="4649" spans="7:7">
      <c r="G4649" t="s">
        <v>4837</v>
      </c>
    </row>
    <row r="4650" spans="7:7">
      <c r="G4650" t="s">
        <v>4838</v>
      </c>
    </row>
    <row r="4651" spans="7:7">
      <c r="G4651" t="s">
        <v>4839</v>
      </c>
    </row>
    <row r="4652" spans="7:7">
      <c r="G4652" t="s">
        <v>4840</v>
      </c>
    </row>
    <row r="4653" spans="7:7">
      <c r="G4653" t="s">
        <v>4841</v>
      </c>
    </row>
    <row r="4654" spans="7:7">
      <c r="G4654" t="s">
        <v>4842</v>
      </c>
    </row>
    <row r="4655" spans="7:7">
      <c r="G4655" t="s">
        <v>4843</v>
      </c>
    </row>
    <row r="4656" spans="7:7">
      <c r="G4656" t="s">
        <v>4844</v>
      </c>
    </row>
    <row r="4657" spans="7:7">
      <c r="G4657" t="s">
        <v>4845</v>
      </c>
    </row>
    <row r="4658" spans="7:7">
      <c r="G4658" t="s">
        <v>4846</v>
      </c>
    </row>
    <row r="4659" spans="7:7">
      <c r="G4659" t="s">
        <v>4847</v>
      </c>
    </row>
    <row r="4660" spans="7:7">
      <c r="G4660" t="s">
        <v>4848</v>
      </c>
    </row>
    <row r="4661" spans="7:7">
      <c r="G4661" t="s">
        <v>4849</v>
      </c>
    </row>
    <row r="4662" spans="7:7">
      <c r="G4662" t="s">
        <v>4850</v>
      </c>
    </row>
    <row r="4663" spans="7:7">
      <c r="G4663" t="s">
        <v>4851</v>
      </c>
    </row>
    <row r="4664" spans="7:7">
      <c r="G4664" t="s">
        <v>4852</v>
      </c>
    </row>
    <row r="4665" spans="7:7">
      <c r="G4665" t="s">
        <v>4853</v>
      </c>
    </row>
    <row r="4666" spans="7:7">
      <c r="G4666" t="s">
        <v>4854</v>
      </c>
    </row>
    <row r="4667" spans="7:7">
      <c r="G4667" t="s">
        <v>4855</v>
      </c>
    </row>
    <row r="4668" spans="7:7">
      <c r="G4668" t="s">
        <v>4856</v>
      </c>
    </row>
    <row r="4669" spans="7:7">
      <c r="G4669" t="s">
        <v>4857</v>
      </c>
    </row>
    <row r="4670" spans="7:7">
      <c r="G4670" t="s">
        <v>4858</v>
      </c>
    </row>
    <row r="4671" spans="7:7">
      <c r="G4671" t="s">
        <v>4859</v>
      </c>
    </row>
    <row r="4672" spans="7:7">
      <c r="G4672" t="s">
        <v>4860</v>
      </c>
    </row>
    <row r="4673" spans="7:7">
      <c r="G4673" t="s">
        <v>4861</v>
      </c>
    </row>
    <row r="4674" spans="7:7">
      <c r="G4674" t="s">
        <v>4862</v>
      </c>
    </row>
    <row r="4675" spans="7:7">
      <c r="G4675" t="s">
        <v>4863</v>
      </c>
    </row>
    <row r="4676" spans="7:7">
      <c r="G4676" t="s">
        <v>4864</v>
      </c>
    </row>
    <row r="4677" spans="7:7">
      <c r="G4677" t="s">
        <v>4865</v>
      </c>
    </row>
    <row r="4678" spans="7:7">
      <c r="G4678" t="s">
        <v>4866</v>
      </c>
    </row>
    <row r="4679" spans="7:7">
      <c r="G4679" t="s">
        <v>4867</v>
      </c>
    </row>
    <row r="4680" spans="7:7">
      <c r="G4680" t="s">
        <v>4868</v>
      </c>
    </row>
    <row r="4681" spans="7:7">
      <c r="G4681" t="s">
        <v>4869</v>
      </c>
    </row>
    <row r="4682" spans="7:7">
      <c r="G4682" t="s">
        <v>4870</v>
      </c>
    </row>
    <row r="4683" spans="7:7">
      <c r="G4683" t="s">
        <v>4871</v>
      </c>
    </row>
    <row r="4684" spans="7:7">
      <c r="G4684" t="s">
        <v>4872</v>
      </c>
    </row>
    <row r="4685" spans="7:7">
      <c r="G4685" t="s">
        <v>4873</v>
      </c>
    </row>
    <row r="4686" spans="7:7">
      <c r="G4686" t="s">
        <v>4874</v>
      </c>
    </row>
    <row r="4687" spans="7:7">
      <c r="G4687" t="s">
        <v>4875</v>
      </c>
    </row>
    <row r="4688" spans="7:7">
      <c r="G4688" t="s">
        <v>4876</v>
      </c>
    </row>
    <row r="4689" spans="7:7">
      <c r="G4689" t="s">
        <v>4877</v>
      </c>
    </row>
    <row r="4690" spans="7:7">
      <c r="G4690" t="s">
        <v>4878</v>
      </c>
    </row>
    <row r="4691" spans="7:7">
      <c r="G4691" t="s">
        <v>4879</v>
      </c>
    </row>
    <row r="4692" spans="7:7">
      <c r="G4692" t="s">
        <v>4880</v>
      </c>
    </row>
    <row r="4693" spans="7:7">
      <c r="G4693" t="s">
        <v>4881</v>
      </c>
    </row>
    <row r="4694" spans="7:7">
      <c r="G4694" t="s">
        <v>4882</v>
      </c>
    </row>
    <row r="4695" spans="7:7">
      <c r="G4695" t="s">
        <v>4883</v>
      </c>
    </row>
    <row r="4696" spans="7:7">
      <c r="G4696" t="s">
        <v>4884</v>
      </c>
    </row>
    <row r="4697" spans="7:7">
      <c r="G4697" t="s">
        <v>4885</v>
      </c>
    </row>
    <row r="4698" spans="7:7">
      <c r="G4698" t="s">
        <v>4886</v>
      </c>
    </row>
    <row r="4699" spans="7:7">
      <c r="G4699" t="s">
        <v>4887</v>
      </c>
    </row>
    <row r="4700" spans="7:7">
      <c r="G4700" t="s">
        <v>4888</v>
      </c>
    </row>
    <row r="4701" spans="7:7">
      <c r="G4701" t="s">
        <v>4889</v>
      </c>
    </row>
    <row r="4702" spans="7:7">
      <c r="G4702" t="s">
        <v>4890</v>
      </c>
    </row>
    <row r="4703" spans="7:7">
      <c r="G4703" t="s">
        <v>4891</v>
      </c>
    </row>
    <row r="4704" spans="7:7">
      <c r="G4704" t="s">
        <v>4892</v>
      </c>
    </row>
    <row r="4705" spans="7:7">
      <c r="G4705" t="s">
        <v>4893</v>
      </c>
    </row>
    <row r="4706" spans="7:7">
      <c r="G4706" t="s">
        <v>4894</v>
      </c>
    </row>
    <row r="4707" spans="7:7">
      <c r="G4707" t="s">
        <v>4895</v>
      </c>
    </row>
    <row r="4708" spans="7:7">
      <c r="G4708" t="s">
        <v>4896</v>
      </c>
    </row>
    <row r="4709" spans="7:7">
      <c r="G4709" t="s">
        <v>4897</v>
      </c>
    </row>
    <row r="4710" spans="7:7">
      <c r="G4710" t="s">
        <v>4898</v>
      </c>
    </row>
    <row r="4711" spans="7:7">
      <c r="G4711" t="s">
        <v>4899</v>
      </c>
    </row>
    <row r="4712" spans="7:7">
      <c r="G4712" t="s">
        <v>4900</v>
      </c>
    </row>
    <row r="4713" spans="7:7">
      <c r="G4713" t="s">
        <v>4901</v>
      </c>
    </row>
    <row r="4714" spans="7:7">
      <c r="G4714" t="s">
        <v>4902</v>
      </c>
    </row>
    <row r="4715" spans="7:7">
      <c r="G4715" t="s">
        <v>4903</v>
      </c>
    </row>
    <row r="4716" spans="7:7">
      <c r="G4716" t="s">
        <v>4904</v>
      </c>
    </row>
    <row r="4717" spans="7:7">
      <c r="G4717" t="s">
        <v>4905</v>
      </c>
    </row>
    <row r="4718" spans="7:7">
      <c r="G4718" t="s">
        <v>4906</v>
      </c>
    </row>
    <row r="4719" spans="7:7">
      <c r="G4719" t="s">
        <v>4907</v>
      </c>
    </row>
    <row r="4720" spans="7:7">
      <c r="G4720" t="s">
        <v>4908</v>
      </c>
    </row>
    <row r="4721" spans="7:7">
      <c r="G4721" t="s">
        <v>4909</v>
      </c>
    </row>
    <row r="4722" spans="7:7">
      <c r="G4722" t="s">
        <v>4910</v>
      </c>
    </row>
    <row r="4723" spans="7:7">
      <c r="G4723" t="s">
        <v>4911</v>
      </c>
    </row>
    <row r="4724" spans="7:7">
      <c r="G4724" t="s">
        <v>4912</v>
      </c>
    </row>
    <row r="4725" spans="7:7">
      <c r="G4725" t="s">
        <v>4913</v>
      </c>
    </row>
    <row r="4726" spans="7:7">
      <c r="G4726" t="s">
        <v>4914</v>
      </c>
    </row>
    <row r="4727" spans="7:7">
      <c r="G4727" t="s">
        <v>4915</v>
      </c>
    </row>
    <row r="4728" spans="7:7">
      <c r="G4728" t="s">
        <v>4916</v>
      </c>
    </row>
    <row r="4729" spans="7:7">
      <c r="G4729" t="s">
        <v>4917</v>
      </c>
    </row>
    <row r="4730" spans="7:7">
      <c r="G4730" t="s">
        <v>4918</v>
      </c>
    </row>
    <row r="4731" spans="7:7">
      <c r="G4731" t="s">
        <v>4919</v>
      </c>
    </row>
    <row r="4732" spans="7:7">
      <c r="G4732" t="s">
        <v>4920</v>
      </c>
    </row>
    <row r="4733" spans="7:7">
      <c r="G4733" t="s">
        <v>4921</v>
      </c>
    </row>
    <row r="4734" spans="7:7">
      <c r="G4734" t="s">
        <v>4922</v>
      </c>
    </row>
    <row r="4735" spans="7:7">
      <c r="G4735" t="s">
        <v>4923</v>
      </c>
    </row>
    <row r="4736" spans="7:7">
      <c r="G4736" t="s">
        <v>4924</v>
      </c>
    </row>
    <row r="4737" spans="7:7">
      <c r="G4737" t="s">
        <v>4925</v>
      </c>
    </row>
    <row r="4738" spans="7:7">
      <c r="G4738" t="s">
        <v>4926</v>
      </c>
    </row>
    <row r="4739" spans="7:7">
      <c r="G4739" t="s">
        <v>4927</v>
      </c>
    </row>
    <row r="4740" spans="7:7">
      <c r="G4740" t="s">
        <v>4928</v>
      </c>
    </row>
    <row r="4741" spans="7:7">
      <c r="G4741" t="s">
        <v>4929</v>
      </c>
    </row>
    <row r="4742" spans="7:7">
      <c r="G4742" t="s">
        <v>4930</v>
      </c>
    </row>
    <row r="4743" spans="7:7">
      <c r="G4743" t="s">
        <v>4931</v>
      </c>
    </row>
    <row r="4744" spans="7:7">
      <c r="G4744" t="s">
        <v>4932</v>
      </c>
    </row>
    <row r="4745" spans="7:7">
      <c r="G4745" t="s">
        <v>4933</v>
      </c>
    </row>
    <row r="4746" spans="7:7">
      <c r="G4746" t="s">
        <v>4934</v>
      </c>
    </row>
    <row r="4747" spans="7:7">
      <c r="G4747" t="s">
        <v>4935</v>
      </c>
    </row>
    <row r="4748" spans="7:7">
      <c r="G4748" t="s">
        <v>4936</v>
      </c>
    </row>
    <row r="4749" spans="7:7">
      <c r="G4749" t="s">
        <v>4937</v>
      </c>
    </row>
    <row r="4750" spans="7:7">
      <c r="G4750" t="s">
        <v>4938</v>
      </c>
    </row>
    <row r="4751" spans="7:7">
      <c r="G4751" t="s">
        <v>4939</v>
      </c>
    </row>
    <row r="4752" spans="7:7">
      <c r="G4752" t="s">
        <v>4940</v>
      </c>
    </row>
    <row r="4753" spans="7:7">
      <c r="G4753" t="s">
        <v>4941</v>
      </c>
    </row>
    <row r="4754" spans="7:7">
      <c r="G4754" t="s">
        <v>4942</v>
      </c>
    </row>
    <row r="4755" spans="7:7">
      <c r="G4755" t="s">
        <v>4943</v>
      </c>
    </row>
    <row r="4756" spans="7:7">
      <c r="G4756" t="s">
        <v>4944</v>
      </c>
    </row>
    <row r="4757" spans="7:7">
      <c r="G4757" t="s">
        <v>4945</v>
      </c>
    </row>
    <row r="4758" spans="7:7">
      <c r="G4758" t="s">
        <v>4946</v>
      </c>
    </row>
    <row r="4759" spans="7:7">
      <c r="G4759" t="s">
        <v>4947</v>
      </c>
    </row>
    <row r="4760" spans="7:7">
      <c r="G4760" t="s">
        <v>4948</v>
      </c>
    </row>
    <row r="4761" spans="7:7">
      <c r="G4761" t="s">
        <v>4949</v>
      </c>
    </row>
    <row r="4762" spans="7:7">
      <c r="G4762" t="s">
        <v>4950</v>
      </c>
    </row>
    <row r="4763" spans="7:7">
      <c r="G4763" t="s">
        <v>4951</v>
      </c>
    </row>
    <row r="4764" spans="7:7">
      <c r="G4764" t="s">
        <v>4952</v>
      </c>
    </row>
    <row r="4765" spans="7:7">
      <c r="G4765" t="s">
        <v>4953</v>
      </c>
    </row>
    <row r="4766" spans="7:7">
      <c r="G4766" t="s">
        <v>4954</v>
      </c>
    </row>
    <row r="4767" spans="7:7">
      <c r="G4767" t="s">
        <v>4955</v>
      </c>
    </row>
    <row r="4768" spans="7:7">
      <c r="G4768" t="s">
        <v>4956</v>
      </c>
    </row>
    <row r="4769" spans="7:7">
      <c r="G4769" t="s">
        <v>4957</v>
      </c>
    </row>
    <row r="4770" spans="7:7">
      <c r="G4770" t="s">
        <v>4958</v>
      </c>
    </row>
    <row r="4771" spans="7:7">
      <c r="G4771" t="s">
        <v>4959</v>
      </c>
    </row>
    <row r="4772" spans="7:7">
      <c r="G4772" t="s">
        <v>4960</v>
      </c>
    </row>
    <row r="4773" spans="7:7">
      <c r="G4773" t="s">
        <v>4961</v>
      </c>
    </row>
    <row r="4774" spans="7:7">
      <c r="G4774" t="s">
        <v>4962</v>
      </c>
    </row>
    <row r="4775" spans="7:7">
      <c r="G4775" t="s">
        <v>4963</v>
      </c>
    </row>
    <row r="4776" spans="7:7">
      <c r="G4776" t="s">
        <v>4964</v>
      </c>
    </row>
    <row r="4777" spans="7:7">
      <c r="G4777" t="s">
        <v>4965</v>
      </c>
    </row>
    <row r="4778" spans="7:7">
      <c r="G4778" t="s">
        <v>4966</v>
      </c>
    </row>
    <row r="4779" spans="7:7">
      <c r="G4779" t="s">
        <v>4967</v>
      </c>
    </row>
    <row r="4780" spans="7:7">
      <c r="G4780" t="s">
        <v>4968</v>
      </c>
    </row>
    <row r="4781" spans="7:7">
      <c r="G4781" t="s">
        <v>4969</v>
      </c>
    </row>
    <row r="4782" spans="7:7">
      <c r="G4782" t="s">
        <v>4970</v>
      </c>
    </row>
    <row r="4783" spans="7:7">
      <c r="G4783" t="s">
        <v>4971</v>
      </c>
    </row>
    <row r="4784" spans="7:7">
      <c r="G4784" t="s">
        <v>4972</v>
      </c>
    </row>
    <row r="4785" spans="7:7">
      <c r="G4785" t="s">
        <v>4973</v>
      </c>
    </row>
    <row r="4786" spans="7:7">
      <c r="G4786" t="s">
        <v>4974</v>
      </c>
    </row>
    <row r="4787" spans="7:7">
      <c r="G4787" t="s">
        <v>4975</v>
      </c>
    </row>
    <row r="4788" spans="7:7">
      <c r="G4788" t="s">
        <v>4976</v>
      </c>
    </row>
    <row r="4789" spans="7:7">
      <c r="G4789" t="s">
        <v>4977</v>
      </c>
    </row>
    <row r="4790" spans="7:7">
      <c r="G4790" t="s">
        <v>4978</v>
      </c>
    </row>
    <row r="4791" spans="7:7">
      <c r="G4791" t="s">
        <v>4979</v>
      </c>
    </row>
    <row r="4792" spans="7:7">
      <c r="G4792" t="s">
        <v>4980</v>
      </c>
    </row>
    <row r="4793" spans="7:7">
      <c r="G4793" t="s">
        <v>4981</v>
      </c>
    </row>
    <row r="4794" spans="7:7">
      <c r="G4794" t="s">
        <v>4982</v>
      </c>
    </row>
    <row r="4795" spans="7:7">
      <c r="G4795" t="s">
        <v>4983</v>
      </c>
    </row>
    <row r="4796" spans="7:7">
      <c r="G4796" t="s">
        <v>4984</v>
      </c>
    </row>
    <row r="4797" spans="7:7">
      <c r="G4797" t="s">
        <v>4985</v>
      </c>
    </row>
    <row r="4798" spans="7:7">
      <c r="G4798" t="s">
        <v>4986</v>
      </c>
    </row>
    <row r="4799" spans="7:7">
      <c r="G4799" t="s">
        <v>4987</v>
      </c>
    </row>
    <row r="4800" spans="7:7">
      <c r="G4800" t="s">
        <v>4988</v>
      </c>
    </row>
    <row r="4801" spans="7:7">
      <c r="G4801" t="s">
        <v>4989</v>
      </c>
    </row>
    <row r="4802" spans="7:7">
      <c r="G4802" t="s">
        <v>4990</v>
      </c>
    </row>
    <row r="4803" spans="7:7">
      <c r="G4803" t="s">
        <v>4991</v>
      </c>
    </row>
    <row r="4804" spans="7:7">
      <c r="G4804" t="s">
        <v>4992</v>
      </c>
    </row>
    <row r="4805" spans="7:7">
      <c r="G4805" t="s">
        <v>4993</v>
      </c>
    </row>
    <row r="4806" spans="7:7">
      <c r="G4806" t="s">
        <v>4994</v>
      </c>
    </row>
    <row r="4807" spans="7:7">
      <c r="G4807" t="s">
        <v>4995</v>
      </c>
    </row>
    <row r="4808" spans="7:7">
      <c r="G4808" t="s">
        <v>4996</v>
      </c>
    </row>
    <row r="4809" spans="7:7">
      <c r="G4809" t="s">
        <v>4997</v>
      </c>
    </row>
    <row r="4810" spans="7:7">
      <c r="G4810" t="s">
        <v>4998</v>
      </c>
    </row>
    <row r="4811" spans="7:7">
      <c r="G4811" t="s">
        <v>4999</v>
      </c>
    </row>
    <row r="4812" spans="7:7">
      <c r="G4812" t="s">
        <v>5000</v>
      </c>
    </row>
    <row r="4813" spans="7:7">
      <c r="G4813" t="s">
        <v>5001</v>
      </c>
    </row>
    <row r="4814" spans="7:7">
      <c r="G4814" t="s">
        <v>5002</v>
      </c>
    </row>
    <row r="4815" spans="7:7">
      <c r="G4815" t="s">
        <v>5003</v>
      </c>
    </row>
    <row r="4816" spans="7:7">
      <c r="G4816" t="s">
        <v>5004</v>
      </c>
    </row>
    <row r="4817" spans="7:7">
      <c r="G4817" t="s">
        <v>5005</v>
      </c>
    </row>
    <row r="4818" spans="7:7">
      <c r="G4818" t="s">
        <v>5006</v>
      </c>
    </row>
    <row r="4819" spans="7:7">
      <c r="G4819" t="s">
        <v>5007</v>
      </c>
    </row>
    <row r="4820" spans="7:7">
      <c r="G4820" t="s">
        <v>5008</v>
      </c>
    </row>
    <row r="4821" spans="7:7">
      <c r="G4821" t="s">
        <v>5009</v>
      </c>
    </row>
    <row r="4822" spans="7:7">
      <c r="G4822" t="s">
        <v>5010</v>
      </c>
    </row>
    <row r="4823" spans="7:7">
      <c r="G4823" t="s">
        <v>5011</v>
      </c>
    </row>
    <row r="4824" spans="7:7">
      <c r="G4824" t="s">
        <v>5012</v>
      </c>
    </row>
    <row r="4825" spans="7:7">
      <c r="G4825" t="s">
        <v>5013</v>
      </c>
    </row>
    <row r="4826" spans="7:7">
      <c r="G4826" t="s">
        <v>5014</v>
      </c>
    </row>
    <row r="4827" spans="7:7">
      <c r="G4827" t="s">
        <v>5015</v>
      </c>
    </row>
    <row r="4828" spans="7:7">
      <c r="G4828" t="s">
        <v>5016</v>
      </c>
    </row>
    <row r="4829" spans="7:7">
      <c r="G4829" t="s">
        <v>5017</v>
      </c>
    </row>
    <row r="4830" spans="7:7">
      <c r="G4830" t="s">
        <v>5018</v>
      </c>
    </row>
    <row r="4831" spans="7:7">
      <c r="G4831" t="s">
        <v>5019</v>
      </c>
    </row>
    <row r="4832" spans="7:7">
      <c r="G4832" t="s">
        <v>5020</v>
      </c>
    </row>
    <row r="4833" spans="7:7">
      <c r="G4833" t="s">
        <v>5021</v>
      </c>
    </row>
    <row r="4834" spans="7:7">
      <c r="G4834" t="s">
        <v>5022</v>
      </c>
    </row>
    <row r="4835" spans="7:7">
      <c r="G4835" t="s">
        <v>5023</v>
      </c>
    </row>
    <row r="4836" spans="7:7">
      <c r="G4836" t="s">
        <v>5024</v>
      </c>
    </row>
    <row r="4837" spans="7:7">
      <c r="G4837" t="s">
        <v>5025</v>
      </c>
    </row>
    <row r="4838" spans="7:7">
      <c r="G4838" t="s">
        <v>5026</v>
      </c>
    </row>
    <row r="4839" spans="7:7">
      <c r="G4839" t="s">
        <v>5027</v>
      </c>
    </row>
    <row r="4840" spans="7:7">
      <c r="G4840" t="s">
        <v>5028</v>
      </c>
    </row>
    <row r="4841" spans="7:7">
      <c r="G4841" t="s">
        <v>5029</v>
      </c>
    </row>
    <row r="4842" spans="7:7">
      <c r="G4842" t="s">
        <v>5030</v>
      </c>
    </row>
    <row r="4843" spans="7:7">
      <c r="G4843" t="s">
        <v>5031</v>
      </c>
    </row>
    <row r="4844" spans="7:7">
      <c r="G4844" t="s">
        <v>5032</v>
      </c>
    </row>
    <row r="4845" spans="7:7">
      <c r="G4845" t="s">
        <v>5033</v>
      </c>
    </row>
    <row r="4846" spans="7:7">
      <c r="G4846" t="s">
        <v>5034</v>
      </c>
    </row>
    <row r="4847" spans="7:7">
      <c r="G4847" t="s">
        <v>5035</v>
      </c>
    </row>
    <row r="4848" spans="7:7">
      <c r="G4848" t="s">
        <v>5036</v>
      </c>
    </row>
    <row r="4849" spans="7:7">
      <c r="G4849" t="s">
        <v>5037</v>
      </c>
    </row>
    <row r="4850" spans="7:7">
      <c r="G4850" t="s">
        <v>5038</v>
      </c>
    </row>
    <row r="4851" spans="7:7">
      <c r="G4851" t="s">
        <v>5039</v>
      </c>
    </row>
    <row r="4852" spans="7:7">
      <c r="G4852" t="s">
        <v>5040</v>
      </c>
    </row>
    <row r="4853" spans="7:7">
      <c r="G4853" t="s">
        <v>5041</v>
      </c>
    </row>
    <row r="4854" spans="7:7">
      <c r="G4854" t="s">
        <v>5042</v>
      </c>
    </row>
    <row r="4855" spans="7:7">
      <c r="G4855" t="s">
        <v>5043</v>
      </c>
    </row>
    <row r="4856" spans="7:7">
      <c r="G4856" t="s">
        <v>5044</v>
      </c>
    </row>
    <row r="4857" spans="7:7">
      <c r="G4857" t="s">
        <v>5045</v>
      </c>
    </row>
    <row r="4858" spans="7:7">
      <c r="G4858" t="s">
        <v>5046</v>
      </c>
    </row>
    <row r="4859" spans="7:7">
      <c r="G4859" t="s">
        <v>5047</v>
      </c>
    </row>
    <row r="4860" spans="7:7">
      <c r="G4860" t="s">
        <v>5048</v>
      </c>
    </row>
    <row r="4861" spans="7:7">
      <c r="G4861" t="s">
        <v>5049</v>
      </c>
    </row>
    <row r="4862" spans="7:7">
      <c r="G4862" t="s">
        <v>5050</v>
      </c>
    </row>
    <row r="4863" spans="7:7">
      <c r="G4863" t="s">
        <v>5051</v>
      </c>
    </row>
    <row r="4864" spans="7:7">
      <c r="G4864" t="s">
        <v>5052</v>
      </c>
    </row>
    <row r="4865" spans="7:7">
      <c r="G4865" t="s">
        <v>5053</v>
      </c>
    </row>
    <row r="4866" spans="7:7">
      <c r="G4866" t="s">
        <v>5054</v>
      </c>
    </row>
    <row r="4867" spans="7:7">
      <c r="G4867" t="s">
        <v>5055</v>
      </c>
    </row>
    <row r="4868" spans="7:7">
      <c r="G4868" t="s">
        <v>5056</v>
      </c>
    </row>
    <row r="4869" spans="7:7">
      <c r="G4869" t="s">
        <v>5057</v>
      </c>
    </row>
    <row r="4870" spans="7:7">
      <c r="G4870" t="s">
        <v>5058</v>
      </c>
    </row>
    <row r="4871" spans="7:7">
      <c r="G4871" t="s">
        <v>5059</v>
      </c>
    </row>
    <row r="4872" spans="7:7">
      <c r="G4872" t="s">
        <v>5060</v>
      </c>
    </row>
    <row r="4873" spans="7:7">
      <c r="G4873" t="s">
        <v>5061</v>
      </c>
    </row>
    <row r="4874" spans="7:7">
      <c r="G4874" t="s">
        <v>5062</v>
      </c>
    </row>
    <row r="4875" spans="7:7">
      <c r="G4875" t="s">
        <v>5063</v>
      </c>
    </row>
    <row r="4876" spans="7:7">
      <c r="G4876" t="s">
        <v>5064</v>
      </c>
    </row>
    <row r="4877" spans="7:7">
      <c r="G4877" t="s">
        <v>5065</v>
      </c>
    </row>
    <row r="4878" spans="7:7">
      <c r="G4878" t="s">
        <v>5066</v>
      </c>
    </row>
    <row r="4879" spans="7:7">
      <c r="G4879" t="s">
        <v>5067</v>
      </c>
    </row>
    <row r="4880" spans="7:7">
      <c r="G4880" t="s">
        <v>5068</v>
      </c>
    </row>
    <row r="4881" spans="7:7">
      <c r="G4881" t="s">
        <v>5069</v>
      </c>
    </row>
    <row r="4882" spans="7:7">
      <c r="G4882" t="s">
        <v>5070</v>
      </c>
    </row>
    <row r="4883" spans="7:7">
      <c r="G4883" t="s">
        <v>5071</v>
      </c>
    </row>
    <row r="4884" spans="7:7">
      <c r="G4884" t="s">
        <v>5072</v>
      </c>
    </row>
    <row r="4885" spans="7:7">
      <c r="G4885" t="s">
        <v>5073</v>
      </c>
    </row>
    <row r="4886" spans="7:7">
      <c r="G4886" t="s">
        <v>5074</v>
      </c>
    </row>
    <row r="4887" spans="7:7">
      <c r="G4887" t="s">
        <v>5075</v>
      </c>
    </row>
    <row r="4888" spans="7:7">
      <c r="G4888" t="s">
        <v>5076</v>
      </c>
    </row>
    <row r="4889" spans="7:7">
      <c r="G4889" t="s">
        <v>5077</v>
      </c>
    </row>
    <row r="4890" spans="7:7">
      <c r="G4890" t="s">
        <v>5078</v>
      </c>
    </row>
    <row r="4891" spans="7:7">
      <c r="G4891" t="s">
        <v>5079</v>
      </c>
    </row>
    <row r="4892" spans="7:7">
      <c r="G4892" t="s">
        <v>5080</v>
      </c>
    </row>
    <row r="4893" spans="7:7">
      <c r="G4893" t="s">
        <v>5081</v>
      </c>
    </row>
    <row r="4894" spans="7:7">
      <c r="G4894" t="s">
        <v>5082</v>
      </c>
    </row>
    <row r="4895" spans="7:7">
      <c r="G4895" t="s">
        <v>5083</v>
      </c>
    </row>
    <row r="4896" spans="7:7">
      <c r="G4896" t="s">
        <v>5084</v>
      </c>
    </row>
    <row r="4897" spans="7:7">
      <c r="G4897" t="s">
        <v>5085</v>
      </c>
    </row>
    <row r="4898" spans="7:7">
      <c r="G4898" t="s">
        <v>5086</v>
      </c>
    </row>
    <row r="4899" spans="7:7">
      <c r="G4899" t="s">
        <v>5087</v>
      </c>
    </row>
    <row r="4900" spans="7:7">
      <c r="G4900" t="s">
        <v>5088</v>
      </c>
    </row>
    <row r="4901" spans="7:7">
      <c r="G4901" t="s">
        <v>5089</v>
      </c>
    </row>
    <row r="4902" spans="7:7">
      <c r="G4902" t="s">
        <v>5090</v>
      </c>
    </row>
    <row r="4903" spans="7:7">
      <c r="G4903" t="s">
        <v>5091</v>
      </c>
    </row>
    <row r="4904" spans="7:7">
      <c r="G4904" t="s">
        <v>5092</v>
      </c>
    </row>
    <row r="4905" spans="7:7">
      <c r="G4905" t="s">
        <v>5093</v>
      </c>
    </row>
    <row r="4906" spans="7:7">
      <c r="G4906" t="s">
        <v>5094</v>
      </c>
    </row>
    <row r="4907" spans="7:7">
      <c r="G4907" t="s">
        <v>5095</v>
      </c>
    </row>
    <row r="4908" spans="7:7">
      <c r="G4908" t="s">
        <v>5096</v>
      </c>
    </row>
    <row r="4909" spans="7:7">
      <c r="G4909" t="s">
        <v>5097</v>
      </c>
    </row>
    <row r="4910" spans="7:7">
      <c r="G4910" t="s">
        <v>5098</v>
      </c>
    </row>
    <row r="4911" spans="7:7">
      <c r="G4911" t="s">
        <v>5099</v>
      </c>
    </row>
    <row r="4912" spans="7:7">
      <c r="G4912" t="s">
        <v>5100</v>
      </c>
    </row>
    <row r="4913" spans="7:7">
      <c r="G4913" t="s">
        <v>5101</v>
      </c>
    </row>
    <row r="4914" spans="7:7">
      <c r="G4914" t="s">
        <v>5102</v>
      </c>
    </row>
    <row r="4915" spans="7:7">
      <c r="G4915" t="s">
        <v>5103</v>
      </c>
    </row>
    <row r="4916" spans="7:7">
      <c r="G4916" t="s">
        <v>5104</v>
      </c>
    </row>
    <row r="4917" spans="7:7">
      <c r="G4917" t="s">
        <v>5105</v>
      </c>
    </row>
    <row r="4918" spans="7:7">
      <c r="G4918" t="s">
        <v>5106</v>
      </c>
    </row>
    <row r="4919" spans="7:7">
      <c r="G4919" t="s">
        <v>5107</v>
      </c>
    </row>
    <row r="4920" spans="7:7">
      <c r="G4920" t="s">
        <v>5108</v>
      </c>
    </row>
    <row r="4921" spans="7:7">
      <c r="G4921" t="s">
        <v>5109</v>
      </c>
    </row>
    <row r="4922" spans="7:7">
      <c r="G4922" t="s">
        <v>5110</v>
      </c>
    </row>
    <row r="4923" spans="7:7">
      <c r="G4923" t="s">
        <v>5111</v>
      </c>
    </row>
    <row r="4924" spans="7:7">
      <c r="G4924" t="s">
        <v>5112</v>
      </c>
    </row>
    <row r="4925" spans="7:7">
      <c r="G4925" t="s">
        <v>5113</v>
      </c>
    </row>
    <row r="4926" spans="7:7">
      <c r="G4926" t="s">
        <v>5114</v>
      </c>
    </row>
    <row r="4927" spans="7:7">
      <c r="G4927" t="s">
        <v>5115</v>
      </c>
    </row>
    <row r="4928" spans="7:7">
      <c r="G4928" t="s">
        <v>5116</v>
      </c>
    </row>
    <row r="4929" spans="7:7">
      <c r="G4929" t="s">
        <v>5117</v>
      </c>
    </row>
    <row r="4930" spans="7:7">
      <c r="G4930" t="s">
        <v>5118</v>
      </c>
    </row>
    <row r="4931" spans="7:7">
      <c r="G4931" t="s">
        <v>5119</v>
      </c>
    </row>
    <row r="4932" spans="7:7">
      <c r="G4932" t="s">
        <v>5120</v>
      </c>
    </row>
    <row r="4933" spans="7:7">
      <c r="G4933" t="s">
        <v>5121</v>
      </c>
    </row>
    <row r="4934" spans="7:7">
      <c r="G4934" t="s">
        <v>5122</v>
      </c>
    </row>
    <row r="4935" spans="7:7">
      <c r="G4935" t="s">
        <v>5123</v>
      </c>
    </row>
    <row r="4936" spans="7:7">
      <c r="G4936" t="s">
        <v>5124</v>
      </c>
    </row>
    <row r="4937" spans="7:7">
      <c r="G4937" t="s">
        <v>5125</v>
      </c>
    </row>
    <row r="4938" spans="7:7">
      <c r="G4938" t="s">
        <v>5126</v>
      </c>
    </row>
    <row r="4939" spans="7:7">
      <c r="G4939" t="s">
        <v>5127</v>
      </c>
    </row>
    <row r="4940" spans="7:7">
      <c r="G4940" t="s">
        <v>5128</v>
      </c>
    </row>
    <row r="4941" spans="7:7">
      <c r="G4941" t="s">
        <v>5129</v>
      </c>
    </row>
    <row r="4942" spans="7:7">
      <c r="G4942" t="s">
        <v>5130</v>
      </c>
    </row>
    <row r="4943" spans="7:7">
      <c r="G4943" t="s">
        <v>5131</v>
      </c>
    </row>
    <row r="4944" spans="7:7">
      <c r="G4944" t="s">
        <v>5132</v>
      </c>
    </row>
    <row r="4945" spans="7:7">
      <c r="G4945" t="s">
        <v>5133</v>
      </c>
    </row>
    <row r="4946" spans="7:7">
      <c r="G4946" t="s">
        <v>5134</v>
      </c>
    </row>
    <row r="4947" spans="7:7">
      <c r="G4947" t="s">
        <v>5135</v>
      </c>
    </row>
    <row r="4948" spans="7:7">
      <c r="G4948" t="s">
        <v>5136</v>
      </c>
    </row>
    <row r="4949" spans="7:7">
      <c r="G4949" t="s">
        <v>5137</v>
      </c>
    </row>
    <row r="4950" spans="7:7">
      <c r="G4950" t="s">
        <v>5138</v>
      </c>
    </row>
    <row r="4951" spans="7:7">
      <c r="G4951" t="s">
        <v>5139</v>
      </c>
    </row>
    <row r="4952" spans="7:7">
      <c r="G4952" t="s">
        <v>5140</v>
      </c>
    </row>
    <row r="4953" spans="7:7">
      <c r="G4953" t="s">
        <v>5141</v>
      </c>
    </row>
    <row r="4954" spans="7:7">
      <c r="G4954" t="s">
        <v>5142</v>
      </c>
    </row>
    <row r="4955" spans="7:7">
      <c r="G4955" t="s">
        <v>5143</v>
      </c>
    </row>
    <row r="4956" spans="7:7">
      <c r="G4956" t="s">
        <v>5144</v>
      </c>
    </row>
    <row r="4957" spans="7:7">
      <c r="G4957" t="s">
        <v>5145</v>
      </c>
    </row>
    <row r="4958" spans="7:7">
      <c r="G4958" t="s">
        <v>5146</v>
      </c>
    </row>
    <row r="4959" spans="7:7">
      <c r="G4959" t="s">
        <v>5147</v>
      </c>
    </row>
    <row r="4960" spans="7:7">
      <c r="G4960" t="s">
        <v>5148</v>
      </c>
    </row>
    <row r="4961" spans="7:7">
      <c r="G4961" t="s">
        <v>5149</v>
      </c>
    </row>
    <row r="4962" spans="7:7">
      <c r="G4962" t="s">
        <v>5150</v>
      </c>
    </row>
    <row r="4963" spans="7:7">
      <c r="G4963" t="s">
        <v>5151</v>
      </c>
    </row>
    <row r="4964" spans="7:7">
      <c r="G4964" t="s">
        <v>5152</v>
      </c>
    </row>
    <row r="4965" spans="7:7">
      <c r="G4965" t="s">
        <v>5153</v>
      </c>
    </row>
    <row r="4966" spans="7:7">
      <c r="G4966" t="s">
        <v>5154</v>
      </c>
    </row>
    <row r="4967" spans="7:7">
      <c r="G4967" t="s">
        <v>5155</v>
      </c>
    </row>
    <row r="4968" spans="7:7">
      <c r="G4968" t="s">
        <v>5156</v>
      </c>
    </row>
    <row r="4969" spans="7:7">
      <c r="G4969" t="s">
        <v>5157</v>
      </c>
    </row>
    <row r="4970" spans="7:7">
      <c r="G4970" t="s">
        <v>5158</v>
      </c>
    </row>
    <row r="4971" spans="7:7">
      <c r="G4971" t="s">
        <v>5159</v>
      </c>
    </row>
    <row r="4972" spans="7:7">
      <c r="G4972" t="s">
        <v>5160</v>
      </c>
    </row>
    <row r="4973" spans="7:7">
      <c r="G4973" t="s">
        <v>5161</v>
      </c>
    </row>
    <row r="4974" spans="7:7">
      <c r="G4974" t="s">
        <v>5162</v>
      </c>
    </row>
    <row r="4975" spans="7:7">
      <c r="G4975" t="s">
        <v>5163</v>
      </c>
    </row>
    <row r="4976" spans="7:7">
      <c r="G4976" t="s">
        <v>5164</v>
      </c>
    </row>
    <row r="4977" spans="7:7">
      <c r="G4977" t="s">
        <v>5165</v>
      </c>
    </row>
    <row r="4978" spans="7:7">
      <c r="G4978" t="s">
        <v>5166</v>
      </c>
    </row>
    <row r="4979" spans="7:7">
      <c r="G4979" t="s">
        <v>5167</v>
      </c>
    </row>
    <row r="4980" spans="7:7">
      <c r="G4980" t="s">
        <v>5168</v>
      </c>
    </row>
    <row r="4981" spans="7:7">
      <c r="G4981" t="s">
        <v>5169</v>
      </c>
    </row>
    <row r="4982" spans="7:7">
      <c r="G4982" t="s">
        <v>5170</v>
      </c>
    </row>
    <row r="4983" spans="7:7">
      <c r="G4983" t="s">
        <v>5171</v>
      </c>
    </row>
    <row r="4984" spans="7:7">
      <c r="G4984" t="s">
        <v>5172</v>
      </c>
    </row>
    <row r="4985" spans="7:7">
      <c r="G4985" t="s">
        <v>5173</v>
      </c>
    </row>
    <row r="4986" spans="7:7">
      <c r="G4986" t="s">
        <v>5174</v>
      </c>
    </row>
    <row r="4987" spans="7:7">
      <c r="G4987" t="s">
        <v>5175</v>
      </c>
    </row>
    <row r="4988" spans="7:7">
      <c r="G4988" t="s">
        <v>5176</v>
      </c>
    </row>
    <row r="4989" spans="7:7">
      <c r="G4989" t="s">
        <v>5177</v>
      </c>
    </row>
    <row r="4990" spans="7:7">
      <c r="G4990" t="s">
        <v>5178</v>
      </c>
    </row>
    <row r="4991" spans="7:7">
      <c r="G4991" t="s">
        <v>5179</v>
      </c>
    </row>
    <row r="4992" spans="7:7">
      <c r="G4992" t="s">
        <v>5180</v>
      </c>
    </row>
    <row r="4993" spans="7:7">
      <c r="G4993" t="s">
        <v>5181</v>
      </c>
    </row>
    <row r="4994" spans="7:7">
      <c r="G4994" t="s">
        <v>5182</v>
      </c>
    </row>
    <row r="4995" spans="7:7">
      <c r="G4995" t="s">
        <v>5183</v>
      </c>
    </row>
    <row r="4996" spans="7:7">
      <c r="G4996" t="s">
        <v>5184</v>
      </c>
    </row>
    <row r="4997" spans="7:7">
      <c r="G4997" t="s">
        <v>5185</v>
      </c>
    </row>
    <row r="4998" spans="7:7">
      <c r="G4998" t="s">
        <v>5186</v>
      </c>
    </row>
    <row r="4999" spans="7:7">
      <c r="G4999" t="s">
        <v>5187</v>
      </c>
    </row>
    <row r="5000" spans="7:7">
      <c r="G5000" t="s">
        <v>5188</v>
      </c>
    </row>
    <row r="5001" spans="7:7">
      <c r="G5001" t="s">
        <v>5189</v>
      </c>
    </row>
    <row r="5002" spans="7:7">
      <c r="G5002" t="s">
        <v>5190</v>
      </c>
    </row>
    <row r="5003" spans="7:7">
      <c r="G5003" t="s">
        <v>5191</v>
      </c>
    </row>
    <row r="5004" spans="7:7">
      <c r="G5004" t="s">
        <v>5192</v>
      </c>
    </row>
    <row r="5005" spans="7:7">
      <c r="G5005" t="s">
        <v>5193</v>
      </c>
    </row>
    <row r="5006" spans="7:7">
      <c r="G5006" t="s">
        <v>5194</v>
      </c>
    </row>
    <row r="5007" spans="7:7">
      <c r="G5007" t="s">
        <v>5195</v>
      </c>
    </row>
    <row r="5008" spans="7:7">
      <c r="G5008" t="s">
        <v>5196</v>
      </c>
    </row>
    <row r="5009" spans="7:7">
      <c r="G5009" t="s">
        <v>5197</v>
      </c>
    </row>
    <row r="5010" spans="7:7">
      <c r="G5010" t="s">
        <v>5198</v>
      </c>
    </row>
    <row r="5011" spans="7:7">
      <c r="G5011" t="s">
        <v>5199</v>
      </c>
    </row>
    <row r="5012" spans="7:7">
      <c r="G5012" t="s">
        <v>5200</v>
      </c>
    </row>
    <row r="5013" spans="7:7">
      <c r="G5013" t="s">
        <v>5201</v>
      </c>
    </row>
    <row r="5014" spans="7:7">
      <c r="G5014" t="s">
        <v>5202</v>
      </c>
    </row>
    <row r="5015" spans="7:7">
      <c r="G5015" t="s">
        <v>5203</v>
      </c>
    </row>
    <row r="5016" spans="7:7">
      <c r="G5016" t="s">
        <v>5204</v>
      </c>
    </row>
    <row r="5017" spans="7:7">
      <c r="G5017" t="s">
        <v>5205</v>
      </c>
    </row>
    <row r="5018" spans="7:7">
      <c r="G5018" t="s">
        <v>5206</v>
      </c>
    </row>
    <row r="5019" spans="7:7">
      <c r="G5019" t="s">
        <v>5207</v>
      </c>
    </row>
    <row r="5020" spans="7:7">
      <c r="G5020" t="s">
        <v>5208</v>
      </c>
    </row>
    <row r="5021" spans="7:7">
      <c r="G5021" t="s">
        <v>5209</v>
      </c>
    </row>
    <row r="5022" spans="7:7">
      <c r="G5022" t="s">
        <v>5210</v>
      </c>
    </row>
    <row r="5023" spans="7:7">
      <c r="G5023" t="s">
        <v>5211</v>
      </c>
    </row>
    <row r="5024" spans="7:7">
      <c r="G5024" t="s">
        <v>5212</v>
      </c>
    </row>
    <row r="5025" spans="7:7">
      <c r="G5025" t="s">
        <v>5213</v>
      </c>
    </row>
    <row r="5026" spans="7:7">
      <c r="G5026" t="s">
        <v>5214</v>
      </c>
    </row>
    <row r="5027" spans="7:7">
      <c r="G5027" t="s">
        <v>5215</v>
      </c>
    </row>
    <row r="5028" spans="7:7">
      <c r="G5028" t="s">
        <v>5216</v>
      </c>
    </row>
    <row r="5029" spans="7:7">
      <c r="G5029" t="s">
        <v>5217</v>
      </c>
    </row>
    <row r="5030" spans="7:7">
      <c r="G5030" t="s">
        <v>5218</v>
      </c>
    </row>
    <row r="5031" spans="7:7">
      <c r="G5031" t="s">
        <v>5219</v>
      </c>
    </row>
    <row r="5032" spans="7:7">
      <c r="G5032" t="s">
        <v>5220</v>
      </c>
    </row>
    <row r="5033" spans="7:7">
      <c r="G5033" t="s">
        <v>5221</v>
      </c>
    </row>
    <row r="5034" spans="7:7">
      <c r="G5034" t="s">
        <v>5222</v>
      </c>
    </row>
    <row r="5035" spans="7:7">
      <c r="G5035" t="s">
        <v>5223</v>
      </c>
    </row>
    <row r="5036" spans="7:7">
      <c r="G5036" t="s">
        <v>5224</v>
      </c>
    </row>
    <row r="5037" spans="7:7">
      <c r="G5037" t="s">
        <v>5225</v>
      </c>
    </row>
    <row r="5038" spans="7:7">
      <c r="G5038" t="s">
        <v>5226</v>
      </c>
    </row>
    <row r="5039" spans="7:7">
      <c r="G5039" t="s">
        <v>5227</v>
      </c>
    </row>
    <row r="5040" spans="7:7">
      <c r="G5040" t="s">
        <v>5228</v>
      </c>
    </row>
    <row r="5041" spans="7:7">
      <c r="G5041" t="s">
        <v>5229</v>
      </c>
    </row>
    <row r="5042" spans="7:7">
      <c r="G5042" t="s">
        <v>5230</v>
      </c>
    </row>
    <row r="5043" spans="7:7">
      <c r="G5043" t="s">
        <v>5231</v>
      </c>
    </row>
    <row r="5044" spans="7:7">
      <c r="G5044" t="s">
        <v>5232</v>
      </c>
    </row>
    <row r="5045" spans="7:7">
      <c r="G5045" t="s">
        <v>5233</v>
      </c>
    </row>
    <row r="5046" spans="7:7">
      <c r="G5046" t="s">
        <v>5234</v>
      </c>
    </row>
    <row r="5047" spans="7:7">
      <c r="G5047" t="s">
        <v>5235</v>
      </c>
    </row>
    <row r="5048" spans="7:7">
      <c r="G5048" t="s">
        <v>5236</v>
      </c>
    </row>
    <row r="5049" spans="7:7">
      <c r="G5049" t="s">
        <v>5237</v>
      </c>
    </row>
    <row r="5050" spans="7:7">
      <c r="G5050" t="s">
        <v>5238</v>
      </c>
    </row>
    <row r="5051" spans="7:7">
      <c r="G5051" t="s">
        <v>5239</v>
      </c>
    </row>
    <row r="5052" spans="7:7">
      <c r="G5052" t="s">
        <v>5240</v>
      </c>
    </row>
    <row r="5053" spans="7:7">
      <c r="G5053" t="s">
        <v>5241</v>
      </c>
    </row>
    <row r="5054" spans="7:7">
      <c r="G5054" t="s">
        <v>5242</v>
      </c>
    </row>
    <row r="5055" spans="7:7">
      <c r="G5055" t="s">
        <v>5243</v>
      </c>
    </row>
    <row r="5056" spans="7:7">
      <c r="G5056" t="s">
        <v>5244</v>
      </c>
    </row>
    <row r="5057" spans="7:7">
      <c r="G5057" t="s">
        <v>5245</v>
      </c>
    </row>
    <row r="5058" spans="7:7">
      <c r="G5058" t="s">
        <v>5246</v>
      </c>
    </row>
    <row r="5059" spans="7:7">
      <c r="G5059" t="s">
        <v>5247</v>
      </c>
    </row>
    <row r="5060" spans="7:7">
      <c r="G5060" t="s">
        <v>5248</v>
      </c>
    </row>
    <row r="5061" spans="7:7">
      <c r="G5061" t="s">
        <v>5249</v>
      </c>
    </row>
    <row r="5062" spans="7:7">
      <c r="G5062" t="s">
        <v>5250</v>
      </c>
    </row>
    <row r="5063" spans="7:7">
      <c r="G5063" t="s">
        <v>5251</v>
      </c>
    </row>
    <row r="5064" spans="7:7">
      <c r="G5064" t="s">
        <v>5252</v>
      </c>
    </row>
    <row r="5065" spans="7:7">
      <c r="G5065" t="s">
        <v>5253</v>
      </c>
    </row>
    <row r="5066" spans="7:7">
      <c r="G5066" t="s">
        <v>5254</v>
      </c>
    </row>
    <row r="5067" spans="7:7">
      <c r="G5067" t="s">
        <v>5255</v>
      </c>
    </row>
    <row r="5068" spans="7:7">
      <c r="G5068" t="s">
        <v>5256</v>
      </c>
    </row>
    <row r="5069" spans="7:7">
      <c r="G5069" t="s">
        <v>5257</v>
      </c>
    </row>
    <row r="5070" spans="7:7">
      <c r="G5070" t="s">
        <v>5258</v>
      </c>
    </row>
    <row r="5071" spans="7:7">
      <c r="G5071" t="s">
        <v>5259</v>
      </c>
    </row>
    <row r="5072" spans="7:7">
      <c r="G5072" t="s">
        <v>5260</v>
      </c>
    </row>
    <row r="5073" spans="7:7">
      <c r="G5073" t="s">
        <v>5261</v>
      </c>
    </row>
    <row r="5074" spans="7:7">
      <c r="G5074" t="s">
        <v>5262</v>
      </c>
    </row>
    <row r="5075" spans="7:7">
      <c r="G5075" t="s">
        <v>5263</v>
      </c>
    </row>
    <row r="5076" spans="7:7">
      <c r="G5076" t="s">
        <v>5264</v>
      </c>
    </row>
    <row r="5077" spans="7:7">
      <c r="G5077" t="s">
        <v>5265</v>
      </c>
    </row>
    <row r="5078" spans="7:7">
      <c r="G5078" t="s">
        <v>5266</v>
      </c>
    </row>
    <row r="5079" spans="7:7">
      <c r="G5079" t="s">
        <v>5267</v>
      </c>
    </row>
    <row r="5080" spans="7:7">
      <c r="G5080" t="s">
        <v>5268</v>
      </c>
    </row>
    <row r="5081" spans="7:7">
      <c r="G5081" t="s">
        <v>5269</v>
      </c>
    </row>
    <row r="5082" spans="7:7">
      <c r="G5082" t="s">
        <v>5270</v>
      </c>
    </row>
    <row r="5083" spans="7:7">
      <c r="G5083" t="s">
        <v>5271</v>
      </c>
    </row>
    <row r="5084" spans="7:7">
      <c r="G5084" t="s">
        <v>5272</v>
      </c>
    </row>
    <row r="5085" spans="7:7">
      <c r="G5085" t="s">
        <v>5273</v>
      </c>
    </row>
    <row r="5086" spans="7:7">
      <c r="G5086" t="s">
        <v>5274</v>
      </c>
    </row>
    <row r="5087" spans="7:7">
      <c r="G5087" t="s">
        <v>5275</v>
      </c>
    </row>
    <row r="5088" spans="7:7">
      <c r="G5088" t="s">
        <v>5276</v>
      </c>
    </row>
    <row r="5089" spans="7:7">
      <c r="G5089" t="s">
        <v>5277</v>
      </c>
    </row>
    <row r="5090" spans="7:7">
      <c r="G5090" t="s">
        <v>5278</v>
      </c>
    </row>
    <row r="5091" spans="7:7">
      <c r="G5091" t="s">
        <v>5279</v>
      </c>
    </row>
    <row r="5092" spans="7:7">
      <c r="G5092" t="s">
        <v>5280</v>
      </c>
    </row>
    <row r="5093" spans="7:7">
      <c r="G5093" t="s">
        <v>5281</v>
      </c>
    </row>
    <row r="5094" spans="7:7">
      <c r="G5094" t="s">
        <v>5282</v>
      </c>
    </row>
    <row r="5095" spans="7:7">
      <c r="G5095" t="s">
        <v>5283</v>
      </c>
    </row>
    <row r="5096" spans="7:7">
      <c r="G5096" t="s">
        <v>5284</v>
      </c>
    </row>
    <row r="5097" spans="7:7">
      <c r="G5097" t="s">
        <v>5285</v>
      </c>
    </row>
    <row r="5098" spans="7:7">
      <c r="G5098" t="s">
        <v>5286</v>
      </c>
    </row>
    <row r="5099" spans="7:7">
      <c r="G5099" t="s">
        <v>5287</v>
      </c>
    </row>
    <row r="5100" spans="7:7">
      <c r="G5100" t="s">
        <v>5288</v>
      </c>
    </row>
    <row r="5101" spans="7:7">
      <c r="G5101" t="s">
        <v>5289</v>
      </c>
    </row>
    <row r="5102" spans="7:7">
      <c r="G5102" t="s">
        <v>5290</v>
      </c>
    </row>
    <row r="5103" spans="7:7">
      <c r="G5103" t="s">
        <v>5291</v>
      </c>
    </row>
    <row r="5104" spans="7:7">
      <c r="G5104" t="s">
        <v>5292</v>
      </c>
    </row>
    <row r="5105" spans="7:7">
      <c r="G5105" t="s">
        <v>5293</v>
      </c>
    </row>
    <row r="5106" spans="7:7">
      <c r="G5106" t="s">
        <v>5294</v>
      </c>
    </row>
    <row r="5107" spans="7:7">
      <c r="G5107" t="s">
        <v>5295</v>
      </c>
    </row>
    <row r="5108" spans="7:7">
      <c r="G5108" t="s">
        <v>5296</v>
      </c>
    </row>
    <row r="5109" spans="7:7">
      <c r="G5109" t="s">
        <v>5297</v>
      </c>
    </row>
    <row r="5110" spans="7:7">
      <c r="G5110" t="s">
        <v>5298</v>
      </c>
    </row>
    <row r="5111" spans="7:7">
      <c r="G5111" t="s">
        <v>5299</v>
      </c>
    </row>
    <row r="5112" spans="7:7">
      <c r="G5112" t="s">
        <v>5300</v>
      </c>
    </row>
    <row r="5113" spans="7:7">
      <c r="G5113" t="s">
        <v>5301</v>
      </c>
    </row>
    <row r="5114" spans="7:7">
      <c r="G5114" t="s">
        <v>5302</v>
      </c>
    </row>
    <row r="5115" spans="7:7">
      <c r="G5115" t="s">
        <v>5303</v>
      </c>
    </row>
    <row r="5116" spans="7:7">
      <c r="G5116" t="s">
        <v>5304</v>
      </c>
    </row>
    <row r="5117" spans="7:7">
      <c r="G5117" t="s">
        <v>5305</v>
      </c>
    </row>
    <row r="5118" spans="7:7">
      <c r="G5118" t="s">
        <v>5306</v>
      </c>
    </row>
    <row r="5119" spans="7:7">
      <c r="G5119" t="s">
        <v>5307</v>
      </c>
    </row>
    <row r="5120" spans="7:7">
      <c r="G5120" t="s">
        <v>5308</v>
      </c>
    </row>
    <row r="5121" spans="7:7">
      <c r="G5121" t="s">
        <v>5309</v>
      </c>
    </row>
    <row r="5122" spans="7:7">
      <c r="G5122" t="s">
        <v>5310</v>
      </c>
    </row>
    <row r="5123" spans="7:7">
      <c r="G5123" t="s">
        <v>5311</v>
      </c>
    </row>
    <row r="5124" spans="7:7">
      <c r="G5124" t="s">
        <v>5312</v>
      </c>
    </row>
    <row r="5125" spans="7:7">
      <c r="G5125" t="s">
        <v>5313</v>
      </c>
    </row>
    <row r="5126" spans="7:7">
      <c r="G5126" t="s">
        <v>5314</v>
      </c>
    </row>
    <row r="5127" spans="7:7">
      <c r="G5127" t="s">
        <v>5315</v>
      </c>
    </row>
    <row r="5128" spans="7:7">
      <c r="G5128" t="s">
        <v>5316</v>
      </c>
    </row>
    <row r="5129" spans="7:7">
      <c r="G5129" t="s">
        <v>5317</v>
      </c>
    </row>
    <row r="5130" spans="7:7">
      <c r="G5130" t="s">
        <v>5318</v>
      </c>
    </row>
    <row r="5131" spans="7:7">
      <c r="G5131" t="s">
        <v>5319</v>
      </c>
    </row>
    <row r="5132" spans="7:7">
      <c r="G5132" t="s">
        <v>5320</v>
      </c>
    </row>
    <row r="5133" spans="7:7">
      <c r="G5133" t="s">
        <v>5321</v>
      </c>
    </row>
    <row r="5134" spans="7:7">
      <c r="G5134" t="s">
        <v>5322</v>
      </c>
    </row>
    <row r="5135" spans="7:7">
      <c r="G5135" t="s">
        <v>5323</v>
      </c>
    </row>
    <row r="5136" spans="7:7">
      <c r="G5136" t="s">
        <v>5324</v>
      </c>
    </row>
    <row r="5137" spans="7:7">
      <c r="G5137" t="s">
        <v>5325</v>
      </c>
    </row>
    <row r="5138" spans="7:7">
      <c r="G5138" t="s">
        <v>5326</v>
      </c>
    </row>
    <row r="5139" spans="7:7">
      <c r="G5139" t="s">
        <v>5327</v>
      </c>
    </row>
    <row r="5140" spans="7:7">
      <c r="G5140" t="s">
        <v>5328</v>
      </c>
    </row>
    <row r="5141" spans="7:7">
      <c r="G5141" t="s">
        <v>5329</v>
      </c>
    </row>
    <row r="5142" spans="7:7">
      <c r="G5142" t="s">
        <v>5330</v>
      </c>
    </row>
    <row r="5143" spans="7:7">
      <c r="G5143" t="s">
        <v>5331</v>
      </c>
    </row>
    <row r="5144" spans="7:7">
      <c r="G5144" t="s">
        <v>5332</v>
      </c>
    </row>
    <row r="5145" spans="7:7">
      <c r="G5145" t="s">
        <v>5333</v>
      </c>
    </row>
    <row r="5146" spans="7:7">
      <c r="G5146" t="s">
        <v>5334</v>
      </c>
    </row>
    <row r="5147" spans="7:7">
      <c r="G5147" t="s">
        <v>5335</v>
      </c>
    </row>
    <row r="5148" spans="7:7">
      <c r="G5148" t="s">
        <v>5336</v>
      </c>
    </row>
    <row r="5149" spans="7:7">
      <c r="G5149" t="s">
        <v>5337</v>
      </c>
    </row>
    <row r="5150" spans="7:7">
      <c r="G5150" t="s">
        <v>5338</v>
      </c>
    </row>
    <row r="5151" spans="7:7">
      <c r="G5151" t="s">
        <v>5339</v>
      </c>
    </row>
    <row r="5152" spans="7:7">
      <c r="G5152" t="s">
        <v>5340</v>
      </c>
    </row>
    <row r="5153" spans="7:7">
      <c r="G5153" t="s">
        <v>5341</v>
      </c>
    </row>
    <row r="5154" spans="7:7">
      <c r="G5154" t="s">
        <v>5342</v>
      </c>
    </row>
    <row r="5155" spans="7:7">
      <c r="G5155" t="s">
        <v>5343</v>
      </c>
    </row>
    <row r="5156" spans="7:7">
      <c r="G5156" t="s">
        <v>5344</v>
      </c>
    </row>
    <row r="5157" spans="7:7">
      <c r="G5157" t="s">
        <v>5345</v>
      </c>
    </row>
    <row r="5158" spans="7:7">
      <c r="G5158" t="s">
        <v>5346</v>
      </c>
    </row>
    <row r="5159" spans="7:7">
      <c r="G5159" t="s">
        <v>5347</v>
      </c>
    </row>
    <row r="5160" spans="7:7">
      <c r="G5160" t="s">
        <v>5348</v>
      </c>
    </row>
    <row r="5161" spans="7:7">
      <c r="G5161" t="s">
        <v>5349</v>
      </c>
    </row>
    <row r="5162" spans="7:7">
      <c r="G5162" t="s">
        <v>5350</v>
      </c>
    </row>
    <row r="5163" spans="7:7">
      <c r="G5163" t="s">
        <v>5351</v>
      </c>
    </row>
    <row r="5164" spans="7:7">
      <c r="G5164" t="s">
        <v>5352</v>
      </c>
    </row>
    <row r="5165" spans="7:7">
      <c r="G5165" t="s">
        <v>5353</v>
      </c>
    </row>
    <row r="5166" spans="7:7">
      <c r="G5166" t="s">
        <v>5354</v>
      </c>
    </row>
    <row r="5167" spans="7:7">
      <c r="G5167" t="s">
        <v>5355</v>
      </c>
    </row>
    <row r="5168" spans="7:7">
      <c r="G5168" t="s">
        <v>5356</v>
      </c>
    </row>
    <row r="5169" spans="7:7">
      <c r="G5169" t="s">
        <v>5357</v>
      </c>
    </row>
    <row r="5170" spans="7:7">
      <c r="G5170" t="s">
        <v>5358</v>
      </c>
    </row>
    <row r="5171" spans="7:7">
      <c r="G5171" t="s">
        <v>5359</v>
      </c>
    </row>
    <row r="5172" spans="7:7">
      <c r="G5172" t="s">
        <v>5360</v>
      </c>
    </row>
    <row r="5173" spans="7:7">
      <c r="G5173" t="s">
        <v>5361</v>
      </c>
    </row>
    <row r="5174" spans="7:7">
      <c r="G5174" t="s">
        <v>5362</v>
      </c>
    </row>
    <row r="5175" spans="7:7">
      <c r="G5175" t="s">
        <v>5363</v>
      </c>
    </row>
    <row r="5176" spans="7:7">
      <c r="G5176" t="s">
        <v>5364</v>
      </c>
    </row>
    <row r="5177" spans="7:7">
      <c r="G5177" t="s">
        <v>5365</v>
      </c>
    </row>
    <row r="5178" spans="7:7">
      <c r="G5178" t="s">
        <v>5366</v>
      </c>
    </row>
    <row r="5179" spans="7:7">
      <c r="G5179" t="s">
        <v>5367</v>
      </c>
    </row>
    <row r="5180" spans="7:7">
      <c r="G5180" t="s">
        <v>5368</v>
      </c>
    </row>
    <row r="5181" spans="7:7">
      <c r="G5181" t="s">
        <v>5369</v>
      </c>
    </row>
    <row r="5182" spans="7:7">
      <c r="G5182" t="s">
        <v>5370</v>
      </c>
    </row>
    <row r="5183" spans="7:7">
      <c r="G5183" t="s">
        <v>5371</v>
      </c>
    </row>
    <row r="5184" spans="7:7">
      <c r="G5184" t="s">
        <v>5372</v>
      </c>
    </row>
    <row r="5185" spans="7:7">
      <c r="G5185" t="s">
        <v>5373</v>
      </c>
    </row>
    <row r="5186" spans="7:7">
      <c r="G5186" t="s">
        <v>5374</v>
      </c>
    </row>
    <row r="5187" spans="7:7">
      <c r="G5187" t="s">
        <v>5375</v>
      </c>
    </row>
    <row r="5188" spans="7:7">
      <c r="G5188" t="s">
        <v>5376</v>
      </c>
    </row>
    <row r="5189" spans="7:7">
      <c r="G5189" t="s">
        <v>5377</v>
      </c>
    </row>
    <row r="5190" spans="7:7">
      <c r="G5190" t="s">
        <v>5378</v>
      </c>
    </row>
    <row r="5191" spans="7:7">
      <c r="G5191" t="s">
        <v>5379</v>
      </c>
    </row>
    <row r="5192" spans="7:7">
      <c r="G5192" t="s">
        <v>5380</v>
      </c>
    </row>
    <row r="5193" spans="7:7">
      <c r="G5193" t="s">
        <v>5381</v>
      </c>
    </row>
    <row r="5194" spans="7:7">
      <c r="G5194" t="s">
        <v>5382</v>
      </c>
    </row>
    <row r="5195" spans="7:7">
      <c r="G5195" t="s">
        <v>5383</v>
      </c>
    </row>
    <row r="5196" spans="7:7">
      <c r="G5196" t="s">
        <v>5384</v>
      </c>
    </row>
    <row r="5197" spans="7:7">
      <c r="G5197" t="s">
        <v>5385</v>
      </c>
    </row>
    <row r="5198" spans="7:7">
      <c r="G5198" t="s">
        <v>5386</v>
      </c>
    </row>
    <row r="5199" spans="7:7">
      <c r="G5199" t="s">
        <v>5387</v>
      </c>
    </row>
    <row r="5200" spans="7:7">
      <c r="G5200" t="s">
        <v>5388</v>
      </c>
    </row>
    <row r="5201" spans="7:7">
      <c r="G5201" t="s">
        <v>5389</v>
      </c>
    </row>
    <row r="5202" spans="7:7">
      <c r="G5202" t="s">
        <v>5390</v>
      </c>
    </row>
    <row r="5203" spans="7:7">
      <c r="G5203" t="s">
        <v>5391</v>
      </c>
    </row>
    <row r="5204" spans="7:7">
      <c r="G5204" t="s">
        <v>5392</v>
      </c>
    </row>
    <row r="5205" spans="7:7">
      <c r="G5205" t="s">
        <v>5393</v>
      </c>
    </row>
    <row r="5206" spans="7:7">
      <c r="G5206" t="s">
        <v>5394</v>
      </c>
    </row>
    <row r="5207" spans="7:7">
      <c r="G5207" t="s">
        <v>5395</v>
      </c>
    </row>
    <row r="5208" spans="7:7">
      <c r="G5208" t="s">
        <v>5396</v>
      </c>
    </row>
    <row r="5209" spans="7:7">
      <c r="G5209" t="s">
        <v>5397</v>
      </c>
    </row>
    <row r="5210" spans="7:7">
      <c r="G5210" t="s">
        <v>5398</v>
      </c>
    </row>
    <row r="5211" spans="7:7">
      <c r="G5211" t="s">
        <v>5399</v>
      </c>
    </row>
    <row r="5212" spans="7:7">
      <c r="G5212" t="s">
        <v>5400</v>
      </c>
    </row>
    <row r="5213" spans="7:7">
      <c r="G5213" t="s">
        <v>5401</v>
      </c>
    </row>
    <row r="5214" spans="7:7">
      <c r="G5214" t="s">
        <v>5402</v>
      </c>
    </row>
    <row r="5215" spans="7:7">
      <c r="G5215" t="s">
        <v>5403</v>
      </c>
    </row>
    <row r="5216" spans="7:7">
      <c r="G5216" t="s">
        <v>5404</v>
      </c>
    </row>
    <row r="5217" spans="7:7">
      <c r="G5217" t="s">
        <v>5405</v>
      </c>
    </row>
    <row r="5218" spans="7:7">
      <c r="G5218" t="s">
        <v>5406</v>
      </c>
    </row>
    <row r="5219" spans="7:7">
      <c r="G5219" t="s">
        <v>5407</v>
      </c>
    </row>
    <row r="5220" spans="7:7">
      <c r="G5220" t="s">
        <v>5408</v>
      </c>
    </row>
    <row r="5221" spans="7:7">
      <c r="G5221" t="s">
        <v>5409</v>
      </c>
    </row>
    <row r="5222" spans="7:7">
      <c r="G5222" t="s">
        <v>5410</v>
      </c>
    </row>
    <row r="5223" spans="7:7">
      <c r="G5223" t="s">
        <v>5411</v>
      </c>
    </row>
    <row r="5224" spans="7:7">
      <c r="G5224" t="s">
        <v>5412</v>
      </c>
    </row>
    <row r="5225" spans="7:7">
      <c r="G5225" t="s">
        <v>5413</v>
      </c>
    </row>
    <row r="5226" spans="7:7">
      <c r="G5226" t="s">
        <v>5414</v>
      </c>
    </row>
    <row r="5227" spans="7:7">
      <c r="G5227" t="s">
        <v>5415</v>
      </c>
    </row>
    <row r="5228" spans="7:7">
      <c r="G5228" t="s">
        <v>5416</v>
      </c>
    </row>
    <row r="5229" spans="7:7">
      <c r="G5229" t="s">
        <v>5417</v>
      </c>
    </row>
    <row r="5230" spans="7:7">
      <c r="G5230" t="s">
        <v>5418</v>
      </c>
    </row>
    <row r="5231" spans="7:7">
      <c r="G5231" t="s">
        <v>5419</v>
      </c>
    </row>
    <row r="5232" spans="7:7">
      <c r="G5232" t="s">
        <v>5420</v>
      </c>
    </row>
    <row r="5233" spans="7:7">
      <c r="G5233" t="s">
        <v>5421</v>
      </c>
    </row>
    <row r="5234" spans="7:7">
      <c r="G5234" t="s">
        <v>5422</v>
      </c>
    </row>
    <row r="5235" spans="7:7">
      <c r="G5235" t="s">
        <v>5423</v>
      </c>
    </row>
    <row r="5236" spans="7:7">
      <c r="G5236" t="s">
        <v>5424</v>
      </c>
    </row>
    <row r="5237" spans="7:7">
      <c r="G5237" t="s">
        <v>5425</v>
      </c>
    </row>
    <row r="5238" spans="7:7">
      <c r="G5238" t="s">
        <v>5426</v>
      </c>
    </row>
    <row r="5239" spans="7:7">
      <c r="G5239" t="s">
        <v>5427</v>
      </c>
    </row>
    <row r="5240" spans="7:7">
      <c r="G5240" t="s">
        <v>5428</v>
      </c>
    </row>
    <row r="5241" spans="7:7">
      <c r="G5241" t="s">
        <v>5429</v>
      </c>
    </row>
    <row r="5242" spans="7:7">
      <c r="G5242" t="s">
        <v>5430</v>
      </c>
    </row>
    <row r="5243" spans="7:7">
      <c r="G5243" t="s">
        <v>5431</v>
      </c>
    </row>
    <row r="5244" spans="7:7">
      <c r="G5244" t="s">
        <v>5432</v>
      </c>
    </row>
    <row r="5245" spans="7:7">
      <c r="G5245" t="s">
        <v>5433</v>
      </c>
    </row>
    <row r="5246" spans="7:7">
      <c r="G5246" t="s">
        <v>5434</v>
      </c>
    </row>
    <row r="5247" spans="7:7">
      <c r="G5247" t="s">
        <v>5435</v>
      </c>
    </row>
    <row r="5248" spans="7:7">
      <c r="G5248" t="s">
        <v>5436</v>
      </c>
    </row>
    <row r="5249" spans="7:7">
      <c r="G5249" t="s">
        <v>5437</v>
      </c>
    </row>
    <row r="5250" spans="7:7">
      <c r="G5250" t="s">
        <v>5438</v>
      </c>
    </row>
    <row r="5251" spans="7:7">
      <c r="G5251" t="s">
        <v>5439</v>
      </c>
    </row>
    <row r="5252" spans="7:7">
      <c r="G5252" t="s">
        <v>5440</v>
      </c>
    </row>
    <row r="5253" spans="7:7">
      <c r="G5253" t="s">
        <v>5441</v>
      </c>
    </row>
    <row r="5254" spans="7:7">
      <c r="G5254" t="s">
        <v>5442</v>
      </c>
    </row>
    <row r="5255" spans="7:7">
      <c r="G5255" t="s">
        <v>5443</v>
      </c>
    </row>
    <row r="5256" spans="7:7">
      <c r="G5256" t="s">
        <v>5444</v>
      </c>
    </row>
    <row r="5257" spans="7:7">
      <c r="G5257" t="s">
        <v>5445</v>
      </c>
    </row>
    <row r="5258" spans="7:7">
      <c r="G5258" t="s">
        <v>5446</v>
      </c>
    </row>
    <row r="5259" spans="7:7">
      <c r="G5259" t="s">
        <v>5447</v>
      </c>
    </row>
    <row r="5260" spans="7:7">
      <c r="G5260" t="s">
        <v>5448</v>
      </c>
    </row>
    <row r="5261" spans="7:7">
      <c r="G5261" t="s">
        <v>5449</v>
      </c>
    </row>
    <row r="5262" spans="7:7">
      <c r="G5262" t="s">
        <v>5450</v>
      </c>
    </row>
    <row r="5263" spans="7:7">
      <c r="G5263" t="s">
        <v>5451</v>
      </c>
    </row>
    <row r="5264" spans="7:7">
      <c r="G5264" t="s">
        <v>5452</v>
      </c>
    </row>
    <row r="5265" spans="7:7">
      <c r="G5265" t="s">
        <v>5453</v>
      </c>
    </row>
    <row r="5266" spans="7:7">
      <c r="G5266" t="s">
        <v>5454</v>
      </c>
    </row>
    <row r="5267" spans="7:7">
      <c r="G5267" t="s">
        <v>5455</v>
      </c>
    </row>
    <row r="5268" spans="7:7">
      <c r="G5268" t="s">
        <v>5456</v>
      </c>
    </row>
    <row r="5269" spans="7:7">
      <c r="G5269" t="s">
        <v>5457</v>
      </c>
    </row>
    <row r="5270" spans="7:7">
      <c r="G5270" t="s">
        <v>5458</v>
      </c>
    </row>
    <row r="5271" spans="7:7">
      <c r="G5271" t="s">
        <v>5459</v>
      </c>
    </row>
    <row r="5272" spans="7:7">
      <c r="G5272" t="s">
        <v>5460</v>
      </c>
    </row>
    <row r="5273" spans="7:7">
      <c r="G5273" t="s">
        <v>5461</v>
      </c>
    </row>
    <row r="5274" spans="7:7">
      <c r="G5274" t="s">
        <v>5462</v>
      </c>
    </row>
    <row r="5275" spans="7:7">
      <c r="G5275" t="s">
        <v>5463</v>
      </c>
    </row>
    <row r="5276" spans="7:7">
      <c r="G5276" t="s">
        <v>5464</v>
      </c>
    </row>
    <row r="5277" spans="7:7">
      <c r="G5277" t="s">
        <v>5465</v>
      </c>
    </row>
    <row r="5278" spans="7:7">
      <c r="G5278" t="s">
        <v>5466</v>
      </c>
    </row>
    <row r="5279" spans="7:7">
      <c r="G5279" t="s">
        <v>5467</v>
      </c>
    </row>
    <row r="5280" spans="7:7">
      <c r="G5280" t="s">
        <v>5468</v>
      </c>
    </row>
    <row r="5281" spans="7:7">
      <c r="G5281" t="s">
        <v>5469</v>
      </c>
    </row>
    <row r="5282" spans="7:7">
      <c r="G5282" t="s">
        <v>5470</v>
      </c>
    </row>
    <row r="5283" spans="7:7">
      <c r="G5283" t="s">
        <v>5471</v>
      </c>
    </row>
    <row r="5284" spans="7:7">
      <c r="G5284" t="s">
        <v>5472</v>
      </c>
    </row>
    <row r="5285" spans="7:7">
      <c r="G5285" t="s">
        <v>5473</v>
      </c>
    </row>
    <row r="5286" spans="7:7">
      <c r="G5286" t="s">
        <v>5474</v>
      </c>
    </row>
    <row r="5287" spans="7:7">
      <c r="G5287" t="s">
        <v>5475</v>
      </c>
    </row>
    <row r="5288" spans="7:7">
      <c r="G5288" t="s">
        <v>5476</v>
      </c>
    </row>
    <row r="5289" spans="7:7">
      <c r="G5289" t="s">
        <v>5477</v>
      </c>
    </row>
    <row r="5290" spans="7:7">
      <c r="G5290" t="s">
        <v>5478</v>
      </c>
    </row>
    <row r="5291" spans="7:7">
      <c r="G5291" t="s">
        <v>5479</v>
      </c>
    </row>
    <row r="5292" spans="7:7">
      <c r="G5292" t="s">
        <v>5480</v>
      </c>
    </row>
    <row r="5293" spans="7:7">
      <c r="G5293" t="s">
        <v>5481</v>
      </c>
    </row>
    <row r="5294" spans="7:7">
      <c r="G5294" t="s">
        <v>5482</v>
      </c>
    </row>
    <row r="5295" spans="7:7">
      <c r="G5295" t="s">
        <v>5483</v>
      </c>
    </row>
    <row r="5296" spans="7:7">
      <c r="G5296" t="s">
        <v>5484</v>
      </c>
    </row>
    <row r="5297" spans="7:7">
      <c r="G5297" t="s">
        <v>5485</v>
      </c>
    </row>
    <row r="5298" spans="7:7">
      <c r="G5298" t="s">
        <v>5486</v>
      </c>
    </row>
    <row r="5299" spans="7:7">
      <c r="G5299" t="s">
        <v>5487</v>
      </c>
    </row>
    <row r="5300" spans="7:7">
      <c r="G5300" t="s">
        <v>5488</v>
      </c>
    </row>
    <row r="5301" spans="7:7">
      <c r="G5301" t="s">
        <v>5489</v>
      </c>
    </row>
    <row r="5302" spans="7:7">
      <c r="G5302" t="s">
        <v>5490</v>
      </c>
    </row>
    <row r="5303" spans="7:7">
      <c r="G5303" t="s">
        <v>5491</v>
      </c>
    </row>
    <row r="5304" spans="7:7">
      <c r="G5304" t="s">
        <v>5492</v>
      </c>
    </row>
    <row r="5305" spans="7:7">
      <c r="G5305" t="s">
        <v>5493</v>
      </c>
    </row>
    <row r="5306" spans="7:7">
      <c r="G5306" t="s">
        <v>5494</v>
      </c>
    </row>
    <row r="5307" spans="7:7">
      <c r="G5307" t="s">
        <v>5495</v>
      </c>
    </row>
    <row r="5308" spans="7:7">
      <c r="G5308" t="s">
        <v>5496</v>
      </c>
    </row>
    <row r="5309" spans="7:7">
      <c r="G5309" t="s">
        <v>5497</v>
      </c>
    </row>
    <row r="5310" spans="7:7">
      <c r="G5310" t="s">
        <v>5498</v>
      </c>
    </row>
    <row r="5311" spans="7:7">
      <c r="G5311" t="s">
        <v>5499</v>
      </c>
    </row>
    <row r="5312" spans="7:7">
      <c r="G5312" t="s">
        <v>5500</v>
      </c>
    </row>
    <row r="5313" spans="7:7">
      <c r="G5313" t="s">
        <v>5501</v>
      </c>
    </row>
    <row r="5314" spans="7:7">
      <c r="G5314" t="s">
        <v>5502</v>
      </c>
    </row>
    <row r="5315" spans="7:7">
      <c r="G5315" t="s">
        <v>5503</v>
      </c>
    </row>
    <row r="5316" spans="7:7">
      <c r="G5316" t="s">
        <v>5504</v>
      </c>
    </row>
    <row r="5317" spans="7:7">
      <c r="G5317" t="s">
        <v>5505</v>
      </c>
    </row>
    <row r="5318" spans="7:7">
      <c r="G5318" t="s">
        <v>5506</v>
      </c>
    </row>
    <row r="5319" spans="7:7">
      <c r="G5319" t="s">
        <v>5507</v>
      </c>
    </row>
    <row r="5320" spans="7:7">
      <c r="G5320" t="s">
        <v>5508</v>
      </c>
    </row>
    <row r="5321" spans="7:7">
      <c r="G5321" t="s">
        <v>5509</v>
      </c>
    </row>
    <row r="5322" spans="7:7">
      <c r="G5322" t="s">
        <v>5510</v>
      </c>
    </row>
    <row r="5323" spans="7:7">
      <c r="G5323" t="s">
        <v>5511</v>
      </c>
    </row>
    <row r="5324" spans="7:7">
      <c r="G5324" t="s">
        <v>5512</v>
      </c>
    </row>
    <row r="5325" spans="7:7">
      <c r="G5325" t="s">
        <v>5513</v>
      </c>
    </row>
    <row r="5326" spans="7:7">
      <c r="G5326" t="s">
        <v>5514</v>
      </c>
    </row>
    <row r="5327" spans="7:7">
      <c r="G5327" t="s">
        <v>5515</v>
      </c>
    </row>
    <row r="5328" spans="7:7">
      <c r="G5328" t="s">
        <v>5516</v>
      </c>
    </row>
    <row r="5329" spans="7:7">
      <c r="G5329" t="s">
        <v>5517</v>
      </c>
    </row>
    <row r="5330" spans="7:7">
      <c r="G5330" t="s">
        <v>5518</v>
      </c>
    </row>
    <row r="5331" spans="7:7">
      <c r="G5331" t="s">
        <v>5519</v>
      </c>
    </row>
    <row r="5332" spans="7:7">
      <c r="G5332" t="s">
        <v>5520</v>
      </c>
    </row>
    <row r="5333" spans="7:7">
      <c r="G5333" t="s">
        <v>5521</v>
      </c>
    </row>
    <row r="5334" spans="7:7">
      <c r="G5334" t="s">
        <v>5522</v>
      </c>
    </row>
    <row r="5335" spans="7:7">
      <c r="G5335" t="s">
        <v>5523</v>
      </c>
    </row>
    <row r="5336" spans="7:7">
      <c r="G5336" t="s">
        <v>5524</v>
      </c>
    </row>
    <row r="5337" spans="7:7">
      <c r="G5337" t="s">
        <v>5525</v>
      </c>
    </row>
    <row r="5338" spans="7:7">
      <c r="G5338" t="s">
        <v>5526</v>
      </c>
    </row>
    <row r="5339" spans="7:7">
      <c r="G5339" t="s">
        <v>5527</v>
      </c>
    </row>
    <row r="5340" spans="7:7">
      <c r="G5340" t="s">
        <v>5528</v>
      </c>
    </row>
    <row r="5341" spans="7:7">
      <c r="G5341" t="s">
        <v>5529</v>
      </c>
    </row>
    <row r="5342" spans="7:7">
      <c r="G5342" t="s">
        <v>5530</v>
      </c>
    </row>
    <row r="5343" spans="7:7">
      <c r="G5343" t="s">
        <v>5531</v>
      </c>
    </row>
    <row r="5344" spans="7:7">
      <c r="G5344" t="s">
        <v>5532</v>
      </c>
    </row>
    <row r="5345" spans="7:7">
      <c r="G5345" t="s">
        <v>5533</v>
      </c>
    </row>
    <row r="5346" spans="7:7">
      <c r="G5346" t="s">
        <v>5534</v>
      </c>
    </row>
    <row r="5347" spans="7:7">
      <c r="G5347" t="s">
        <v>5535</v>
      </c>
    </row>
    <row r="5348" spans="7:7">
      <c r="G5348" t="s">
        <v>5536</v>
      </c>
    </row>
    <row r="5349" spans="7:7">
      <c r="G5349" t="s">
        <v>5537</v>
      </c>
    </row>
    <row r="5350" spans="7:7">
      <c r="G5350" t="s">
        <v>5538</v>
      </c>
    </row>
    <row r="5351" spans="7:7">
      <c r="G5351" t="s">
        <v>5539</v>
      </c>
    </row>
    <row r="5352" spans="7:7">
      <c r="G5352" t="s">
        <v>5540</v>
      </c>
    </row>
    <row r="5353" spans="7:7">
      <c r="G5353" t="s">
        <v>5541</v>
      </c>
    </row>
    <row r="5354" spans="7:7">
      <c r="G5354" t="s">
        <v>5542</v>
      </c>
    </row>
    <row r="5355" spans="7:7">
      <c r="G5355" t="s">
        <v>5543</v>
      </c>
    </row>
    <row r="5356" spans="7:7">
      <c r="G5356" t="s">
        <v>5544</v>
      </c>
    </row>
    <row r="5357" spans="7:7">
      <c r="G5357" t="s">
        <v>5545</v>
      </c>
    </row>
    <row r="5358" spans="7:7">
      <c r="G5358" t="s">
        <v>5546</v>
      </c>
    </row>
    <row r="5359" spans="7:7">
      <c r="G5359" t="s">
        <v>5547</v>
      </c>
    </row>
    <row r="5360" spans="7:7">
      <c r="G5360" t="s">
        <v>5548</v>
      </c>
    </row>
    <row r="5361" spans="7:7">
      <c r="G5361" t="s">
        <v>5549</v>
      </c>
    </row>
    <row r="5362" spans="7:7">
      <c r="G5362" t="s">
        <v>5550</v>
      </c>
    </row>
    <row r="5363" spans="7:7">
      <c r="G5363" t="s">
        <v>5551</v>
      </c>
    </row>
    <row r="5364" spans="7:7">
      <c r="G5364" t="s">
        <v>5552</v>
      </c>
    </row>
    <row r="5365" spans="7:7">
      <c r="G5365" t="s">
        <v>5553</v>
      </c>
    </row>
    <row r="5366" spans="7:7">
      <c r="G5366" t="s">
        <v>5554</v>
      </c>
    </row>
    <row r="5367" spans="7:7">
      <c r="G5367" t="s">
        <v>5555</v>
      </c>
    </row>
    <row r="5368" spans="7:7">
      <c r="G5368" t="s">
        <v>5556</v>
      </c>
    </row>
    <row r="5369" spans="7:7">
      <c r="G5369" t="s">
        <v>5557</v>
      </c>
    </row>
    <row r="5370" spans="7:7">
      <c r="G5370" t="s">
        <v>5558</v>
      </c>
    </row>
    <row r="5371" spans="7:7">
      <c r="G5371" t="s">
        <v>5559</v>
      </c>
    </row>
    <row r="5372" spans="7:7">
      <c r="G5372" t="s">
        <v>5560</v>
      </c>
    </row>
    <row r="5373" spans="7:7">
      <c r="G5373" t="s">
        <v>5561</v>
      </c>
    </row>
    <row r="5374" spans="7:7">
      <c r="G5374" t="s">
        <v>5562</v>
      </c>
    </row>
    <row r="5375" spans="7:7">
      <c r="G5375" t="s">
        <v>5563</v>
      </c>
    </row>
    <row r="5376" spans="7:7">
      <c r="G5376" t="s">
        <v>5564</v>
      </c>
    </row>
    <row r="5377" spans="7:7">
      <c r="G5377" t="s">
        <v>5565</v>
      </c>
    </row>
    <row r="5378" spans="7:7">
      <c r="G5378" t="s">
        <v>5566</v>
      </c>
    </row>
    <row r="5379" spans="7:7">
      <c r="G5379" t="s">
        <v>5567</v>
      </c>
    </row>
    <row r="5380" spans="7:7">
      <c r="G5380" t="s">
        <v>5568</v>
      </c>
    </row>
    <row r="5381" spans="7:7">
      <c r="G5381" t="s">
        <v>5569</v>
      </c>
    </row>
    <row r="5382" spans="7:7">
      <c r="G5382" t="s">
        <v>5570</v>
      </c>
    </row>
    <row r="5383" spans="7:7">
      <c r="G5383" t="s">
        <v>5571</v>
      </c>
    </row>
    <row r="5384" spans="7:7">
      <c r="G5384" t="s">
        <v>5572</v>
      </c>
    </row>
    <row r="5385" spans="7:7">
      <c r="G5385" t="s">
        <v>5573</v>
      </c>
    </row>
    <row r="5386" spans="7:7">
      <c r="G5386" t="s">
        <v>5574</v>
      </c>
    </row>
    <row r="5387" spans="7:7">
      <c r="G5387" t="s">
        <v>5575</v>
      </c>
    </row>
    <row r="5388" spans="7:7">
      <c r="G5388" t="s">
        <v>5576</v>
      </c>
    </row>
    <row r="5389" spans="7:7">
      <c r="G5389" t="s">
        <v>5577</v>
      </c>
    </row>
    <row r="5390" spans="7:7">
      <c r="G5390" t="s">
        <v>5578</v>
      </c>
    </row>
    <row r="5391" spans="7:7">
      <c r="G5391" t="s">
        <v>5579</v>
      </c>
    </row>
    <row r="5392" spans="7:7">
      <c r="G5392" t="s">
        <v>5580</v>
      </c>
    </row>
    <row r="5393" spans="7:7">
      <c r="G5393" t="s">
        <v>5581</v>
      </c>
    </row>
    <row r="5394" spans="7:7">
      <c r="G5394" t="s">
        <v>5582</v>
      </c>
    </row>
    <row r="5395" spans="7:7">
      <c r="G5395" t="s">
        <v>5583</v>
      </c>
    </row>
    <row r="5396" spans="7:7">
      <c r="G5396" t="s">
        <v>5584</v>
      </c>
    </row>
    <row r="5397" spans="7:7">
      <c r="G5397" t="s">
        <v>5585</v>
      </c>
    </row>
    <row r="5398" spans="7:7">
      <c r="G5398" t="s">
        <v>5586</v>
      </c>
    </row>
    <row r="5399" spans="7:7">
      <c r="G5399" t="s">
        <v>5587</v>
      </c>
    </row>
    <row r="5400" spans="7:7">
      <c r="G5400" t="s">
        <v>5588</v>
      </c>
    </row>
    <row r="5401" spans="7:7">
      <c r="G5401" t="s">
        <v>5589</v>
      </c>
    </row>
    <row r="5402" spans="7:7">
      <c r="G5402" t="s">
        <v>5590</v>
      </c>
    </row>
    <row r="5403" spans="7:7">
      <c r="G5403" t="s">
        <v>5591</v>
      </c>
    </row>
    <row r="5404" spans="7:7">
      <c r="G5404" t="s">
        <v>5592</v>
      </c>
    </row>
    <row r="5405" spans="7:7">
      <c r="G5405" t="s">
        <v>5593</v>
      </c>
    </row>
    <row r="5406" spans="7:7">
      <c r="G5406" t="s">
        <v>5594</v>
      </c>
    </row>
    <row r="5407" spans="7:7">
      <c r="G5407" t="s">
        <v>5595</v>
      </c>
    </row>
    <row r="5408" spans="7:7">
      <c r="G5408" t="s">
        <v>5596</v>
      </c>
    </row>
    <row r="5409" spans="7:7">
      <c r="G5409" t="s">
        <v>5597</v>
      </c>
    </row>
    <row r="5410" spans="7:7">
      <c r="G5410" t="s">
        <v>5598</v>
      </c>
    </row>
    <row r="5411" spans="7:7">
      <c r="G5411" t="s">
        <v>5599</v>
      </c>
    </row>
    <row r="5412" spans="7:7">
      <c r="G5412" t="s">
        <v>5600</v>
      </c>
    </row>
    <row r="5413" spans="7:7">
      <c r="G5413" t="s">
        <v>5601</v>
      </c>
    </row>
    <row r="5414" spans="7:7">
      <c r="G5414" t="s">
        <v>5602</v>
      </c>
    </row>
    <row r="5415" spans="7:7">
      <c r="G5415" t="s">
        <v>5603</v>
      </c>
    </row>
    <row r="5416" spans="7:7">
      <c r="G5416" t="s">
        <v>5604</v>
      </c>
    </row>
    <row r="5417" spans="7:7">
      <c r="G5417" t="s">
        <v>5605</v>
      </c>
    </row>
    <row r="5418" spans="7:7">
      <c r="G5418" t="s">
        <v>5606</v>
      </c>
    </row>
    <row r="5419" spans="7:7">
      <c r="G5419" t="s">
        <v>5607</v>
      </c>
    </row>
    <row r="5420" spans="7:7">
      <c r="G5420" t="s">
        <v>5608</v>
      </c>
    </row>
    <row r="5421" spans="7:7">
      <c r="G5421" t="s">
        <v>5609</v>
      </c>
    </row>
    <row r="5422" spans="7:7">
      <c r="G5422" t="s">
        <v>5610</v>
      </c>
    </row>
    <row r="5423" spans="7:7">
      <c r="G5423" t="s">
        <v>5611</v>
      </c>
    </row>
    <row r="5424" spans="7:7">
      <c r="G5424" t="s">
        <v>5612</v>
      </c>
    </row>
    <row r="5425" spans="7:7">
      <c r="G5425" t="s">
        <v>5613</v>
      </c>
    </row>
    <row r="5426" spans="7:7">
      <c r="G5426" t="s">
        <v>5614</v>
      </c>
    </row>
    <row r="5427" spans="7:7">
      <c r="G5427" t="s">
        <v>5615</v>
      </c>
    </row>
    <row r="5428" spans="7:7">
      <c r="G5428" t="s">
        <v>5616</v>
      </c>
    </row>
    <row r="5429" spans="7:7">
      <c r="G5429" t="s">
        <v>5617</v>
      </c>
    </row>
    <row r="5430" spans="7:7">
      <c r="G5430" t="s">
        <v>5618</v>
      </c>
    </row>
    <row r="5431" spans="7:7">
      <c r="G5431" t="s">
        <v>5619</v>
      </c>
    </row>
    <row r="5432" spans="7:7">
      <c r="G5432" t="s">
        <v>5620</v>
      </c>
    </row>
    <row r="5433" spans="7:7">
      <c r="G5433" t="s">
        <v>5621</v>
      </c>
    </row>
    <row r="5434" spans="7:7">
      <c r="G5434" t="s">
        <v>5622</v>
      </c>
    </row>
    <row r="5435" spans="7:7">
      <c r="G5435" t="s">
        <v>5623</v>
      </c>
    </row>
    <row r="5436" spans="7:7">
      <c r="G5436" t="s">
        <v>5624</v>
      </c>
    </row>
    <row r="5437" spans="7:7">
      <c r="G5437" t="s">
        <v>5625</v>
      </c>
    </row>
    <row r="5438" spans="7:7">
      <c r="G5438" t="s">
        <v>5626</v>
      </c>
    </row>
    <row r="5439" spans="7:7">
      <c r="G5439" t="s">
        <v>5627</v>
      </c>
    </row>
    <row r="5440" spans="7:7">
      <c r="G5440" t="s">
        <v>5628</v>
      </c>
    </row>
    <row r="5441" spans="7:7">
      <c r="G5441" t="s">
        <v>5629</v>
      </c>
    </row>
    <row r="5442" spans="7:7">
      <c r="G5442" t="s">
        <v>5630</v>
      </c>
    </row>
    <row r="5443" spans="7:7">
      <c r="G5443" t="s">
        <v>5631</v>
      </c>
    </row>
    <row r="5444" spans="7:7">
      <c r="G5444" t="s">
        <v>5632</v>
      </c>
    </row>
    <row r="5445" spans="7:7">
      <c r="G5445" t="s">
        <v>5633</v>
      </c>
    </row>
    <row r="5446" spans="7:7">
      <c r="G5446" t="s">
        <v>5634</v>
      </c>
    </row>
    <row r="5447" spans="7:7">
      <c r="G5447" t="s">
        <v>5635</v>
      </c>
    </row>
    <row r="5448" spans="7:7">
      <c r="G5448" t="s">
        <v>5636</v>
      </c>
    </row>
    <row r="5449" spans="7:7">
      <c r="G5449" t="s">
        <v>5637</v>
      </c>
    </row>
    <row r="5450" spans="7:7">
      <c r="G5450" t="s">
        <v>5638</v>
      </c>
    </row>
    <row r="5451" spans="7:7">
      <c r="G5451" t="s">
        <v>5639</v>
      </c>
    </row>
    <row r="5452" spans="7:7">
      <c r="G5452" t="s">
        <v>5640</v>
      </c>
    </row>
    <row r="5453" spans="7:7">
      <c r="G5453" t="s">
        <v>5641</v>
      </c>
    </row>
    <row r="5454" spans="7:7">
      <c r="G5454" t="s">
        <v>5642</v>
      </c>
    </row>
    <row r="5455" spans="7:7">
      <c r="G5455" t="s">
        <v>5643</v>
      </c>
    </row>
    <row r="5456" spans="7:7">
      <c r="G5456" t="s">
        <v>5644</v>
      </c>
    </row>
    <row r="5457" spans="7:7">
      <c r="G5457" t="s">
        <v>5645</v>
      </c>
    </row>
    <row r="5458" spans="7:7">
      <c r="G5458" t="s">
        <v>5646</v>
      </c>
    </row>
    <row r="5459" spans="7:7">
      <c r="G5459" t="s">
        <v>5647</v>
      </c>
    </row>
    <row r="5460" spans="7:7">
      <c r="G5460" t="s">
        <v>5648</v>
      </c>
    </row>
    <row r="5461" spans="7:7">
      <c r="G5461" t="s">
        <v>5649</v>
      </c>
    </row>
    <row r="5462" spans="7:7">
      <c r="G5462" t="s">
        <v>5650</v>
      </c>
    </row>
    <row r="5463" spans="7:7">
      <c r="G5463" t="s">
        <v>5651</v>
      </c>
    </row>
    <row r="5464" spans="7:7">
      <c r="G5464" t="s">
        <v>5652</v>
      </c>
    </row>
    <row r="5465" spans="7:7">
      <c r="G5465" t="s">
        <v>5653</v>
      </c>
    </row>
    <row r="5466" spans="7:7">
      <c r="G5466" t="s">
        <v>5654</v>
      </c>
    </row>
    <row r="5467" spans="7:7">
      <c r="G5467" t="s">
        <v>5655</v>
      </c>
    </row>
    <row r="5468" spans="7:7">
      <c r="G5468" t="s">
        <v>5656</v>
      </c>
    </row>
    <row r="5469" spans="7:7">
      <c r="G5469" t="s">
        <v>5657</v>
      </c>
    </row>
    <row r="5470" spans="7:7">
      <c r="G5470" t="s">
        <v>5658</v>
      </c>
    </row>
    <row r="5471" spans="7:7">
      <c r="G5471" t="s">
        <v>5659</v>
      </c>
    </row>
    <row r="5472" spans="7:7">
      <c r="G5472" t="s">
        <v>5660</v>
      </c>
    </row>
    <row r="5473" spans="7:7">
      <c r="G5473" t="s">
        <v>5661</v>
      </c>
    </row>
    <row r="5474" spans="7:7">
      <c r="G5474" t="s">
        <v>5662</v>
      </c>
    </row>
    <row r="5475" spans="7:7">
      <c r="G5475" t="s">
        <v>5663</v>
      </c>
    </row>
    <row r="5476" spans="7:7">
      <c r="G5476" t="s">
        <v>5664</v>
      </c>
    </row>
    <row r="5477" spans="7:7">
      <c r="G5477" t="s">
        <v>5665</v>
      </c>
    </row>
    <row r="5478" spans="7:7">
      <c r="G5478" t="s">
        <v>5666</v>
      </c>
    </row>
    <row r="5479" spans="7:7">
      <c r="G5479" t="s">
        <v>5667</v>
      </c>
    </row>
    <row r="5480" spans="7:7">
      <c r="G5480" t="s">
        <v>5668</v>
      </c>
    </row>
    <row r="5481" spans="7:7">
      <c r="G5481" t="s">
        <v>5669</v>
      </c>
    </row>
    <row r="5482" spans="7:7">
      <c r="G5482" t="s">
        <v>5670</v>
      </c>
    </row>
    <row r="5483" spans="7:7">
      <c r="G5483" t="s">
        <v>5671</v>
      </c>
    </row>
    <row r="5484" spans="7:7">
      <c r="G5484" t="s">
        <v>5672</v>
      </c>
    </row>
    <row r="5485" spans="7:7">
      <c r="G5485" t="s">
        <v>5673</v>
      </c>
    </row>
    <row r="5486" spans="7:7">
      <c r="G5486" t="s">
        <v>5674</v>
      </c>
    </row>
    <row r="5487" spans="7:7">
      <c r="G5487" t="s">
        <v>5675</v>
      </c>
    </row>
    <row r="5488" spans="7:7">
      <c r="G5488" t="s">
        <v>5676</v>
      </c>
    </row>
    <row r="5489" spans="7:7">
      <c r="G5489" t="s">
        <v>5677</v>
      </c>
    </row>
    <row r="5490" spans="7:7">
      <c r="G5490" t="s">
        <v>5678</v>
      </c>
    </row>
    <row r="5491" spans="7:7">
      <c r="G5491" t="s">
        <v>5679</v>
      </c>
    </row>
    <row r="5492" spans="7:7">
      <c r="G5492" t="s">
        <v>5680</v>
      </c>
    </row>
    <row r="5493" spans="7:7">
      <c r="G5493" t="s">
        <v>5681</v>
      </c>
    </row>
    <row r="5494" spans="7:7">
      <c r="G5494" t="s">
        <v>5682</v>
      </c>
    </row>
    <row r="5495" spans="7:7">
      <c r="G5495" t="s">
        <v>5683</v>
      </c>
    </row>
    <row r="5496" spans="7:7">
      <c r="G5496" t="s">
        <v>5684</v>
      </c>
    </row>
    <row r="5497" spans="7:7">
      <c r="G5497" t="s">
        <v>5685</v>
      </c>
    </row>
    <row r="5498" spans="7:7">
      <c r="G5498" t="s">
        <v>5686</v>
      </c>
    </row>
    <row r="5499" spans="7:7">
      <c r="G5499" t="s">
        <v>5687</v>
      </c>
    </row>
    <row r="5500" spans="7:7">
      <c r="G5500" t="s">
        <v>5688</v>
      </c>
    </row>
    <row r="5501" spans="7:7">
      <c r="G5501" t="s">
        <v>5689</v>
      </c>
    </row>
    <row r="5502" spans="7:7">
      <c r="G5502" t="s">
        <v>5690</v>
      </c>
    </row>
    <row r="5503" spans="7:7">
      <c r="G5503" t="s">
        <v>5691</v>
      </c>
    </row>
    <row r="5504" spans="7:7">
      <c r="G5504" t="s">
        <v>5692</v>
      </c>
    </row>
    <row r="5505" spans="7:7">
      <c r="G5505" t="s">
        <v>5693</v>
      </c>
    </row>
    <row r="5506" spans="7:7">
      <c r="G5506" t="s">
        <v>5694</v>
      </c>
    </row>
    <row r="5507" spans="7:7">
      <c r="G5507" t="s">
        <v>5695</v>
      </c>
    </row>
    <row r="5508" spans="7:7">
      <c r="G5508" t="s">
        <v>5696</v>
      </c>
    </row>
    <row r="5509" spans="7:7">
      <c r="G5509" t="s">
        <v>5697</v>
      </c>
    </row>
    <row r="5510" spans="7:7">
      <c r="G5510" t="s">
        <v>5698</v>
      </c>
    </row>
    <row r="5511" spans="7:7">
      <c r="G5511" t="s">
        <v>5699</v>
      </c>
    </row>
    <row r="5512" spans="7:7">
      <c r="G5512" t="s">
        <v>5700</v>
      </c>
    </row>
    <row r="5513" spans="7:7">
      <c r="G5513" t="s">
        <v>5701</v>
      </c>
    </row>
    <row r="5514" spans="7:7">
      <c r="G5514" t="s">
        <v>5702</v>
      </c>
    </row>
    <row r="5515" spans="7:7">
      <c r="G5515" t="s">
        <v>5703</v>
      </c>
    </row>
    <row r="5516" spans="7:7">
      <c r="G5516" t="s">
        <v>5704</v>
      </c>
    </row>
    <row r="5517" spans="7:7">
      <c r="G5517" t="s">
        <v>5705</v>
      </c>
    </row>
    <row r="5518" spans="7:7">
      <c r="G5518" t="s">
        <v>5706</v>
      </c>
    </row>
    <row r="5519" spans="7:7">
      <c r="G5519" t="s">
        <v>5707</v>
      </c>
    </row>
    <row r="5520" spans="7:7">
      <c r="G5520" t="s">
        <v>5708</v>
      </c>
    </row>
    <row r="5521" spans="7:7">
      <c r="G5521" t="s">
        <v>5709</v>
      </c>
    </row>
    <row r="5522" spans="7:7">
      <c r="G5522" t="s">
        <v>5710</v>
      </c>
    </row>
    <row r="5523" spans="7:7">
      <c r="G5523" t="s">
        <v>5711</v>
      </c>
    </row>
    <row r="5524" spans="7:7">
      <c r="G5524" t="s">
        <v>5712</v>
      </c>
    </row>
    <row r="5525" spans="7:7">
      <c r="G5525" t="s">
        <v>5713</v>
      </c>
    </row>
    <row r="5526" spans="7:7">
      <c r="G5526" t="s">
        <v>5714</v>
      </c>
    </row>
    <row r="5527" spans="7:7">
      <c r="G5527" t="s">
        <v>5715</v>
      </c>
    </row>
    <row r="5528" spans="7:7">
      <c r="G5528" t="s">
        <v>5716</v>
      </c>
    </row>
    <row r="5529" spans="7:7">
      <c r="G5529" t="s">
        <v>5717</v>
      </c>
    </row>
    <row r="5530" spans="7:7">
      <c r="G5530" t="s">
        <v>5718</v>
      </c>
    </row>
    <row r="5531" spans="7:7">
      <c r="G5531" t="s">
        <v>5719</v>
      </c>
    </row>
    <row r="5532" spans="7:7">
      <c r="G5532" t="s">
        <v>5720</v>
      </c>
    </row>
    <row r="5533" spans="7:7">
      <c r="G5533" t="s">
        <v>5721</v>
      </c>
    </row>
    <row r="5534" spans="7:7">
      <c r="G5534" t="s">
        <v>5722</v>
      </c>
    </row>
    <row r="5535" spans="7:7">
      <c r="G5535" t="s">
        <v>5723</v>
      </c>
    </row>
    <row r="5536" spans="7:7">
      <c r="G5536" t="s">
        <v>5724</v>
      </c>
    </row>
    <row r="5537" spans="7:7">
      <c r="G5537" t="s">
        <v>5725</v>
      </c>
    </row>
    <row r="5538" spans="7:7">
      <c r="G5538" t="s">
        <v>5726</v>
      </c>
    </row>
    <row r="5539" spans="7:7">
      <c r="G5539" t="s">
        <v>5727</v>
      </c>
    </row>
    <row r="5540" spans="7:7">
      <c r="G5540" t="s">
        <v>5728</v>
      </c>
    </row>
    <row r="5541" spans="7:7">
      <c r="G5541" t="s">
        <v>5729</v>
      </c>
    </row>
    <row r="5542" spans="7:7">
      <c r="G5542" t="s">
        <v>5730</v>
      </c>
    </row>
    <row r="5543" spans="7:7">
      <c r="G5543" t="s">
        <v>5731</v>
      </c>
    </row>
    <row r="5544" spans="7:7">
      <c r="G5544" t="s">
        <v>5732</v>
      </c>
    </row>
    <row r="5545" spans="7:7">
      <c r="G5545" t="s">
        <v>5733</v>
      </c>
    </row>
    <row r="5546" spans="7:7">
      <c r="G5546" t="s">
        <v>5734</v>
      </c>
    </row>
    <row r="5547" spans="7:7">
      <c r="G5547" t="s">
        <v>5735</v>
      </c>
    </row>
    <row r="5548" spans="7:7">
      <c r="G5548" t="s">
        <v>5736</v>
      </c>
    </row>
    <row r="5549" spans="7:7">
      <c r="G5549" t="s">
        <v>5737</v>
      </c>
    </row>
    <row r="5550" spans="7:7">
      <c r="G5550" t="s">
        <v>5738</v>
      </c>
    </row>
    <row r="5551" spans="7:7">
      <c r="G5551" t="s">
        <v>5739</v>
      </c>
    </row>
    <row r="5552" spans="7:7">
      <c r="G5552" t="s">
        <v>5740</v>
      </c>
    </row>
    <row r="5553" spans="7:7">
      <c r="G5553" t="s">
        <v>5741</v>
      </c>
    </row>
    <row r="5554" spans="7:7">
      <c r="G5554" t="s">
        <v>5742</v>
      </c>
    </row>
    <row r="5555" spans="7:7">
      <c r="G5555" t="s">
        <v>5743</v>
      </c>
    </row>
    <row r="5556" spans="7:7">
      <c r="G5556" t="s">
        <v>5744</v>
      </c>
    </row>
    <row r="5557" spans="7:7">
      <c r="G5557" t="s">
        <v>5745</v>
      </c>
    </row>
    <row r="5558" spans="7:7">
      <c r="G5558" t="s">
        <v>5746</v>
      </c>
    </row>
    <row r="5559" spans="7:7">
      <c r="G5559" t="s">
        <v>5747</v>
      </c>
    </row>
    <row r="5560" spans="7:7">
      <c r="G5560" t="s">
        <v>5748</v>
      </c>
    </row>
    <row r="5561" spans="7:7">
      <c r="G5561" t="s">
        <v>5749</v>
      </c>
    </row>
    <row r="5562" spans="7:7">
      <c r="G5562" t="s">
        <v>5750</v>
      </c>
    </row>
    <row r="5563" spans="7:7">
      <c r="G5563" t="s">
        <v>5751</v>
      </c>
    </row>
    <row r="5564" spans="7:7">
      <c r="G5564" t="s">
        <v>5752</v>
      </c>
    </row>
    <row r="5565" spans="7:7">
      <c r="G5565" t="s">
        <v>5753</v>
      </c>
    </row>
    <row r="5566" spans="7:7">
      <c r="G5566" t="s">
        <v>5754</v>
      </c>
    </row>
    <row r="5567" spans="7:7">
      <c r="G5567" t="s">
        <v>5755</v>
      </c>
    </row>
    <row r="5568" spans="7:7">
      <c r="G5568" t="s">
        <v>5756</v>
      </c>
    </row>
    <row r="5569" spans="7:7">
      <c r="G5569" t="s">
        <v>5757</v>
      </c>
    </row>
    <row r="5570" spans="7:7">
      <c r="G5570" t="s">
        <v>5758</v>
      </c>
    </row>
    <row r="5571" spans="7:7">
      <c r="G5571" t="s">
        <v>5759</v>
      </c>
    </row>
    <row r="5572" spans="7:7">
      <c r="G5572" t="s">
        <v>5760</v>
      </c>
    </row>
    <row r="5573" spans="7:7">
      <c r="G5573" t="s">
        <v>5761</v>
      </c>
    </row>
    <row r="5574" spans="7:7">
      <c r="G5574" t="s">
        <v>5762</v>
      </c>
    </row>
    <row r="5575" spans="7:7">
      <c r="G5575" t="s">
        <v>5763</v>
      </c>
    </row>
    <row r="5576" spans="7:7">
      <c r="G5576" t="s">
        <v>5764</v>
      </c>
    </row>
    <row r="5577" spans="7:7">
      <c r="G5577" t="s">
        <v>5765</v>
      </c>
    </row>
    <row r="5578" spans="7:7">
      <c r="G5578" t="s">
        <v>5766</v>
      </c>
    </row>
    <row r="5579" spans="7:7">
      <c r="G5579" t="s">
        <v>5767</v>
      </c>
    </row>
    <row r="5580" spans="7:7">
      <c r="G5580" t="s">
        <v>5768</v>
      </c>
    </row>
    <row r="5581" spans="7:7">
      <c r="G5581" t="s">
        <v>5769</v>
      </c>
    </row>
    <row r="5582" spans="7:7">
      <c r="G5582" t="s">
        <v>5770</v>
      </c>
    </row>
    <row r="5583" spans="7:7">
      <c r="G5583" t="s">
        <v>5771</v>
      </c>
    </row>
    <row r="5584" spans="7:7">
      <c r="G5584" t="s">
        <v>5772</v>
      </c>
    </row>
    <row r="5585" spans="7:7">
      <c r="G5585" t="s">
        <v>5773</v>
      </c>
    </row>
    <row r="5586" spans="7:7">
      <c r="G5586" t="s">
        <v>5774</v>
      </c>
    </row>
    <row r="5587" spans="7:7">
      <c r="G5587" t="s">
        <v>5775</v>
      </c>
    </row>
    <row r="5588" spans="7:7">
      <c r="G5588" t="s">
        <v>5776</v>
      </c>
    </row>
    <row r="5589" spans="7:7">
      <c r="G5589" t="s">
        <v>5777</v>
      </c>
    </row>
    <row r="5590" spans="7:7">
      <c r="G5590" t="s">
        <v>5778</v>
      </c>
    </row>
    <row r="5591" spans="7:7">
      <c r="G5591" t="s">
        <v>5779</v>
      </c>
    </row>
    <row r="5592" spans="7:7">
      <c r="G5592" t="s">
        <v>5780</v>
      </c>
    </row>
    <row r="5593" spans="7:7">
      <c r="G5593" t="s">
        <v>5781</v>
      </c>
    </row>
    <row r="5594" spans="7:7">
      <c r="G5594" t="s">
        <v>5782</v>
      </c>
    </row>
    <row r="5595" spans="7:7">
      <c r="G5595" t="s">
        <v>5783</v>
      </c>
    </row>
    <row r="5596" spans="7:7">
      <c r="G5596" t="s">
        <v>5784</v>
      </c>
    </row>
    <row r="5597" spans="7:7">
      <c r="G5597" t="s">
        <v>5785</v>
      </c>
    </row>
    <row r="5598" spans="7:7">
      <c r="G5598" t="s">
        <v>5786</v>
      </c>
    </row>
    <row r="5599" spans="7:7">
      <c r="G5599" t="s">
        <v>5787</v>
      </c>
    </row>
    <row r="5600" spans="7:7">
      <c r="G5600" t="s">
        <v>5788</v>
      </c>
    </row>
    <row r="5601" spans="7:7">
      <c r="G5601" t="s">
        <v>5789</v>
      </c>
    </row>
    <row r="5602" spans="7:7">
      <c r="G5602" t="s">
        <v>5790</v>
      </c>
    </row>
    <row r="5603" spans="7:7">
      <c r="G5603" t="s">
        <v>5791</v>
      </c>
    </row>
    <row r="5604" spans="7:7">
      <c r="G5604" t="s">
        <v>5792</v>
      </c>
    </row>
    <row r="5605" spans="7:7">
      <c r="G5605" t="s">
        <v>5793</v>
      </c>
    </row>
    <row r="5606" spans="7:7">
      <c r="G5606" t="s">
        <v>5794</v>
      </c>
    </row>
    <row r="5607" spans="7:7">
      <c r="G5607" t="s">
        <v>5795</v>
      </c>
    </row>
    <row r="5608" spans="7:7">
      <c r="G5608" t="s">
        <v>5796</v>
      </c>
    </row>
    <row r="5609" spans="7:7">
      <c r="G5609" t="s">
        <v>5797</v>
      </c>
    </row>
    <row r="5610" spans="7:7">
      <c r="G5610" t="s">
        <v>5798</v>
      </c>
    </row>
    <row r="5611" spans="7:7">
      <c r="G5611" t="s">
        <v>5799</v>
      </c>
    </row>
    <row r="5612" spans="7:7">
      <c r="G5612" t="s">
        <v>5800</v>
      </c>
    </row>
    <row r="5613" spans="7:7">
      <c r="G5613" t="s">
        <v>5801</v>
      </c>
    </row>
    <row r="5614" spans="7:7">
      <c r="G5614" t="s">
        <v>5802</v>
      </c>
    </row>
    <row r="5615" spans="7:7">
      <c r="G5615" t="s">
        <v>5803</v>
      </c>
    </row>
    <row r="5616" spans="7:7">
      <c r="G5616" t="s">
        <v>5804</v>
      </c>
    </row>
    <row r="5617" spans="7:7">
      <c r="G5617" t="s">
        <v>5805</v>
      </c>
    </row>
    <row r="5618" spans="7:7">
      <c r="G5618" t="s">
        <v>5806</v>
      </c>
    </row>
    <row r="5619" spans="7:7">
      <c r="G5619" t="s">
        <v>5807</v>
      </c>
    </row>
    <row r="5620" spans="7:7">
      <c r="G5620" t="s">
        <v>5808</v>
      </c>
    </row>
    <row r="5621" spans="7:7">
      <c r="G5621" t="s">
        <v>5809</v>
      </c>
    </row>
    <row r="5622" spans="7:7">
      <c r="G5622" t="s">
        <v>5810</v>
      </c>
    </row>
    <row r="5623" spans="7:7">
      <c r="G5623" t="s">
        <v>5811</v>
      </c>
    </row>
    <row r="5624" spans="7:7">
      <c r="G5624" t="s">
        <v>5812</v>
      </c>
    </row>
    <row r="5625" spans="7:7">
      <c r="G5625" t="s">
        <v>5813</v>
      </c>
    </row>
    <row r="5626" spans="7:7">
      <c r="G5626" t="s">
        <v>5814</v>
      </c>
    </row>
    <row r="5627" spans="7:7">
      <c r="G5627" t="s">
        <v>5815</v>
      </c>
    </row>
    <row r="5628" spans="7:7">
      <c r="G5628" t="s">
        <v>5816</v>
      </c>
    </row>
    <row r="5629" spans="7:7">
      <c r="G5629" t="s">
        <v>5817</v>
      </c>
    </row>
    <row r="5630" spans="7:7">
      <c r="G5630" t="s">
        <v>5818</v>
      </c>
    </row>
    <row r="5631" spans="7:7">
      <c r="G5631" t="s">
        <v>5819</v>
      </c>
    </row>
    <row r="5632" spans="7:7">
      <c r="G5632" t="s">
        <v>5820</v>
      </c>
    </row>
    <row r="5633" spans="7:7">
      <c r="G5633" t="s">
        <v>5821</v>
      </c>
    </row>
    <row r="5634" spans="7:7">
      <c r="G5634" t="s">
        <v>5822</v>
      </c>
    </row>
    <row r="5635" spans="7:7">
      <c r="G5635" t="s">
        <v>5823</v>
      </c>
    </row>
    <row r="5636" spans="7:7">
      <c r="G5636" t="s">
        <v>5824</v>
      </c>
    </row>
    <row r="5637" spans="7:7">
      <c r="G5637" t="s">
        <v>5825</v>
      </c>
    </row>
    <row r="5638" spans="7:7">
      <c r="G5638" t="s">
        <v>5826</v>
      </c>
    </row>
    <row r="5639" spans="7:7">
      <c r="G5639" t="s">
        <v>5827</v>
      </c>
    </row>
    <row r="5640" spans="7:7">
      <c r="G5640" t="s">
        <v>5828</v>
      </c>
    </row>
    <row r="5641" spans="7:7">
      <c r="G5641" t="s">
        <v>5829</v>
      </c>
    </row>
    <row r="5642" spans="7:7">
      <c r="G5642" t="s">
        <v>5830</v>
      </c>
    </row>
    <row r="5643" spans="7:7">
      <c r="G5643" t="s">
        <v>5831</v>
      </c>
    </row>
    <row r="5644" spans="7:7">
      <c r="G5644" t="s">
        <v>5832</v>
      </c>
    </row>
    <row r="5645" spans="7:7">
      <c r="G5645" t="s">
        <v>5833</v>
      </c>
    </row>
    <row r="5646" spans="7:7">
      <c r="G5646" t="s">
        <v>5834</v>
      </c>
    </row>
    <row r="5647" spans="7:7">
      <c r="G5647" t="s">
        <v>5835</v>
      </c>
    </row>
    <row r="5648" spans="7:7">
      <c r="G5648" t="s">
        <v>5836</v>
      </c>
    </row>
    <row r="5649" spans="7:7">
      <c r="G5649" t="s">
        <v>5837</v>
      </c>
    </row>
    <row r="5650" spans="7:7">
      <c r="G5650" t="s">
        <v>5838</v>
      </c>
    </row>
    <row r="5651" spans="7:7">
      <c r="G5651" t="s">
        <v>5839</v>
      </c>
    </row>
    <row r="5652" spans="7:7">
      <c r="G5652" t="s">
        <v>5840</v>
      </c>
    </row>
    <row r="5653" spans="7:7">
      <c r="G5653" t="s">
        <v>5841</v>
      </c>
    </row>
    <row r="5654" spans="7:7">
      <c r="G5654" t="s">
        <v>5842</v>
      </c>
    </row>
    <row r="5655" spans="7:7">
      <c r="G5655" t="s">
        <v>5843</v>
      </c>
    </row>
    <row r="5656" spans="7:7">
      <c r="G5656" t="s">
        <v>5844</v>
      </c>
    </row>
    <row r="5657" spans="7:7">
      <c r="G5657" t="s">
        <v>5845</v>
      </c>
    </row>
    <row r="5658" spans="7:7">
      <c r="G5658" t="s">
        <v>5846</v>
      </c>
    </row>
    <row r="5659" spans="7:7">
      <c r="G5659" t="s">
        <v>5847</v>
      </c>
    </row>
    <row r="5660" spans="7:7">
      <c r="G5660" t="s">
        <v>5848</v>
      </c>
    </row>
    <row r="5661" spans="7:7">
      <c r="G5661" t="s">
        <v>5849</v>
      </c>
    </row>
    <row r="5662" spans="7:7">
      <c r="G5662" t="s">
        <v>5850</v>
      </c>
    </row>
    <row r="5663" spans="7:7">
      <c r="G5663" t="s">
        <v>5851</v>
      </c>
    </row>
    <row r="5664" spans="7:7">
      <c r="G5664" t="s">
        <v>5852</v>
      </c>
    </row>
    <row r="5665" spans="7:7">
      <c r="G5665" t="s">
        <v>5853</v>
      </c>
    </row>
    <row r="5666" spans="7:7">
      <c r="G5666" t="s">
        <v>5854</v>
      </c>
    </row>
    <row r="5667" spans="7:7">
      <c r="G5667" t="s">
        <v>5855</v>
      </c>
    </row>
    <row r="5668" spans="7:7">
      <c r="G5668" t="s">
        <v>5856</v>
      </c>
    </row>
    <row r="5669" spans="7:7">
      <c r="G5669" t="s">
        <v>5857</v>
      </c>
    </row>
    <row r="5670" spans="7:7">
      <c r="G5670" t="s">
        <v>5858</v>
      </c>
    </row>
    <row r="5671" spans="7:7">
      <c r="G5671" t="s">
        <v>5859</v>
      </c>
    </row>
    <row r="5672" spans="7:7">
      <c r="G5672" t="s">
        <v>5860</v>
      </c>
    </row>
    <row r="5673" spans="7:7">
      <c r="G5673" t="s">
        <v>5861</v>
      </c>
    </row>
    <row r="5674" spans="7:7">
      <c r="G5674" t="s">
        <v>5862</v>
      </c>
    </row>
    <row r="5675" spans="7:7">
      <c r="G5675" t="s">
        <v>5863</v>
      </c>
    </row>
    <row r="5676" spans="7:7">
      <c r="G5676" t="s">
        <v>5864</v>
      </c>
    </row>
    <row r="5677" spans="7:7">
      <c r="G5677" t="s">
        <v>5865</v>
      </c>
    </row>
    <row r="5678" spans="7:7">
      <c r="G5678" t="s">
        <v>5866</v>
      </c>
    </row>
    <row r="5679" spans="7:7">
      <c r="G5679" t="s">
        <v>5867</v>
      </c>
    </row>
    <row r="5680" spans="7:7">
      <c r="G5680" t="s">
        <v>5868</v>
      </c>
    </row>
    <row r="5681" spans="7:7">
      <c r="G5681" t="s">
        <v>5869</v>
      </c>
    </row>
    <row r="5682" spans="7:7">
      <c r="G5682" t="s">
        <v>5870</v>
      </c>
    </row>
    <row r="5683" spans="7:7">
      <c r="G5683" t="s">
        <v>5871</v>
      </c>
    </row>
    <row r="5684" spans="7:7">
      <c r="G5684" t="s">
        <v>5872</v>
      </c>
    </row>
    <row r="5685" spans="7:7">
      <c r="G5685" t="s">
        <v>5873</v>
      </c>
    </row>
    <row r="5686" spans="7:7">
      <c r="G5686" t="s">
        <v>5874</v>
      </c>
    </row>
    <row r="5687" spans="7:7">
      <c r="G5687" t="s">
        <v>5875</v>
      </c>
    </row>
    <row r="5688" spans="7:7">
      <c r="G5688" t="s">
        <v>5876</v>
      </c>
    </row>
    <row r="5689" spans="7:7">
      <c r="G5689" t="s">
        <v>5877</v>
      </c>
    </row>
    <row r="5690" spans="7:7">
      <c r="G5690" t="s">
        <v>5878</v>
      </c>
    </row>
    <row r="5691" spans="7:7">
      <c r="G5691" t="s">
        <v>5879</v>
      </c>
    </row>
    <row r="5692" spans="7:7">
      <c r="G5692" t="s">
        <v>5880</v>
      </c>
    </row>
    <row r="5693" spans="7:7">
      <c r="G5693" t="s">
        <v>5881</v>
      </c>
    </row>
    <row r="5694" spans="7:7">
      <c r="G5694" t="s">
        <v>5882</v>
      </c>
    </row>
    <row r="5695" spans="7:7">
      <c r="G5695" t="s">
        <v>5883</v>
      </c>
    </row>
    <row r="5696" spans="7:7">
      <c r="G5696" t="s">
        <v>5884</v>
      </c>
    </row>
    <row r="5697" spans="7:7">
      <c r="G5697" t="s">
        <v>5885</v>
      </c>
    </row>
    <row r="5698" spans="7:7">
      <c r="G5698" t="s">
        <v>5886</v>
      </c>
    </row>
    <row r="5699" spans="7:7">
      <c r="G5699" t="s">
        <v>5887</v>
      </c>
    </row>
    <row r="5700" spans="7:7">
      <c r="G5700" t="s">
        <v>5888</v>
      </c>
    </row>
    <row r="5701" spans="7:7">
      <c r="G5701" t="s">
        <v>5889</v>
      </c>
    </row>
    <row r="5702" spans="7:7">
      <c r="G5702" t="s">
        <v>5890</v>
      </c>
    </row>
    <row r="5703" spans="7:7">
      <c r="G5703" t="s">
        <v>5891</v>
      </c>
    </row>
    <row r="5704" spans="7:7">
      <c r="G5704" t="s">
        <v>5892</v>
      </c>
    </row>
    <row r="5705" spans="7:7">
      <c r="G5705" t="s">
        <v>5893</v>
      </c>
    </row>
    <row r="5706" spans="7:7">
      <c r="G5706" t="s">
        <v>5894</v>
      </c>
    </row>
    <row r="5707" spans="7:7">
      <c r="G5707" t="s">
        <v>5895</v>
      </c>
    </row>
    <row r="5708" spans="7:7">
      <c r="G5708" t="s">
        <v>5896</v>
      </c>
    </row>
    <row r="5709" spans="7:7">
      <c r="G5709" t="s">
        <v>5897</v>
      </c>
    </row>
    <row r="5710" spans="7:7">
      <c r="G5710" t="s">
        <v>5898</v>
      </c>
    </row>
    <row r="5711" spans="7:7">
      <c r="G5711" t="s">
        <v>5899</v>
      </c>
    </row>
    <row r="5712" spans="7:7">
      <c r="G5712" t="s">
        <v>5900</v>
      </c>
    </row>
    <row r="5713" spans="7:7">
      <c r="G5713" t="s">
        <v>5901</v>
      </c>
    </row>
    <row r="5714" spans="7:7">
      <c r="G5714" t="s">
        <v>5902</v>
      </c>
    </row>
    <row r="5715" spans="7:7">
      <c r="G5715" t="s">
        <v>5903</v>
      </c>
    </row>
    <row r="5716" spans="7:7">
      <c r="G5716" t="s">
        <v>5904</v>
      </c>
    </row>
    <row r="5717" spans="7:7">
      <c r="G5717" t="s">
        <v>5905</v>
      </c>
    </row>
    <row r="5718" spans="7:7">
      <c r="G5718" t="s">
        <v>5906</v>
      </c>
    </row>
    <row r="5719" spans="7:7">
      <c r="G5719" t="s">
        <v>5907</v>
      </c>
    </row>
    <row r="5720" spans="7:7">
      <c r="G5720" t="s">
        <v>5908</v>
      </c>
    </row>
    <row r="5721" spans="7:7">
      <c r="G5721" t="s">
        <v>5909</v>
      </c>
    </row>
    <row r="5722" spans="7:7">
      <c r="G5722" t="s">
        <v>5910</v>
      </c>
    </row>
    <row r="5723" spans="7:7">
      <c r="G5723" t="s">
        <v>5911</v>
      </c>
    </row>
    <row r="5724" spans="7:7">
      <c r="G5724" t="s">
        <v>5912</v>
      </c>
    </row>
    <row r="5725" spans="7:7">
      <c r="G5725" t="s">
        <v>5913</v>
      </c>
    </row>
    <row r="5726" spans="7:7">
      <c r="G5726" t="s">
        <v>5914</v>
      </c>
    </row>
    <row r="5727" spans="7:7">
      <c r="G5727" t="s">
        <v>5915</v>
      </c>
    </row>
    <row r="5728" spans="7:7">
      <c r="G5728" t="s">
        <v>5916</v>
      </c>
    </row>
    <row r="5729" spans="7:7">
      <c r="G5729" t="s">
        <v>5917</v>
      </c>
    </row>
    <row r="5730" spans="7:7">
      <c r="G5730" t="s">
        <v>5918</v>
      </c>
    </row>
    <row r="5731" spans="7:7">
      <c r="G5731" t="s">
        <v>5919</v>
      </c>
    </row>
    <row r="5732" spans="7:7">
      <c r="G5732" t="s">
        <v>5920</v>
      </c>
    </row>
    <row r="5733" spans="7:7">
      <c r="G5733" t="s">
        <v>5921</v>
      </c>
    </row>
    <row r="5734" spans="7:7">
      <c r="G5734" t="s">
        <v>5922</v>
      </c>
    </row>
    <row r="5735" spans="7:7">
      <c r="G5735" t="s">
        <v>5923</v>
      </c>
    </row>
    <row r="5736" spans="7:7">
      <c r="G5736" t="s">
        <v>5924</v>
      </c>
    </row>
    <row r="5737" spans="7:7">
      <c r="G5737" t="s">
        <v>5925</v>
      </c>
    </row>
    <row r="5738" spans="7:7">
      <c r="G5738" t="s">
        <v>5926</v>
      </c>
    </row>
    <row r="5739" spans="7:7">
      <c r="G5739" t="s">
        <v>5927</v>
      </c>
    </row>
    <row r="5740" spans="7:7">
      <c r="G5740" t="s">
        <v>5928</v>
      </c>
    </row>
    <row r="5741" spans="7:7">
      <c r="G5741" t="s">
        <v>5929</v>
      </c>
    </row>
    <row r="5742" spans="7:7">
      <c r="G5742" t="s">
        <v>5930</v>
      </c>
    </row>
    <row r="5743" spans="7:7">
      <c r="G5743" t="s">
        <v>5931</v>
      </c>
    </row>
    <row r="5744" spans="7:7">
      <c r="G5744" t="s">
        <v>5932</v>
      </c>
    </row>
    <row r="5745" spans="7:7">
      <c r="G5745" t="s">
        <v>5933</v>
      </c>
    </row>
    <row r="5746" spans="7:7">
      <c r="G5746" t="s">
        <v>5934</v>
      </c>
    </row>
    <row r="5747" spans="7:7">
      <c r="G5747" t="s">
        <v>5935</v>
      </c>
    </row>
    <row r="5748" spans="7:7">
      <c r="G5748" t="s">
        <v>5936</v>
      </c>
    </row>
    <row r="5749" spans="7:7">
      <c r="G5749" t="s">
        <v>5937</v>
      </c>
    </row>
    <row r="5750" spans="7:7">
      <c r="G5750" t="s">
        <v>5938</v>
      </c>
    </row>
    <row r="5751" spans="7:7">
      <c r="G5751" t="s">
        <v>5939</v>
      </c>
    </row>
    <row r="5752" spans="7:7">
      <c r="G5752" t="s">
        <v>5940</v>
      </c>
    </row>
    <row r="5753" spans="7:7">
      <c r="G5753" t="s">
        <v>5941</v>
      </c>
    </row>
    <row r="5754" spans="7:7">
      <c r="G5754" t="s">
        <v>5942</v>
      </c>
    </row>
    <row r="5755" spans="7:7">
      <c r="G5755" t="s">
        <v>5943</v>
      </c>
    </row>
    <row r="5756" spans="7:7">
      <c r="G5756" t="s">
        <v>5944</v>
      </c>
    </row>
    <row r="5757" spans="7:7">
      <c r="G5757" t="s">
        <v>5945</v>
      </c>
    </row>
    <row r="5758" spans="7:7">
      <c r="G5758" t="s">
        <v>5946</v>
      </c>
    </row>
    <row r="5759" spans="7:7">
      <c r="G5759" t="s">
        <v>5947</v>
      </c>
    </row>
    <row r="5760" spans="7:7">
      <c r="G5760" t="s">
        <v>5948</v>
      </c>
    </row>
    <row r="5761" spans="7:7">
      <c r="G5761" t="s">
        <v>5949</v>
      </c>
    </row>
    <row r="5762" spans="7:7">
      <c r="G5762" t="s">
        <v>5950</v>
      </c>
    </row>
    <row r="5763" spans="7:7">
      <c r="G5763" t="s">
        <v>5951</v>
      </c>
    </row>
    <row r="5764" spans="7:7">
      <c r="G5764" t="s">
        <v>5952</v>
      </c>
    </row>
    <row r="5765" spans="7:7">
      <c r="G5765" t="s">
        <v>5953</v>
      </c>
    </row>
    <row r="5766" spans="7:7">
      <c r="G5766" t="s">
        <v>5954</v>
      </c>
    </row>
    <row r="5767" spans="7:7">
      <c r="G5767" t="s">
        <v>5955</v>
      </c>
    </row>
    <row r="5768" spans="7:7">
      <c r="G5768" t="s">
        <v>5956</v>
      </c>
    </row>
    <row r="5769" spans="7:7">
      <c r="G5769" t="s">
        <v>5957</v>
      </c>
    </row>
    <row r="5770" spans="7:7">
      <c r="G5770" t="s">
        <v>5958</v>
      </c>
    </row>
    <row r="5771" spans="7:7">
      <c r="G5771" t="s">
        <v>5959</v>
      </c>
    </row>
    <row r="5772" spans="7:7">
      <c r="G5772" t="s">
        <v>5960</v>
      </c>
    </row>
    <row r="5773" spans="7:7">
      <c r="G5773" t="s">
        <v>5961</v>
      </c>
    </row>
    <row r="5774" spans="7:7">
      <c r="G5774" t="s">
        <v>5962</v>
      </c>
    </row>
    <row r="5775" spans="7:7">
      <c r="G5775" t="s">
        <v>5963</v>
      </c>
    </row>
    <row r="5776" spans="7:7">
      <c r="G5776" t="s">
        <v>5964</v>
      </c>
    </row>
    <row r="5777" spans="7:7">
      <c r="G5777" t="s">
        <v>5965</v>
      </c>
    </row>
    <row r="5778" spans="7:7">
      <c r="G5778" t="s">
        <v>5966</v>
      </c>
    </row>
    <row r="5779" spans="7:7">
      <c r="G5779" t="s">
        <v>5967</v>
      </c>
    </row>
    <row r="5780" spans="7:7">
      <c r="G5780" t="s">
        <v>5968</v>
      </c>
    </row>
    <row r="5781" spans="7:7">
      <c r="G5781" t="s">
        <v>5969</v>
      </c>
    </row>
    <row r="5782" spans="7:7">
      <c r="G5782" t="s">
        <v>5970</v>
      </c>
    </row>
    <row r="5783" spans="7:7">
      <c r="G5783" t="s">
        <v>5971</v>
      </c>
    </row>
    <row r="5784" spans="7:7">
      <c r="G5784" t="s">
        <v>5972</v>
      </c>
    </row>
    <row r="5785" spans="7:7">
      <c r="G5785" t="s">
        <v>5973</v>
      </c>
    </row>
    <row r="5786" spans="7:7">
      <c r="G5786" t="s">
        <v>5974</v>
      </c>
    </row>
    <row r="5787" spans="7:7">
      <c r="G5787" t="s">
        <v>5975</v>
      </c>
    </row>
    <row r="5788" spans="7:7">
      <c r="G5788" t="s">
        <v>5976</v>
      </c>
    </row>
    <row r="5789" spans="7:7">
      <c r="G5789" t="s">
        <v>5977</v>
      </c>
    </row>
    <row r="5790" spans="7:7">
      <c r="G5790" t="s">
        <v>5978</v>
      </c>
    </row>
    <row r="5791" spans="7:7">
      <c r="G5791" t="s">
        <v>5979</v>
      </c>
    </row>
    <row r="5792" spans="7:7">
      <c r="G5792" t="s">
        <v>5980</v>
      </c>
    </row>
    <row r="5793" spans="7:7">
      <c r="G5793" t="s">
        <v>5981</v>
      </c>
    </row>
    <row r="5794" spans="7:7">
      <c r="G5794" t="s">
        <v>5982</v>
      </c>
    </row>
    <row r="5795" spans="7:7">
      <c r="G5795" t="s">
        <v>5983</v>
      </c>
    </row>
    <row r="5796" spans="7:7">
      <c r="G5796" t="s">
        <v>5984</v>
      </c>
    </row>
    <row r="5797" spans="7:7">
      <c r="G5797" t="s">
        <v>5985</v>
      </c>
    </row>
    <row r="5798" spans="7:7">
      <c r="G5798" t="s">
        <v>5986</v>
      </c>
    </row>
    <row r="5799" spans="7:7">
      <c r="G5799" t="s">
        <v>5987</v>
      </c>
    </row>
    <row r="5800" spans="7:7">
      <c r="G5800" t="s">
        <v>5988</v>
      </c>
    </row>
    <row r="5801" spans="7:7">
      <c r="G5801" t="s">
        <v>5989</v>
      </c>
    </row>
    <row r="5802" spans="7:7">
      <c r="G5802" t="s">
        <v>5990</v>
      </c>
    </row>
    <row r="5803" spans="7:7">
      <c r="G5803" t="s">
        <v>5991</v>
      </c>
    </row>
    <row r="5804" spans="7:7">
      <c r="G5804" t="s">
        <v>5992</v>
      </c>
    </row>
    <row r="5805" spans="7:7">
      <c r="G5805" t="s">
        <v>5993</v>
      </c>
    </row>
    <row r="5806" spans="7:7">
      <c r="G5806" t="s">
        <v>5994</v>
      </c>
    </row>
    <row r="5807" spans="7:7">
      <c r="G5807" t="s">
        <v>5995</v>
      </c>
    </row>
    <row r="5808" spans="7:7">
      <c r="G5808" t="s">
        <v>5996</v>
      </c>
    </row>
    <row r="5809" spans="7:7">
      <c r="G5809" t="s">
        <v>5997</v>
      </c>
    </row>
    <row r="5810" spans="7:7">
      <c r="G5810" t="s">
        <v>5998</v>
      </c>
    </row>
    <row r="5811" spans="7:7">
      <c r="G5811" t="s">
        <v>5999</v>
      </c>
    </row>
    <row r="5812" spans="7:7">
      <c r="G5812" t="s">
        <v>6000</v>
      </c>
    </row>
    <row r="5813" spans="7:7">
      <c r="G5813" t="s">
        <v>6001</v>
      </c>
    </row>
    <row r="5814" spans="7:7">
      <c r="G5814" t="s">
        <v>6002</v>
      </c>
    </row>
    <row r="5815" spans="7:7">
      <c r="G5815" t="s">
        <v>6003</v>
      </c>
    </row>
    <row r="5816" spans="7:7">
      <c r="G5816" t="s">
        <v>6004</v>
      </c>
    </row>
    <row r="5817" spans="7:7">
      <c r="G5817" t="s">
        <v>6005</v>
      </c>
    </row>
    <row r="5818" spans="7:7">
      <c r="G5818" t="s">
        <v>6006</v>
      </c>
    </row>
    <row r="5819" spans="7:7">
      <c r="G5819" t="s">
        <v>6007</v>
      </c>
    </row>
    <row r="5820" spans="7:7">
      <c r="G5820" t="s">
        <v>6008</v>
      </c>
    </row>
    <row r="5821" spans="7:7">
      <c r="G5821" t="s">
        <v>6009</v>
      </c>
    </row>
    <row r="5822" spans="7:7">
      <c r="G5822" t="s">
        <v>6010</v>
      </c>
    </row>
    <row r="5823" spans="7:7">
      <c r="G5823" t="s">
        <v>6011</v>
      </c>
    </row>
    <row r="5824" spans="7:7">
      <c r="G5824" t="s">
        <v>6012</v>
      </c>
    </row>
    <row r="5825" spans="7:7">
      <c r="G5825" t="s">
        <v>6013</v>
      </c>
    </row>
    <row r="5826" spans="7:7">
      <c r="G5826" t="s">
        <v>6014</v>
      </c>
    </row>
    <row r="5827" spans="7:7">
      <c r="G5827" t="s">
        <v>6015</v>
      </c>
    </row>
    <row r="5828" spans="7:7">
      <c r="G5828" t="s">
        <v>6016</v>
      </c>
    </row>
    <row r="5829" spans="7:7">
      <c r="G5829" t="s">
        <v>6017</v>
      </c>
    </row>
    <row r="5830" spans="7:7">
      <c r="G5830" t="s">
        <v>6018</v>
      </c>
    </row>
    <row r="5831" spans="7:7">
      <c r="G5831" t="s">
        <v>6019</v>
      </c>
    </row>
    <row r="5832" spans="7:7">
      <c r="G5832" t="s">
        <v>6020</v>
      </c>
    </row>
    <row r="5833" spans="7:7">
      <c r="G5833" t="s">
        <v>6021</v>
      </c>
    </row>
    <row r="5834" spans="7:7">
      <c r="G5834" t="s">
        <v>6022</v>
      </c>
    </row>
    <row r="5835" spans="7:7">
      <c r="G5835" t="s">
        <v>6023</v>
      </c>
    </row>
    <row r="5836" spans="7:7">
      <c r="G5836" t="s">
        <v>6024</v>
      </c>
    </row>
    <row r="5837" spans="7:7">
      <c r="G5837" t="s">
        <v>6025</v>
      </c>
    </row>
    <row r="5838" spans="7:7">
      <c r="G5838" t="s">
        <v>6026</v>
      </c>
    </row>
    <row r="5839" spans="7:7">
      <c r="G5839" t="s">
        <v>6027</v>
      </c>
    </row>
    <row r="5840" spans="7:7">
      <c r="G5840" t="s">
        <v>6028</v>
      </c>
    </row>
    <row r="5841" spans="7:7">
      <c r="G5841" t="s">
        <v>6029</v>
      </c>
    </row>
    <row r="5842" spans="7:7">
      <c r="G5842" t="s">
        <v>6030</v>
      </c>
    </row>
    <row r="5843" spans="7:7">
      <c r="G5843" t="s">
        <v>6031</v>
      </c>
    </row>
    <row r="5844" spans="7:7">
      <c r="G5844" t="s">
        <v>6032</v>
      </c>
    </row>
    <row r="5845" spans="7:7">
      <c r="G5845" t="s">
        <v>6033</v>
      </c>
    </row>
    <row r="5846" spans="7:7">
      <c r="G5846" t="s">
        <v>6034</v>
      </c>
    </row>
    <row r="5847" spans="7:7">
      <c r="G5847" t="s">
        <v>6035</v>
      </c>
    </row>
    <row r="5848" spans="7:7">
      <c r="G5848" t="s">
        <v>6036</v>
      </c>
    </row>
    <row r="5849" spans="7:7">
      <c r="G5849" t="s">
        <v>6037</v>
      </c>
    </row>
    <row r="5850" spans="7:7">
      <c r="G5850" t="s">
        <v>6038</v>
      </c>
    </row>
    <row r="5851" spans="7:7">
      <c r="G5851" t="s">
        <v>6039</v>
      </c>
    </row>
    <row r="5852" spans="7:7">
      <c r="G5852" t="s">
        <v>6040</v>
      </c>
    </row>
    <row r="5853" spans="7:7">
      <c r="G5853" t="s">
        <v>6041</v>
      </c>
    </row>
    <row r="5854" spans="7:7">
      <c r="G5854" t="s">
        <v>6042</v>
      </c>
    </row>
    <row r="5855" spans="7:7">
      <c r="G5855" t="s">
        <v>6043</v>
      </c>
    </row>
    <row r="5856" spans="7:7">
      <c r="G5856" t="s">
        <v>6044</v>
      </c>
    </row>
    <row r="5857" spans="7:7">
      <c r="G5857" t="s">
        <v>6045</v>
      </c>
    </row>
    <row r="5858" spans="7:7">
      <c r="G5858" t="s">
        <v>6046</v>
      </c>
    </row>
    <row r="5859" spans="7:7">
      <c r="G5859" t="s">
        <v>6047</v>
      </c>
    </row>
    <row r="5860" spans="7:7">
      <c r="G5860" t="s">
        <v>6048</v>
      </c>
    </row>
    <row r="5861" spans="7:7">
      <c r="G5861" t="s">
        <v>6049</v>
      </c>
    </row>
    <row r="5862" spans="7:7">
      <c r="G5862" t="s">
        <v>6050</v>
      </c>
    </row>
    <row r="5863" spans="7:7">
      <c r="G5863" t="s">
        <v>6051</v>
      </c>
    </row>
    <row r="5864" spans="7:7">
      <c r="G5864" t="s">
        <v>6052</v>
      </c>
    </row>
    <row r="5865" spans="7:7">
      <c r="G5865" t="s">
        <v>6053</v>
      </c>
    </row>
    <row r="5866" spans="7:7">
      <c r="G5866" t="s">
        <v>6054</v>
      </c>
    </row>
    <row r="5867" spans="7:7">
      <c r="G5867" t="s">
        <v>6055</v>
      </c>
    </row>
    <row r="5868" spans="7:7">
      <c r="G5868" t="s">
        <v>6056</v>
      </c>
    </row>
    <row r="5869" spans="7:7">
      <c r="G5869" t="s">
        <v>6057</v>
      </c>
    </row>
    <row r="5870" spans="7:7">
      <c r="G5870" t="s">
        <v>6058</v>
      </c>
    </row>
    <row r="5871" spans="7:7">
      <c r="G5871" t="s">
        <v>6059</v>
      </c>
    </row>
    <row r="5872" spans="7:7">
      <c r="G5872" t="s">
        <v>6060</v>
      </c>
    </row>
    <row r="5873" spans="7:7">
      <c r="G5873" t="s">
        <v>6061</v>
      </c>
    </row>
    <row r="5874" spans="7:7">
      <c r="G5874" t="s">
        <v>6062</v>
      </c>
    </row>
    <row r="5875" spans="7:7">
      <c r="G5875" t="s">
        <v>6063</v>
      </c>
    </row>
    <row r="5876" spans="7:7">
      <c r="G5876" t="s">
        <v>6064</v>
      </c>
    </row>
    <row r="5877" spans="7:7">
      <c r="G5877" t="s">
        <v>6065</v>
      </c>
    </row>
    <row r="5878" spans="7:7">
      <c r="G5878" t="s">
        <v>6066</v>
      </c>
    </row>
    <row r="5879" spans="7:7">
      <c r="G5879" t="s">
        <v>6067</v>
      </c>
    </row>
    <row r="5880" spans="7:7">
      <c r="G5880" t="s">
        <v>6068</v>
      </c>
    </row>
    <row r="5881" spans="7:7">
      <c r="G5881" t="s">
        <v>6069</v>
      </c>
    </row>
    <row r="5882" spans="7:7">
      <c r="G5882" t="s">
        <v>6070</v>
      </c>
    </row>
    <row r="5883" spans="7:7">
      <c r="G5883" t="s">
        <v>6071</v>
      </c>
    </row>
    <row r="5884" spans="7:7">
      <c r="G5884" t="s">
        <v>6072</v>
      </c>
    </row>
    <row r="5885" spans="7:7">
      <c r="G5885" t="s">
        <v>6073</v>
      </c>
    </row>
    <row r="5886" spans="7:7">
      <c r="G5886" t="s">
        <v>6074</v>
      </c>
    </row>
    <row r="5887" spans="7:7">
      <c r="G5887" t="s">
        <v>6075</v>
      </c>
    </row>
    <row r="5888" spans="7:7">
      <c r="G5888" t="s">
        <v>6076</v>
      </c>
    </row>
    <row r="5889" spans="7:7">
      <c r="G5889" t="s">
        <v>6077</v>
      </c>
    </row>
    <row r="5890" spans="7:7">
      <c r="G5890" t="s">
        <v>6078</v>
      </c>
    </row>
    <row r="5891" spans="7:7">
      <c r="G5891" t="s">
        <v>6079</v>
      </c>
    </row>
    <row r="5892" spans="7:7">
      <c r="G5892" t="s">
        <v>6080</v>
      </c>
    </row>
    <row r="5893" spans="7:7">
      <c r="G5893" t="s">
        <v>6081</v>
      </c>
    </row>
    <row r="5894" spans="7:7">
      <c r="G5894" t="s">
        <v>6082</v>
      </c>
    </row>
    <row r="5895" spans="7:7">
      <c r="G5895" t="s">
        <v>6083</v>
      </c>
    </row>
    <row r="5896" spans="7:7">
      <c r="G5896" t="s">
        <v>6084</v>
      </c>
    </row>
    <row r="5897" spans="7:7">
      <c r="G5897" t="s">
        <v>6085</v>
      </c>
    </row>
    <row r="5898" spans="7:7">
      <c r="G5898" t="s">
        <v>6086</v>
      </c>
    </row>
    <row r="5899" spans="7:7">
      <c r="G5899" t="s">
        <v>6087</v>
      </c>
    </row>
    <row r="5900" spans="7:7">
      <c r="G5900" t="s">
        <v>6088</v>
      </c>
    </row>
    <row r="5901" spans="7:7">
      <c r="G5901" t="s">
        <v>6089</v>
      </c>
    </row>
    <row r="5902" spans="7:7">
      <c r="G5902" t="s">
        <v>6090</v>
      </c>
    </row>
    <row r="5903" spans="7:7">
      <c r="G5903" t="s">
        <v>6091</v>
      </c>
    </row>
    <row r="5904" spans="7:7">
      <c r="G5904" t="s">
        <v>6092</v>
      </c>
    </row>
    <row r="5905" spans="7:7">
      <c r="G5905" t="s">
        <v>6093</v>
      </c>
    </row>
    <row r="5906" spans="7:7">
      <c r="G5906" t="s">
        <v>6094</v>
      </c>
    </row>
    <row r="5907" spans="7:7">
      <c r="G5907" t="s">
        <v>6095</v>
      </c>
    </row>
    <row r="5908" spans="7:7">
      <c r="G5908" t="s">
        <v>6096</v>
      </c>
    </row>
    <row r="5909" spans="7:7">
      <c r="G5909" t="s">
        <v>6097</v>
      </c>
    </row>
    <row r="5910" spans="7:7">
      <c r="G5910" t="s">
        <v>6098</v>
      </c>
    </row>
    <row r="5911" spans="7:7">
      <c r="G5911" t="s">
        <v>6099</v>
      </c>
    </row>
    <row r="5912" spans="7:7">
      <c r="G5912" t="s">
        <v>6100</v>
      </c>
    </row>
    <row r="5913" spans="7:7">
      <c r="G5913" t="s">
        <v>6101</v>
      </c>
    </row>
    <row r="5914" spans="7:7">
      <c r="G5914" t="s">
        <v>6102</v>
      </c>
    </row>
    <row r="5915" spans="7:7">
      <c r="G5915" t="s">
        <v>6103</v>
      </c>
    </row>
    <row r="5916" spans="7:7">
      <c r="G5916" t="s">
        <v>6104</v>
      </c>
    </row>
    <row r="5917" spans="7:7">
      <c r="G5917" t="s">
        <v>6105</v>
      </c>
    </row>
    <row r="5918" spans="7:7">
      <c r="G5918" t="s">
        <v>6106</v>
      </c>
    </row>
    <row r="5919" spans="7:7">
      <c r="G5919" t="s">
        <v>6107</v>
      </c>
    </row>
    <row r="5920" spans="7:7">
      <c r="G5920" t="s">
        <v>6108</v>
      </c>
    </row>
    <row r="5921" spans="7:7">
      <c r="G5921" t="s">
        <v>6109</v>
      </c>
    </row>
    <row r="5922" spans="7:7">
      <c r="G5922" t="s">
        <v>6110</v>
      </c>
    </row>
    <row r="5923" spans="7:7">
      <c r="G5923" t="s">
        <v>6111</v>
      </c>
    </row>
    <row r="5924" spans="7:7">
      <c r="G5924" t="s">
        <v>6112</v>
      </c>
    </row>
    <row r="5925" spans="7:7">
      <c r="G5925" t="s">
        <v>6113</v>
      </c>
    </row>
    <row r="5926" spans="7:7">
      <c r="G5926" t="s">
        <v>6114</v>
      </c>
    </row>
    <row r="5927" spans="7:7">
      <c r="G5927" t="s">
        <v>6115</v>
      </c>
    </row>
    <row r="5928" spans="7:7">
      <c r="G5928" t="s">
        <v>6116</v>
      </c>
    </row>
    <row r="5929" spans="7:7">
      <c r="G5929" t="s">
        <v>6117</v>
      </c>
    </row>
    <row r="5930" spans="7:7">
      <c r="G5930" t="s">
        <v>6118</v>
      </c>
    </row>
    <row r="5931" spans="7:7">
      <c r="G5931" t="s">
        <v>6119</v>
      </c>
    </row>
    <row r="5932" spans="7:7">
      <c r="G5932" t="s">
        <v>6120</v>
      </c>
    </row>
    <row r="5933" spans="7:7">
      <c r="G5933" t="s">
        <v>6121</v>
      </c>
    </row>
    <row r="5934" spans="7:7">
      <c r="G5934" t="s">
        <v>6122</v>
      </c>
    </row>
    <row r="5935" spans="7:7">
      <c r="G5935" t="s">
        <v>6123</v>
      </c>
    </row>
    <row r="5936" spans="7:7">
      <c r="G5936" t="s">
        <v>6124</v>
      </c>
    </row>
    <row r="5937" spans="7:7">
      <c r="G5937" t="s">
        <v>6125</v>
      </c>
    </row>
    <row r="5938" spans="7:7">
      <c r="G5938" t="s">
        <v>6126</v>
      </c>
    </row>
    <row r="5939" spans="7:7">
      <c r="G5939" t="s">
        <v>6127</v>
      </c>
    </row>
    <row r="5940" spans="7:7">
      <c r="G5940" t="s">
        <v>6128</v>
      </c>
    </row>
    <row r="5941" spans="7:7">
      <c r="G5941" t="s">
        <v>6129</v>
      </c>
    </row>
    <row r="5942" spans="7:7">
      <c r="G5942" t="s">
        <v>6130</v>
      </c>
    </row>
    <row r="5943" spans="7:7">
      <c r="G5943" t="s">
        <v>6131</v>
      </c>
    </row>
    <row r="5944" spans="7:7">
      <c r="G5944" t="s">
        <v>6132</v>
      </c>
    </row>
    <row r="5945" spans="7:7">
      <c r="G5945" t="s">
        <v>6133</v>
      </c>
    </row>
    <row r="5946" spans="7:7">
      <c r="G5946" t="s">
        <v>6134</v>
      </c>
    </row>
    <row r="5947" spans="7:7">
      <c r="G5947" t="s">
        <v>6135</v>
      </c>
    </row>
    <row r="5948" spans="7:7">
      <c r="G5948" t="s">
        <v>6136</v>
      </c>
    </row>
    <row r="5949" spans="7:7">
      <c r="G5949" t="s">
        <v>6137</v>
      </c>
    </row>
    <row r="5950" spans="7:7">
      <c r="G5950" t="s">
        <v>6138</v>
      </c>
    </row>
    <row r="5951" spans="7:7">
      <c r="G5951" t="s">
        <v>6139</v>
      </c>
    </row>
    <row r="5952" spans="7:7">
      <c r="G5952" t="s">
        <v>6140</v>
      </c>
    </row>
    <row r="5953" spans="7:7">
      <c r="G5953" t="s">
        <v>6141</v>
      </c>
    </row>
    <row r="5954" spans="7:7">
      <c r="G5954" t="s">
        <v>6142</v>
      </c>
    </row>
    <row r="5955" spans="7:7">
      <c r="G5955" t="s">
        <v>6143</v>
      </c>
    </row>
    <row r="5956" spans="7:7">
      <c r="G5956" t="s">
        <v>6144</v>
      </c>
    </row>
    <row r="5957" spans="7:7">
      <c r="G5957" t="s">
        <v>6145</v>
      </c>
    </row>
    <row r="5958" spans="7:7">
      <c r="G5958" t="s">
        <v>6146</v>
      </c>
    </row>
    <row r="5959" spans="7:7">
      <c r="G5959" t="s">
        <v>6147</v>
      </c>
    </row>
    <row r="5960" spans="7:7">
      <c r="G5960" t="s">
        <v>6148</v>
      </c>
    </row>
    <row r="5961" spans="7:7">
      <c r="G5961" t="s">
        <v>6149</v>
      </c>
    </row>
    <row r="5962" spans="7:7">
      <c r="G5962" t="s">
        <v>6150</v>
      </c>
    </row>
    <row r="5963" spans="7:7">
      <c r="G5963" t="s">
        <v>6151</v>
      </c>
    </row>
    <row r="5964" spans="7:7">
      <c r="G5964" t="s">
        <v>6152</v>
      </c>
    </row>
    <row r="5965" spans="7:7">
      <c r="G5965" t="s">
        <v>6153</v>
      </c>
    </row>
    <row r="5966" spans="7:7">
      <c r="G5966" t="s">
        <v>6154</v>
      </c>
    </row>
    <row r="5967" spans="7:7">
      <c r="G5967" t="s">
        <v>6155</v>
      </c>
    </row>
    <row r="5968" spans="7:7">
      <c r="G5968" t="s">
        <v>6156</v>
      </c>
    </row>
    <row r="5969" spans="7:7">
      <c r="G5969" t="s">
        <v>6157</v>
      </c>
    </row>
    <row r="5970" spans="7:7">
      <c r="G5970" t="s">
        <v>6158</v>
      </c>
    </row>
    <row r="5971" spans="7:7">
      <c r="G5971" t="s">
        <v>6159</v>
      </c>
    </row>
    <row r="5972" spans="7:7">
      <c r="G5972" t="s">
        <v>6160</v>
      </c>
    </row>
    <row r="5973" spans="7:7">
      <c r="G5973" t="s">
        <v>6161</v>
      </c>
    </row>
    <row r="5974" spans="7:7">
      <c r="G5974" t="s">
        <v>6162</v>
      </c>
    </row>
    <row r="5975" spans="7:7">
      <c r="G5975" t="s">
        <v>6163</v>
      </c>
    </row>
    <row r="5976" spans="7:7">
      <c r="G5976" t="s">
        <v>6164</v>
      </c>
    </row>
    <row r="5977" spans="7:7">
      <c r="G5977" t="s">
        <v>6165</v>
      </c>
    </row>
    <row r="5978" spans="7:7">
      <c r="G5978" t="s">
        <v>6166</v>
      </c>
    </row>
    <row r="5979" spans="7:7">
      <c r="G5979" t="s">
        <v>6167</v>
      </c>
    </row>
    <row r="5980" spans="7:7">
      <c r="G5980" t="s">
        <v>6168</v>
      </c>
    </row>
    <row r="5981" spans="7:7">
      <c r="G5981" t="s">
        <v>6169</v>
      </c>
    </row>
    <row r="5982" spans="7:7">
      <c r="G5982" t="s">
        <v>6170</v>
      </c>
    </row>
    <row r="5983" spans="7:7">
      <c r="G5983" t="s">
        <v>6171</v>
      </c>
    </row>
    <row r="5984" spans="7:7">
      <c r="G5984" t="s">
        <v>6172</v>
      </c>
    </row>
    <row r="5985" spans="7:7">
      <c r="G5985" t="s">
        <v>6173</v>
      </c>
    </row>
    <row r="5986" spans="7:7">
      <c r="G5986" t="s">
        <v>6174</v>
      </c>
    </row>
    <row r="5987" spans="7:7">
      <c r="G5987" t="s">
        <v>6175</v>
      </c>
    </row>
    <row r="5988" spans="7:7">
      <c r="G5988" t="s">
        <v>6176</v>
      </c>
    </row>
    <row r="5989" spans="7:7">
      <c r="G5989" t="s">
        <v>6177</v>
      </c>
    </row>
    <row r="5990" spans="7:7">
      <c r="G5990" t="s">
        <v>6178</v>
      </c>
    </row>
    <row r="5991" spans="7:7">
      <c r="G5991" t="s">
        <v>6179</v>
      </c>
    </row>
    <row r="5992" spans="7:7">
      <c r="G5992" t="s">
        <v>6180</v>
      </c>
    </row>
    <row r="5993" spans="7:7">
      <c r="G5993" t="s">
        <v>6181</v>
      </c>
    </row>
    <row r="5994" spans="7:7">
      <c r="G5994" t="s">
        <v>6182</v>
      </c>
    </row>
    <row r="5995" spans="7:7">
      <c r="G5995" t="s">
        <v>6183</v>
      </c>
    </row>
    <row r="5996" spans="7:7">
      <c r="G5996" t="s">
        <v>6184</v>
      </c>
    </row>
    <row r="5997" spans="7:7">
      <c r="G5997" t="s">
        <v>6185</v>
      </c>
    </row>
    <row r="5998" spans="7:7">
      <c r="G5998" t="s">
        <v>6186</v>
      </c>
    </row>
    <row r="5999" spans="7:7">
      <c r="G5999" t="s">
        <v>6187</v>
      </c>
    </row>
    <row r="6000" spans="7:7">
      <c r="G6000" t="s">
        <v>6188</v>
      </c>
    </row>
    <row r="6001" spans="7:7">
      <c r="G6001" t="s">
        <v>6189</v>
      </c>
    </row>
    <row r="6002" spans="7:7">
      <c r="G6002" t="s">
        <v>6190</v>
      </c>
    </row>
    <row r="6003" spans="7:7">
      <c r="G6003" t="s">
        <v>6191</v>
      </c>
    </row>
    <row r="6004" spans="7:7">
      <c r="G6004" t="s">
        <v>6192</v>
      </c>
    </row>
    <row r="6005" spans="7:7">
      <c r="G6005" t="s">
        <v>6193</v>
      </c>
    </row>
    <row r="6006" spans="7:7">
      <c r="G6006" t="s">
        <v>6194</v>
      </c>
    </row>
    <row r="6007" spans="7:7">
      <c r="G6007" t="s">
        <v>6195</v>
      </c>
    </row>
    <row r="6008" spans="7:7">
      <c r="G6008" t="s">
        <v>6196</v>
      </c>
    </row>
    <row r="6009" spans="7:7">
      <c r="G6009" t="s">
        <v>6197</v>
      </c>
    </row>
    <row r="6010" spans="7:7">
      <c r="G6010" t="s">
        <v>6198</v>
      </c>
    </row>
    <row r="6011" spans="7:7">
      <c r="G6011" t="s">
        <v>6199</v>
      </c>
    </row>
    <row r="6012" spans="7:7">
      <c r="G6012" t="s">
        <v>6200</v>
      </c>
    </row>
    <row r="6013" spans="7:7">
      <c r="G6013" t="s">
        <v>6201</v>
      </c>
    </row>
    <row r="6014" spans="7:7">
      <c r="G6014" t="s">
        <v>6202</v>
      </c>
    </row>
    <row r="6015" spans="7:7">
      <c r="G6015" t="s">
        <v>6203</v>
      </c>
    </row>
    <row r="6016" spans="7:7">
      <c r="G6016" t="s">
        <v>6204</v>
      </c>
    </row>
    <row r="6017" spans="7:7">
      <c r="G6017" t="s">
        <v>6205</v>
      </c>
    </row>
    <row r="6018" spans="7:7">
      <c r="G6018" t="s">
        <v>6206</v>
      </c>
    </row>
    <row r="6019" spans="7:7">
      <c r="G6019" t="s">
        <v>6207</v>
      </c>
    </row>
    <row r="6020" spans="7:7">
      <c r="G6020" t="s">
        <v>6208</v>
      </c>
    </row>
    <row r="6021" spans="7:7">
      <c r="G6021" t="s">
        <v>6209</v>
      </c>
    </row>
    <row r="6022" spans="7:7">
      <c r="G6022" t="s">
        <v>6210</v>
      </c>
    </row>
    <row r="6023" spans="7:7">
      <c r="G6023" t="s">
        <v>6211</v>
      </c>
    </row>
    <row r="6024" spans="7:7">
      <c r="G6024" t="s">
        <v>6212</v>
      </c>
    </row>
    <row r="6025" spans="7:7">
      <c r="G6025" t="s">
        <v>6213</v>
      </c>
    </row>
    <row r="6026" spans="7:7">
      <c r="G6026" t="s">
        <v>6214</v>
      </c>
    </row>
    <row r="6027" spans="7:7">
      <c r="G6027" t="s">
        <v>6215</v>
      </c>
    </row>
    <row r="6028" spans="7:7">
      <c r="G6028" t="s">
        <v>6216</v>
      </c>
    </row>
    <row r="6029" spans="7:7">
      <c r="G6029" t="s">
        <v>6217</v>
      </c>
    </row>
    <row r="6030" spans="7:7">
      <c r="G6030" t="s">
        <v>6218</v>
      </c>
    </row>
    <row r="6031" spans="7:7">
      <c r="G6031" t="s">
        <v>6219</v>
      </c>
    </row>
    <row r="6032" spans="7:7">
      <c r="G6032" t="s">
        <v>6220</v>
      </c>
    </row>
    <row r="6033" spans="7:7">
      <c r="G6033" t="s">
        <v>6221</v>
      </c>
    </row>
    <row r="6034" spans="7:7">
      <c r="G6034" t="s">
        <v>6222</v>
      </c>
    </row>
    <row r="6035" spans="7:7">
      <c r="G6035" t="s">
        <v>6223</v>
      </c>
    </row>
    <row r="6036" spans="7:7">
      <c r="G6036" t="s">
        <v>6224</v>
      </c>
    </row>
    <row r="6037" spans="7:7">
      <c r="G6037" t="s">
        <v>6225</v>
      </c>
    </row>
    <row r="6038" spans="7:7">
      <c r="G6038" t="s">
        <v>6226</v>
      </c>
    </row>
    <row r="6039" spans="7:7">
      <c r="G6039" t="s">
        <v>6227</v>
      </c>
    </row>
    <row r="6040" spans="7:7">
      <c r="G6040" t="s">
        <v>6228</v>
      </c>
    </row>
    <row r="6041" spans="7:7">
      <c r="G6041" t="s">
        <v>6229</v>
      </c>
    </row>
    <row r="6042" spans="7:7">
      <c r="G6042" t="s">
        <v>6230</v>
      </c>
    </row>
    <row r="6043" spans="7:7">
      <c r="G6043" t="s">
        <v>6231</v>
      </c>
    </row>
    <row r="6044" spans="7:7">
      <c r="G6044" t="s">
        <v>6232</v>
      </c>
    </row>
    <row r="6045" spans="7:7">
      <c r="G6045" t="s">
        <v>6233</v>
      </c>
    </row>
    <row r="6046" spans="7:7">
      <c r="G6046" t="s">
        <v>6234</v>
      </c>
    </row>
    <row r="6047" spans="7:7">
      <c r="G6047" t="s">
        <v>6235</v>
      </c>
    </row>
    <row r="6048" spans="7:7">
      <c r="G6048" t="s">
        <v>6236</v>
      </c>
    </row>
    <row r="6049" spans="7:7">
      <c r="G6049" t="s">
        <v>6237</v>
      </c>
    </row>
    <row r="6050" spans="7:7">
      <c r="G6050" t="s">
        <v>6238</v>
      </c>
    </row>
    <row r="6051" spans="7:7">
      <c r="G6051" t="s">
        <v>6239</v>
      </c>
    </row>
    <row r="6052" spans="7:7">
      <c r="G6052" t="s">
        <v>6240</v>
      </c>
    </row>
    <row r="6053" spans="7:7">
      <c r="G6053" t="s">
        <v>6241</v>
      </c>
    </row>
    <row r="6054" spans="7:7">
      <c r="G6054" t="s">
        <v>6242</v>
      </c>
    </row>
    <row r="6055" spans="7:7">
      <c r="G6055" t="s">
        <v>6243</v>
      </c>
    </row>
    <row r="6056" spans="7:7">
      <c r="G6056" t="s">
        <v>6244</v>
      </c>
    </row>
    <row r="6057" spans="7:7">
      <c r="G6057" t="s">
        <v>6245</v>
      </c>
    </row>
    <row r="6058" spans="7:7">
      <c r="G6058" t="s">
        <v>6246</v>
      </c>
    </row>
    <row r="6059" spans="7:7">
      <c r="G6059" t="s">
        <v>6247</v>
      </c>
    </row>
    <row r="6060" spans="7:7">
      <c r="G6060" t="s">
        <v>6248</v>
      </c>
    </row>
    <row r="6061" spans="7:7">
      <c r="G6061" t="s">
        <v>6249</v>
      </c>
    </row>
    <row r="6062" spans="7:7">
      <c r="G6062" t="s">
        <v>6250</v>
      </c>
    </row>
    <row r="6063" spans="7:7">
      <c r="G6063" t="s">
        <v>6251</v>
      </c>
    </row>
    <row r="6064" spans="7:7">
      <c r="G6064" t="s">
        <v>6252</v>
      </c>
    </row>
    <row r="6065" spans="7:7">
      <c r="G6065" t="s">
        <v>6253</v>
      </c>
    </row>
    <row r="6066" spans="7:7">
      <c r="G6066" t="s">
        <v>6254</v>
      </c>
    </row>
    <row r="6067" spans="7:7">
      <c r="G6067" t="s">
        <v>6255</v>
      </c>
    </row>
    <row r="6068" spans="7:7">
      <c r="G6068" t="s">
        <v>6256</v>
      </c>
    </row>
    <row r="6069" spans="7:7">
      <c r="G6069" t="s">
        <v>6257</v>
      </c>
    </row>
    <row r="6070" spans="7:7">
      <c r="G6070" t="s">
        <v>6258</v>
      </c>
    </row>
    <row r="6071" spans="7:7">
      <c r="G6071" t="s">
        <v>6259</v>
      </c>
    </row>
    <row r="6072" spans="7:7">
      <c r="G6072" t="s">
        <v>6260</v>
      </c>
    </row>
    <row r="6073" spans="7:7">
      <c r="G6073" t="s">
        <v>6261</v>
      </c>
    </row>
    <row r="6074" spans="7:7">
      <c r="G6074" t="s">
        <v>6262</v>
      </c>
    </row>
    <row r="6075" spans="7:7">
      <c r="G6075" t="s">
        <v>6263</v>
      </c>
    </row>
    <row r="6076" spans="7:7">
      <c r="G6076" t="s">
        <v>6264</v>
      </c>
    </row>
    <row r="6077" spans="7:7">
      <c r="G6077" t="s">
        <v>6265</v>
      </c>
    </row>
    <row r="6078" spans="7:7">
      <c r="G6078" t="s">
        <v>6266</v>
      </c>
    </row>
    <row r="6079" spans="7:7">
      <c r="G6079" t="s">
        <v>6267</v>
      </c>
    </row>
    <row r="6080" spans="7:7">
      <c r="G6080" t="s">
        <v>6268</v>
      </c>
    </row>
    <row r="6081" spans="7:7">
      <c r="G6081" t="s">
        <v>6269</v>
      </c>
    </row>
    <row r="6082" spans="7:7">
      <c r="G6082" t="s">
        <v>6270</v>
      </c>
    </row>
    <row r="6083" spans="7:7">
      <c r="G6083" t="s">
        <v>6271</v>
      </c>
    </row>
    <row r="6084" spans="7:7">
      <c r="G6084" t="s">
        <v>6272</v>
      </c>
    </row>
    <row r="6085" spans="7:7">
      <c r="G6085" t="s">
        <v>6273</v>
      </c>
    </row>
    <row r="6086" spans="7:7">
      <c r="G6086" t="s">
        <v>6274</v>
      </c>
    </row>
    <row r="6087" spans="7:7">
      <c r="G6087" t="s">
        <v>6275</v>
      </c>
    </row>
    <row r="6088" spans="7:7">
      <c r="G6088" t="s">
        <v>6276</v>
      </c>
    </row>
    <row r="6089" spans="7:7">
      <c r="G6089" t="s">
        <v>6277</v>
      </c>
    </row>
    <row r="6090" spans="7:7">
      <c r="G6090" t="s">
        <v>6278</v>
      </c>
    </row>
    <row r="6091" spans="7:7">
      <c r="G6091" t="s">
        <v>6279</v>
      </c>
    </row>
    <row r="6092" spans="7:7">
      <c r="G6092" t="s">
        <v>6280</v>
      </c>
    </row>
    <row r="6093" spans="7:7">
      <c r="G6093" t="s">
        <v>6281</v>
      </c>
    </row>
    <row r="6094" spans="7:7">
      <c r="G6094" t="s">
        <v>6282</v>
      </c>
    </row>
    <row r="6095" spans="7:7">
      <c r="G6095" t="s">
        <v>6283</v>
      </c>
    </row>
    <row r="6096" spans="7:7">
      <c r="G6096" t="s">
        <v>6284</v>
      </c>
    </row>
    <row r="6097" spans="7:7">
      <c r="G6097" t="s">
        <v>6285</v>
      </c>
    </row>
    <row r="6098" spans="7:7">
      <c r="G6098" t="s">
        <v>6286</v>
      </c>
    </row>
    <row r="6099" spans="7:7">
      <c r="G6099" t="s">
        <v>6287</v>
      </c>
    </row>
    <row r="6100" spans="7:7">
      <c r="G6100" t="s">
        <v>6288</v>
      </c>
    </row>
    <row r="6101" spans="7:7">
      <c r="G6101" t="s">
        <v>6289</v>
      </c>
    </row>
    <row r="6102" spans="7:7">
      <c r="G6102" t="s">
        <v>6290</v>
      </c>
    </row>
    <row r="6103" spans="7:7">
      <c r="G6103" t="s">
        <v>6291</v>
      </c>
    </row>
    <row r="6104" spans="7:7">
      <c r="G6104" t="s">
        <v>6292</v>
      </c>
    </row>
    <row r="6105" spans="7:7">
      <c r="G6105" t="s">
        <v>6293</v>
      </c>
    </row>
    <row r="6106" spans="7:7">
      <c r="G6106" t="s">
        <v>6294</v>
      </c>
    </row>
    <row r="6107" spans="7:7">
      <c r="G6107" t="s">
        <v>6295</v>
      </c>
    </row>
    <row r="6108" spans="7:7">
      <c r="G6108" t="s">
        <v>6296</v>
      </c>
    </row>
    <row r="6109" spans="7:7">
      <c r="G6109" t="s">
        <v>6297</v>
      </c>
    </row>
    <row r="6110" spans="7:7">
      <c r="G6110" t="s">
        <v>6298</v>
      </c>
    </row>
    <row r="6111" spans="7:7">
      <c r="G6111" t="s">
        <v>6299</v>
      </c>
    </row>
    <row r="6112" spans="7:7">
      <c r="G6112" t="s">
        <v>6300</v>
      </c>
    </row>
    <row r="6113" spans="7:7">
      <c r="G6113" t="s">
        <v>6301</v>
      </c>
    </row>
    <row r="6114" spans="7:7">
      <c r="G6114" t="s">
        <v>6302</v>
      </c>
    </row>
    <row r="6115" spans="7:7">
      <c r="G6115" t="s">
        <v>6303</v>
      </c>
    </row>
    <row r="6116" spans="7:7">
      <c r="G6116" t="s">
        <v>6304</v>
      </c>
    </row>
    <row r="6117" spans="7:7">
      <c r="G6117" t="s">
        <v>6305</v>
      </c>
    </row>
    <row r="6118" spans="7:7">
      <c r="G6118" t="s">
        <v>6306</v>
      </c>
    </row>
    <row r="6119" spans="7:7">
      <c r="G6119" t="s">
        <v>6307</v>
      </c>
    </row>
    <row r="6120" spans="7:7">
      <c r="G6120" t="s">
        <v>6308</v>
      </c>
    </row>
    <row r="6121" spans="7:7">
      <c r="G6121" t="s">
        <v>6309</v>
      </c>
    </row>
    <row r="6122" spans="7:7">
      <c r="G6122" t="s">
        <v>6310</v>
      </c>
    </row>
    <row r="6123" spans="7:7">
      <c r="G6123" t="s">
        <v>6311</v>
      </c>
    </row>
    <row r="6124" spans="7:7">
      <c r="G6124" t="s">
        <v>6312</v>
      </c>
    </row>
    <row r="6125" spans="7:7">
      <c r="G6125" t="s">
        <v>6313</v>
      </c>
    </row>
    <row r="6126" spans="7:7">
      <c r="G6126" t="s">
        <v>6314</v>
      </c>
    </row>
    <row r="6127" spans="7:7">
      <c r="G6127" t="s">
        <v>6315</v>
      </c>
    </row>
    <row r="6128" spans="7:7">
      <c r="G6128" t="s">
        <v>6316</v>
      </c>
    </row>
    <row r="6129" spans="7:7">
      <c r="G6129" t="s">
        <v>6317</v>
      </c>
    </row>
    <row r="6130" spans="7:7">
      <c r="G6130" t="s">
        <v>6318</v>
      </c>
    </row>
    <row r="6131" spans="7:7">
      <c r="G6131" t="s">
        <v>6319</v>
      </c>
    </row>
    <row r="6132" spans="7:7">
      <c r="G6132" t="s">
        <v>6320</v>
      </c>
    </row>
    <row r="6133" spans="7:7">
      <c r="G6133" t="s">
        <v>6321</v>
      </c>
    </row>
    <row r="6134" spans="7:7">
      <c r="G6134" t="s">
        <v>6322</v>
      </c>
    </row>
    <row r="6135" spans="7:7">
      <c r="G6135" t="s">
        <v>6323</v>
      </c>
    </row>
    <row r="6136" spans="7:7">
      <c r="G6136" t="s">
        <v>6324</v>
      </c>
    </row>
    <row r="6137" spans="7:7">
      <c r="G6137" t="s">
        <v>6325</v>
      </c>
    </row>
    <row r="6138" spans="7:7">
      <c r="G6138" t="s">
        <v>6326</v>
      </c>
    </row>
    <row r="6139" spans="7:7">
      <c r="G6139" t="s">
        <v>6327</v>
      </c>
    </row>
    <row r="6140" spans="7:7">
      <c r="G6140" t="s">
        <v>6328</v>
      </c>
    </row>
    <row r="6141" spans="7:7">
      <c r="G6141" t="s">
        <v>6329</v>
      </c>
    </row>
    <row r="6142" spans="7:7">
      <c r="G6142" t="s">
        <v>6330</v>
      </c>
    </row>
    <row r="6143" spans="7:7">
      <c r="G6143" t="s">
        <v>6331</v>
      </c>
    </row>
    <row r="6144" spans="7:7">
      <c r="G6144" t="s">
        <v>6332</v>
      </c>
    </row>
    <row r="6145" spans="7:7">
      <c r="G6145" t="s">
        <v>6333</v>
      </c>
    </row>
    <row r="6146" spans="7:7">
      <c r="G6146" t="s">
        <v>6334</v>
      </c>
    </row>
    <row r="6147" spans="7:7">
      <c r="G6147" t="s">
        <v>6335</v>
      </c>
    </row>
    <row r="6148" spans="7:7">
      <c r="G6148" t="s">
        <v>6336</v>
      </c>
    </row>
    <row r="6149" spans="7:7">
      <c r="G6149" t="s">
        <v>6337</v>
      </c>
    </row>
    <row r="6150" spans="7:7">
      <c r="G6150" t="s">
        <v>6338</v>
      </c>
    </row>
    <row r="6151" spans="7:7">
      <c r="G6151" t="s">
        <v>6339</v>
      </c>
    </row>
    <row r="6152" spans="7:7">
      <c r="G6152" t="s">
        <v>6340</v>
      </c>
    </row>
    <row r="6153" spans="7:7">
      <c r="G6153" t="s">
        <v>6341</v>
      </c>
    </row>
    <row r="6154" spans="7:7">
      <c r="G6154" t="s">
        <v>6342</v>
      </c>
    </row>
    <row r="6155" spans="7:7">
      <c r="G6155" t="s">
        <v>6343</v>
      </c>
    </row>
    <row r="6156" spans="7:7">
      <c r="G6156" t="s">
        <v>6344</v>
      </c>
    </row>
    <row r="6157" spans="7:7">
      <c r="G6157" t="s">
        <v>6345</v>
      </c>
    </row>
    <row r="6158" spans="7:7">
      <c r="G6158" t="s">
        <v>6346</v>
      </c>
    </row>
    <row r="6159" spans="7:7">
      <c r="G6159" t="s">
        <v>6347</v>
      </c>
    </row>
    <row r="6160" spans="7:7">
      <c r="G6160" t="s">
        <v>6348</v>
      </c>
    </row>
    <row r="6161" spans="7:7">
      <c r="G6161" t="s">
        <v>6349</v>
      </c>
    </row>
    <row r="6162" spans="7:7">
      <c r="G6162" t="s">
        <v>6350</v>
      </c>
    </row>
    <row r="6163" spans="7:7">
      <c r="G6163" t="s">
        <v>6351</v>
      </c>
    </row>
    <row r="6164" spans="7:7">
      <c r="G6164" t="s">
        <v>6352</v>
      </c>
    </row>
    <row r="6165" spans="7:7">
      <c r="G6165" t="s">
        <v>6353</v>
      </c>
    </row>
    <row r="6166" spans="7:7">
      <c r="G6166" t="s">
        <v>6354</v>
      </c>
    </row>
    <row r="6167" spans="7:7">
      <c r="G6167" t="s">
        <v>6355</v>
      </c>
    </row>
    <row r="6168" spans="7:7">
      <c r="G6168" t="s">
        <v>6356</v>
      </c>
    </row>
    <row r="6169" spans="7:7">
      <c r="G6169" t="s">
        <v>6357</v>
      </c>
    </row>
    <row r="6170" spans="7:7">
      <c r="G6170" t="s">
        <v>6358</v>
      </c>
    </row>
    <row r="6171" spans="7:7">
      <c r="G6171" t="s">
        <v>6359</v>
      </c>
    </row>
    <row r="6172" spans="7:7">
      <c r="G6172" t="s">
        <v>6360</v>
      </c>
    </row>
    <row r="6173" spans="7:7">
      <c r="G6173" t="s">
        <v>6361</v>
      </c>
    </row>
    <row r="6174" spans="7:7">
      <c r="G6174" t="s">
        <v>6362</v>
      </c>
    </row>
    <row r="6175" spans="7:7">
      <c r="G6175" t="s">
        <v>6363</v>
      </c>
    </row>
    <row r="6176" spans="7:7">
      <c r="G6176" t="s">
        <v>6364</v>
      </c>
    </row>
    <row r="6177" spans="7:7">
      <c r="G6177" t="s">
        <v>6365</v>
      </c>
    </row>
    <row r="6178" spans="7:7">
      <c r="G6178" t="s">
        <v>6366</v>
      </c>
    </row>
    <row r="6179" spans="7:7">
      <c r="G6179" t="s">
        <v>6367</v>
      </c>
    </row>
    <row r="6180" spans="7:7">
      <c r="G6180" t="s">
        <v>6368</v>
      </c>
    </row>
    <row r="6181" spans="7:7">
      <c r="G6181" t="s">
        <v>6369</v>
      </c>
    </row>
    <row r="6182" spans="7:7">
      <c r="G6182" t="s">
        <v>6370</v>
      </c>
    </row>
    <row r="6183" spans="7:7">
      <c r="G6183" t="s">
        <v>6371</v>
      </c>
    </row>
    <row r="6184" spans="7:7">
      <c r="G6184" t="s">
        <v>6372</v>
      </c>
    </row>
    <row r="6185" spans="7:7">
      <c r="G6185" t="s">
        <v>6373</v>
      </c>
    </row>
    <row r="6186" spans="7:7">
      <c r="G6186" t="s">
        <v>6374</v>
      </c>
    </row>
    <row r="6187" spans="7:7">
      <c r="G6187" t="s">
        <v>6375</v>
      </c>
    </row>
    <row r="6188" spans="7:7">
      <c r="G6188" t="s">
        <v>6376</v>
      </c>
    </row>
    <row r="6189" spans="7:7">
      <c r="G6189" t="s">
        <v>6377</v>
      </c>
    </row>
    <row r="6190" spans="7:7">
      <c r="G6190" t="s">
        <v>6378</v>
      </c>
    </row>
    <row r="6191" spans="7:7">
      <c r="G6191" t="s">
        <v>6379</v>
      </c>
    </row>
    <row r="6192" spans="7:7">
      <c r="G6192" t="s">
        <v>6380</v>
      </c>
    </row>
    <row r="6193" spans="7:7">
      <c r="G6193" t="s">
        <v>6381</v>
      </c>
    </row>
    <row r="6194" spans="7:7">
      <c r="G6194" t="s">
        <v>6382</v>
      </c>
    </row>
    <row r="6195" spans="7:7">
      <c r="G6195" t="s">
        <v>6383</v>
      </c>
    </row>
    <row r="6196" spans="7:7">
      <c r="G6196" t="s">
        <v>6384</v>
      </c>
    </row>
    <row r="6197" spans="7:7">
      <c r="G6197" t="s">
        <v>6385</v>
      </c>
    </row>
    <row r="6198" spans="7:7">
      <c r="G6198" t="s">
        <v>6386</v>
      </c>
    </row>
    <row r="6199" spans="7:7">
      <c r="G6199" t="s">
        <v>6387</v>
      </c>
    </row>
    <row r="6200" spans="7:7">
      <c r="G6200" t="s">
        <v>6388</v>
      </c>
    </row>
    <row r="6201" spans="7:7">
      <c r="G6201" t="s">
        <v>6389</v>
      </c>
    </row>
    <row r="6202" spans="7:7">
      <c r="G6202" t="s">
        <v>6390</v>
      </c>
    </row>
    <row r="6203" spans="7:7">
      <c r="G6203" t="s">
        <v>6391</v>
      </c>
    </row>
    <row r="6204" spans="7:7">
      <c r="G6204" t="s">
        <v>6392</v>
      </c>
    </row>
    <row r="6205" spans="7:7">
      <c r="G6205" t="s">
        <v>6393</v>
      </c>
    </row>
    <row r="6206" spans="7:7">
      <c r="G6206" t="s">
        <v>6394</v>
      </c>
    </row>
    <row r="6207" spans="7:7">
      <c r="G6207" t="s">
        <v>6395</v>
      </c>
    </row>
    <row r="6208" spans="7:7">
      <c r="G6208" t="s">
        <v>6396</v>
      </c>
    </row>
    <row r="6209" spans="7:7">
      <c r="G6209" t="s">
        <v>6397</v>
      </c>
    </row>
    <row r="6210" spans="7:7">
      <c r="G6210" t="s">
        <v>6398</v>
      </c>
    </row>
    <row r="6211" spans="7:7">
      <c r="G6211" t="s">
        <v>6399</v>
      </c>
    </row>
    <row r="6212" spans="7:7">
      <c r="G6212" t="s">
        <v>6400</v>
      </c>
    </row>
    <row r="6213" spans="7:7">
      <c r="G6213" t="s">
        <v>6401</v>
      </c>
    </row>
    <row r="6214" spans="7:7">
      <c r="G6214" t="s">
        <v>6402</v>
      </c>
    </row>
    <row r="6215" spans="7:7">
      <c r="G6215" t="s">
        <v>6403</v>
      </c>
    </row>
    <row r="6216" spans="7:7">
      <c r="G6216" t="s">
        <v>6404</v>
      </c>
    </row>
    <row r="6217" spans="7:7">
      <c r="G6217" t="s">
        <v>6405</v>
      </c>
    </row>
    <row r="6218" spans="7:7">
      <c r="G6218" t="s">
        <v>6406</v>
      </c>
    </row>
    <row r="6219" spans="7:7">
      <c r="G6219" t="s">
        <v>6407</v>
      </c>
    </row>
    <row r="6220" spans="7:7">
      <c r="G6220" t="s">
        <v>6408</v>
      </c>
    </row>
    <row r="6221" spans="7:7">
      <c r="G6221" t="s">
        <v>6409</v>
      </c>
    </row>
    <row r="6222" spans="7:7">
      <c r="G6222" t="s">
        <v>6410</v>
      </c>
    </row>
    <row r="6223" spans="7:7">
      <c r="G6223" t="s">
        <v>6411</v>
      </c>
    </row>
    <row r="6224" spans="7:7">
      <c r="G6224" t="s">
        <v>6412</v>
      </c>
    </row>
    <row r="6225" spans="7:7">
      <c r="G6225" t="s">
        <v>6413</v>
      </c>
    </row>
    <row r="6226" spans="7:7">
      <c r="G6226" t="s">
        <v>6414</v>
      </c>
    </row>
    <row r="6227" spans="7:7">
      <c r="G6227" t="s">
        <v>6415</v>
      </c>
    </row>
    <row r="6228" spans="7:7">
      <c r="G6228" t="s">
        <v>6416</v>
      </c>
    </row>
    <row r="6229" spans="7:7">
      <c r="G6229" t="s">
        <v>6417</v>
      </c>
    </row>
    <row r="6230" spans="7:7">
      <c r="G6230" t="s">
        <v>6418</v>
      </c>
    </row>
    <row r="6231" spans="7:7">
      <c r="G6231" t="s">
        <v>6419</v>
      </c>
    </row>
    <row r="6232" spans="7:7">
      <c r="G6232" t="s">
        <v>6420</v>
      </c>
    </row>
    <row r="6233" spans="7:7">
      <c r="G6233" t="s">
        <v>6421</v>
      </c>
    </row>
    <row r="6234" spans="7:7">
      <c r="G6234" t="s">
        <v>6422</v>
      </c>
    </row>
    <row r="6235" spans="7:7">
      <c r="G6235" t="s">
        <v>6423</v>
      </c>
    </row>
    <row r="6236" spans="7:7">
      <c r="G6236" t="s">
        <v>6424</v>
      </c>
    </row>
    <row r="6237" spans="7:7">
      <c r="G6237" t="s">
        <v>6425</v>
      </c>
    </row>
    <row r="6238" spans="7:7">
      <c r="G6238" t="s">
        <v>6426</v>
      </c>
    </row>
    <row r="6239" spans="7:7">
      <c r="G6239" t="s">
        <v>6427</v>
      </c>
    </row>
    <row r="6240" spans="7:7">
      <c r="G6240" t="s">
        <v>6428</v>
      </c>
    </row>
    <row r="6241" spans="7:7">
      <c r="G6241" t="s">
        <v>6429</v>
      </c>
    </row>
    <row r="6242" spans="7:7">
      <c r="G6242" t="s">
        <v>6430</v>
      </c>
    </row>
    <row r="6243" spans="7:7">
      <c r="G6243" t="s">
        <v>6431</v>
      </c>
    </row>
    <row r="6244" spans="7:7">
      <c r="G6244" t="s">
        <v>6432</v>
      </c>
    </row>
    <row r="6245" spans="7:7">
      <c r="G6245" t="s">
        <v>6433</v>
      </c>
    </row>
    <row r="6246" spans="7:7">
      <c r="G6246" t="s">
        <v>6434</v>
      </c>
    </row>
    <row r="6247" spans="7:7">
      <c r="G6247" t="s">
        <v>6435</v>
      </c>
    </row>
    <row r="6248" spans="7:7">
      <c r="G6248" t="s">
        <v>6436</v>
      </c>
    </row>
    <row r="6249" spans="7:7">
      <c r="G6249" t="s">
        <v>6437</v>
      </c>
    </row>
    <row r="6250" spans="7:7">
      <c r="G6250" t="s">
        <v>6438</v>
      </c>
    </row>
    <row r="6251" spans="7:7">
      <c r="G6251" t="s">
        <v>6439</v>
      </c>
    </row>
    <row r="6252" spans="7:7">
      <c r="G6252" t="s">
        <v>6440</v>
      </c>
    </row>
    <row r="6253" spans="7:7">
      <c r="G6253" t="s">
        <v>6441</v>
      </c>
    </row>
    <row r="6254" spans="7:7">
      <c r="G6254" t="s">
        <v>6442</v>
      </c>
    </row>
    <row r="6255" spans="7:7">
      <c r="G6255" t="s">
        <v>6443</v>
      </c>
    </row>
    <row r="6256" spans="7:7">
      <c r="G6256" t="s">
        <v>6444</v>
      </c>
    </row>
    <row r="6257" spans="7:7">
      <c r="G6257" t="s">
        <v>6445</v>
      </c>
    </row>
    <row r="6258" spans="7:7">
      <c r="G6258" t="s">
        <v>6446</v>
      </c>
    </row>
    <row r="6259" spans="7:7">
      <c r="G6259" t="s">
        <v>6447</v>
      </c>
    </row>
    <row r="6260" spans="7:7">
      <c r="G6260" t="s">
        <v>6448</v>
      </c>
    </row>
    <row r="6261" spans="7:7">
      <c r="G6261" t="s">
        <v>6449</v>
      </c>
    </row>
    <row r="6262" spans="7:7">
      <c r="G6262" t="s">
        <v>6450</v>
      </c>
    </row>
    <row r="6263" spans="7:7">
      <c r="G6263" t="s">
        <v>6451</v>
      </c>
    </row>
    <row r="6264" spans="7:7">
      <c r="G6264" t="s">
        <v>6452</v>
      </c>
    </row>
    <row r="6265" spans="7:7">
      <c r="G6265" t="s">
        <v>6453</v>
      </c>
    </row>
    <row r="6266" spans="7:7">
      <c r="G6266" t="s">
        <v>6454</v>
      </c>
    </row>
    <row r="6267" spans="7:7">
      <c r="G6267" t="s">
        <v>6455</v>
      </c>
    </row>
    <row r="6268" spans="7:7">
      <c r="G6268" t="s">
        <v>6456</v>
      </c>
    </row>
    <row r="6269" spans="7:7">
      <c r="G6269" t="s">
        <v>6457</v>
      </c>
    </row>
    <row r="6270" spans="7:7">
      <c r="G6270" t="s">
        <v>6458</v>
      </c>
    </row>
    <row r="6271" spans="7:7">
      <c r="G6271" t="s">
        <v>6459</v>
      </c>
    </row>
    <row r="6272" spans="7:7">
      <c r="G6272" t="s">
        <v>6460</v>
      </c>
    </row>
    <row r="6273" spans="7:7">
      <c r="G6273" t="s">
        <v>6461</v>
      </c>
    </row>
    <row r="6274" spans="7:7">
      <c r="G6274" t="s">
        <v>6462</v>
      </c>
    </row>
    <row r="6275" spans="7:7">
      <c r="G6275" t="s">
        <v>6463</v>
      </c>
    </row>
    <row r="6276" spans="7:7">
      <c r="G6276" t="s">
        <v>6464</v>
      </c>
    </row>
    <row r="6277" spans="7:7">
      <c r="G6277" t="s">
        <v>6465</v>
      </c>
    </row>
    <row r="6278" spans="7:7">
      <c r="G6278" t="s">
        <v>6466</v>
      </c>
    </row>
    <row r="6279" spans="7:7">
      <c r="G6279" t="s">
        <v>6467</v>
      </c>
    </row>
    <row r="6280" spans="7:7">
      <c r="G6280" t="s">
        <v>6468</v>
      </c>
    </row>
    <row r="6281" spans="7:7">
      <c r="G6281" t="s">
        <v>6469</v>
      </c>
    </row>
    <row r="6282" spans="7:7">
      <c r="G6282" t="s">
        <v>6470</v>
      </c>
    </row>
    <row r="6283" spans="7:7">
      <c r="G6283" t="s">
        <v>6471</v>
      </c>
    </row>
    <row r="6284" spans="7:7">
      <c r="G6284" t="s">
        <v>6472</v>
      </c>
    </row>
    <row r="6285" spans="7:7">
      <c r="G6285" t="s">
        <v>6473</v>
      </c>
    </row>
    <row r="6286" spans="7:7">
      <c r="G6286" t="s">
        <v>6474</v>
      </c>
    </row>
    <row r="6287" spans="7:7">
      <c r="G6287" t="s">
        <v>6475</v>
      </c>
    </row>
    <row r="6288" spans="7:7">
      <c r="G6288" t="s">
        <v>6476</v>
      </c>
    </row>
    <row r="6289" spans="7:7">
      <c r="G6289" t="s">
        <v>6477</v>
      </c>
    </row>
    <row r="6290" spans="7:7">
      <c r="G6290" t="s">
        <v>6478</v>
      </c>
    </row>
    <row r="6291" spans="7:7">
      <c r="G6291" t="s">
        <v>6479</v>
      </c>
    </row>
    <row r="6292" spans="7:7">
      <c r="G6292" t="s">
        <v>6480</v>
      </c>
    </row>
    <row r="6293" spans="7:7">
      <c r="G6293" t="s">
        <v>6481</v>
      </c>
    </row>
    <row r="6294" spans="7:7">
      <c r="G6294" t="s">
        <v>6482</v>
      </c>
    </row>
    <row r="6295" spans="7:7">
      <c r="G6295" t="s">
        <v>6483</v>
      </c>
    </row>
    <row r="6296" spans="7:7">
      <c r="G6296" t="s">
        <v>6484</v>
      </c>
    </row>
    <row r="6297" spans="7:7">
      <c r="G6297" t="s">
        <v>6485</v>
      </c>
    </row>
    <row r="6298" spans="7:7">
      <c r="G6298" t="s">
        <v>6486</v>
      </c>
    </row>
    <row r="6299" spans="7:7">
      <c r="G6299" t="s">
        <v>6487</v>
      </c>
    </row>
    <row r="6300" spans="7:7">
      <c r="G6300" t="s">
        <v>6488</v>
      </c>
    </row>
    <row r="6301" spans="7:7">
      <c r="G6301" t="s">
        <v>6489</v>
      </c>
    </row>
    <row r="6302" spans="7:7">
      <c r="G6302" t="s">
        <v>6490</v>
      </c>
    </row>
    <row r="6303" spans="7:7">
      <c r="G6303" t="s">
        <v>6491</v>
      </c>
    </row>
    <row r="6304" spans="7:7">
      <c r="G6304" t="s">
        <v>6492</v>
      </c>
    </row>
    <row r="6305" spans="7:7">
      <c r="G6305" t="s">
        <v>6493</v>
      </c>
    </row>
    <row r="6306" spans="7:7">
      <c r="G6306" t="s">
        <v>6494</v>
      </c>
    </row>
    <row r="6307" spans="7:7">
      <c r="G6307" t="s">
        <v>6495</v>
      </c>
    </row>
    <row r="6308" spans="7:7">
      <c r="G6308" t="s">
        <v>6496</v>
      </c>
    </row>
    <row r="6309" spans="7:7">
      <c r="G6309" t="s">
        <v>6497</v>
      </c>
    </row>
    <row r="6310" spans="7:7">
      <c r="G6310" t="s">
        <v>6498</v>
      </c>
    </row>
    <row r="6311" spans="7:7">
      <c r="G6311" t="s">
        <v>6499</v>
      </c>
    </row>
    <row r="6312" spans="7:7">
      <c r="G6312" t="s">
        <v>6500</v>
      </c>
    </row>
    <row r="6313" spans="7:7">
      <c r="G6313" t="s">
        <v>6501</v>
      </c>
    </row>
    <row r="6314" spans="7:7">
      <c r="G6314" t="s">
        <v>6502</v>
      </c>
    </row>
    <row r="6315" spans="7:7">
      <c r="G6315" t="s">
        <v>6503</v>
      </c>
    </row>
    <row r="6316" spans="7:7">
      <c r="G6316" t="s">
        <v>6504</v>
      </c>
    </row>
    <row r="6317" spans="7:7">
      <c r="G6317" t="s">
        <v>6505</v>
      </c>
    </row>
    <row r="6318" spans="7:7">
      <c r="G6318" t="s">
        <v>6506</v>
      </c>
    </row>
    <row r="6319" spans="7:7">
      <c r="G6319" t="s">
        <v>6507</v>
      </c>
    </row>
    <row r="6320" spans="7:7">
      <c r="G6320" t="s">
        <v>6508</v>
      </c>
    </row>
    <row r="6321" spans="7:7">
      <c r="G6321" t="s">
        <v>6509</v>
      </c>
    </row>
    <row r="6322" spans="7:7">
      <c r="G6322" t="s">
        <v>6510</v>
      </c>
    </row>
    <row r="6323" spans="7:7">
      <c r="G6323" t="s">
        <v>6511</v>
      </c>
    </row>
    <row r="6324" spans="7:7">
      <c r="G6324" t="s">
        <v>6512</v>
      </c>
    </row>
    <row r="6325" spans="7:7">
      <c r="G6325" t="s">
        <v>6513</v>
      </c>
    </row>
    <row r="6326" spans="7:7">
      <c r="G6326" t="s">
        <v>6514</v>
      </c>
    </row>
    <row r="6327" spans="7:7">
      <c r="G6327" t="s">
        <v>6515</v>
      </c>
    </row>
    <row r="6328" spans="7:7">
      <c r="G6328" t="s">
        <v>6516</v>
      </c>
    </row>
    <row r="6329" spans="7:7">
      <c r="G6329" t="s">
        <v>6517</v>
      </c>
    </row>
    <row r="6330" spans="7:7">
      <c r="G6330" t="s">
        <v>6518</v>
      </c>
    </row>
    <row r="6331" spans="7:7">
      <c r="G6331" t="s">
        <v>6519</v>
      </c>
    </row>
    <row r="6332" spans="7:7">
      <c r="G6332" t="s">
        <v>6520</v>
      </c>
    </row>
    <row r="6333" spans="7:7">
      <c r="G6333" t="s">
        <v>6521</v>
      </c>
    </row>
    <row r="6334" spans="7:7">
      <c r="G6334" t="s">
        <v>6522</v>
      </c>
    </row>
    <row r="6335" spans="7:7">
      <c r="G6335" t="s">
        <v>6523</v>
      </c>
    </row>
    <row r="6336" spans="7:7">
      <c r="G6336" t="s">
        <v>6524</v>
      </c>
    </row>
    <row r="6337" spans="7:7">
      <c r="G6337" t="s">
        <v>6525</v>
      </c>
    </row>
    <row r="6338" spans="7:7">
      <c r="G6338" t="s">
        <v>6526</v>
      </c>
    </row>
    <row r="6339" spans="7:7">
      <c r="G6339" t="s">
        <v>6527</v>
      </c>
    </row>
    <row r="6340" spans="7:7">
      <c r="G6340" t="s">
        <v>6528</v>
      </c>
    </row>
    <row r="6341" spans="7:7">
      <c r="G6341" t="s">
        <v>6529</v>
      </c>
    </row>
    <row r="6342" spans="7:7">
      <c r="G6342" t="s">
        <v>6530</v>
      </c>
    </row>
    <row r="6343" spans="7:7">
      <c r="G6343" t="s">
        <v>6531</v>
      </c>
    </row>
    <row r="6344" spans="7:7">
      <c r="G6344" t="s">
        <v>6532</v>
      </c>
    </row>
    <row r="6345" spans="7:7">
      <c r="G6345" t="s">
        <v>6533</v>
      </c>
    </row>
    <row r="6346" spans="7:7">
      <c r="G6346" t="s">
        <v>6534</v>
      </c>
    </row>
    <row r="6347" spans="7:7">
      <c r="G6347" t="s">
        <v>6535</v>
      </c>
    </row>
    <row r="6348" spans="7:7">
      <c r="G6348" t="s">
        <v>6536</v>
      </c>
    </row>
    <row r="6349" spans="7:7">
      <c r="G6349" t="s">
        <v>6537</v>
      </c>
    </row>
    <row r="6350" spans="7:7">
      <c r="G6350" t="s">
        <v>6538</v>
      </c>
    </row>
    <row r="6351" spans="7:7">
      <c r="G6351" t="s">
        <v>6539</v>
      </c>
    </row>
    <row r="6352" spans="7:7">
      <c r="G6352" t="s">
        <v>6540</v>
      </c>
    </row>
    <row r="6353" spans="7:7">
      <c r="G6353" t="s">
        <v>6541</v>
      </c>
    </row>
    <row r="6354" spans="7:7">
      <c r="G6354" t="s">
        <v>6542</v>
      </c>
    </row>
    <row r="6355" spans="7:7">
      <c r="G6355" t="s">
        <v>6543</v>
      </c>
    </row>
    <row r="6356" spans="7:7">
      <c r="G6356" t="s">
        <v>6544</v>
      </c>
    </row>
    <row r="6357" spans="7:7">
      <c r="G6357" t="s">
        <v>6545</v>
      </c>
    </row>
    <row r="6358" spans="7:7">
      <c r="G6358" t="s">
        <v>6546</v>
      </c>
    </row>
    <row r="6359" spans="7:7">
      <c r="G6359" t="s">
        <v>6547</v>
      </c>
    </row>
    <row r="6360" spans="7:7">
      <c r="G6360" t="s">
        <v>6548</v>
      </c>
    </row>
    <row r="6361" spans="7:7">
      <c r="G6361" t="s">
        <v>6549</v>
      </c>
    </row>
    <row r="6362" spans="7:7">
      <c r="G6362" t="s">
        <v>6550</v>
      </c>
    </row>
    <row r="6363" spans="7:7">
      <c r="G6363" t="s">
        <v>6551</v>
      </c>
    </row>
    <row r="6364" spans="7:7">
      <c r="G6364" t="s">
        <v>6552</v>
      </c>
    </row>
    <row r="6365" spans="7:7">
      <c r="G6365" t="s">
        <v>6553</v>
      </c>
    </row>
    <row r="6366" spans="7:7">
      <c r="G6366" t="s">
        <v>6554</v>
      </c>
    </row>
    <row r="6367" spans="7:7">
      <c r="G6367" t="s">
        <v>6555</v>
      </c>
    </row>
    <row r="6368" spans="7:7">
      <c r="G6368" t="s">
        <v>6556</v>
      </c>
    </row>
    <row r="6369" spans="7:7">
      <c r="G6369" t="s">
        <v>6557</v>
      </c>
    </row>
    <row r="6370" spans="7:7">
      <c r="G6370" t="s">
        <v>6558</v>
      </c>
    </row>
    <row r="6371" spans="7:7">
      <c r="G6371" t="s">
        <v>6559</v>
      </c>
    </row>
    <row r="6372" spans="7:7">
      <c r="G6372" t="s">
        <v>6560</v>
      </c>
    </row>
    <row r="6373" spans="7:7">
      <c r="G6373" t="s">
        <v>6561</v>
      </c>
    </row>
    <row r="6374" spans="7:7">
      <c r="G6374" t="s">
        <v>6562</v>
      </c>
    </row>
    <row r="6375" spans="7:7">
      <c r="G6375" t="s">
        <v>6563</v>
      </c>
    </row>
    <row r="6376" spans="7:7">
      <c r="G6376" t="s">
        <v>6564</v>
      </c>
    </row>
    <row r="6377" spans="7:7">
      <c r="G6377" t="s">
        <v>6565</v>
      </c>
    </row>
    <row r="6378" spans="7:7">
      <c r="G6378" t="s">
        <v>6566</v>
      </c>
    </row>
    <row r="6379" spans="7:7">
      <c r="G6379" t="s">
        <v>6567</v>
      </c>
    </row>
    <row r="6380" spans="7:7">
      <c r="G6380" t="s">
        <v>6568</v>
      </c>
    </row>
    <row r="6381" spans="7:7">
      <c r="G6381" t="s">
        <v>6569</v>
      </c>
    </row>
    <row r="6382" spans="7:7">
      <c r="G6382" t="s">
        <v>6570</v>
      </c>
    </row>
    <row r="6383" spans="7:7">
      <c r="G6383" t="s">
        <v>6571</v>
      </c>
    </row>
    <row r="6384" spans="7:7">
      <c r="G6384" t="s">
        <v>6572</v>
      </c>
    </row>
    <row r="6385" spans="7:7">
      <c r="G6385" t="s">
        <v>6573</v>
      </c>
    </row>
    <row r="6386" spans="7:7">
      <c r="G6386" t="s">
        <v>6574</v>
      </c>
    </row>
    <row r="6387" spans="7:7">
      <c r="G6387" t="s">
        <v>6575</v>
      </c>
    </row>
    <row r="6388" spans="7:7">
      <c r="G6388" t="s">
        <v>6576</v>
      </c>
    </row>
    <row r="6389" spans="7:7">
      <c r="G6389" t="s">
        <v>6577</v>
      </c>
    </row>
    <row r="6390" spans="7:7">
      <c r="G6390" t="s">
        <v>6578</v>
      </c>
    </row>
    <row r="6391" spans="7:7">
      <c r="G6391" t="s">
        <v>6579</v>
      </c>
    </row>
    <row r="6392" spans="7:7">
      <c r="G6392" t="s">
        <v>6580</v>
      </c>
    </row>
    <row r="6393" spans="7:7">
      <c r="G6393" t="s">
        <v>6581</v>
      </c>
    </row>
    <row r="6394" spans="7:7">
      <c r="G6394" t="s">
        <v>6582</v>
      </c>
    </row>
    <row r="6395" spans="7:7">
      <c r="G6395" t="s">
        <v>6583</v>
      </c>
    </row>
    <row r="6396" spans="7:7">
      <c r="G6396" t="s">
        <v>6584</v>
      </c>
    </row>
    <row r="6397" spans="7:7">
      <c r="G6397" t="s">
        <v>6585</v>
      </c>
    </row>
    <row r="6398" spans="7:7">
      <c r="G6398" t="s">
        <v>6586</v>
      </c>
    </row>
    <row r="6399" spans="7:7">
      <c r="G6399" t="s">
        <v>6587</v>
      </c>
    </row>
    <row r="6400" spans="7:7">
      <c r="G6400" t="s">
        <v>6588</v>
      </c>
    </row>
    <row r="6401" spans="7:7">
      <c r="G6401" t="s">
        <v>6589</v>
      </c>
    </row>
    <row r="6402" spans="7:7">
      <c r="G6402" t="s">
        <v>6590</v>
      </c>
    </row>
    <row r="6403" spans="7:7">
      <c r="G6403" t="s">
        <v>6591</v>
      </c>
    </row>
    <row r="6404" spans="7:7">
      <c r="G6404" t="s">
        <v>6592</v>
      </c>
    </row>
    <row r="6405" spans="7:7">
      <c r="G6405" t="s">
        <v>6593</v>
      </c>
    </row>
    <row r="6406" spans="7:7">
      <c r="G6406" t="s">
        <v>6594</v>
      </c>
    </row>
    <row r="6407" spans="7:7">
      <c r="G6407" t="s">
        <v>6595</v>
      </c>
    </row>
    <row r="6408" spans="7:7">
      <c r="G6408" t="s">
        <v>6596</v>
      </c>
    </row>
    <row r="6409" spans="7:7">
      <c r="G6409" t="s">
        <v>6597</v>
      </c>
    </row>
    <row r="6410" spans="7:7">
      <c r="G6410" t="s">
        <v>6598</v>
      </c>
    </row>
    <row r="6411" spans="7:7">
      <c r="G6411" t="s">
        <v>6599</v>
      </c>
    </row>
    <row r="6412" spans="7:7">
      <c r="G6412" t="s">
        <v>6600</v>
      </c>
    </row>
    <row r="6413" spans="7:7">
      <c r="G6413" t="s">
        <v>6601</v>
      </c>
    </row>
    <row r="6414" spans="7:7">
      <c r="G6414" t="s">
        <v>6602</v>
      </c>
    </row>
    <row r="6415" spans="7:7">
      <c r="G6415" t="s">
        <v>6603</v>
      </c>
    </row>
    <row r="6416" spans="7:7">
      <c r="G6416" t="s">
        <v>6604</v>
      </c>
    </row>
    <row r="6417" spans="7:7">
      <c r="G6417" t="s">
        <v>6605</v>
      </c>
    </row>
    <row r="6418" spans="7:7">
      <c r="G6418" t="s">
        <v>6606</v>
      </c>
    </row>
    <row r="6419" spans="7:7">
      <c r="G6419" t="s">
        <v>6607</v>
      </c>
    </row>
    <row r="6420" spans="7:7">
      <c r="G6420" t="s">
        <v>6608</v>
      </c>
    </row>
    <row r="6421" spans="7:7">
      <c r="G6421" t="s">
        <v>6609</v>
      </c>
    </row>
    <row r="6422" spans="7:7">
      <c r="G6422" t="s">
        <v>6610</v>
      </c>
    </row>
    <row r="6423" spans="7:7">
      <c r="G6423" t="s">
        <v>6611</v>
      </c>
    </row>
    <row r="6424" spans="7:7">
      <c r="G6424" t="s">
        <v>6612</v>
      </c>
    </row>
    <row r="6425" spans="7:7">
      <c r="G6425" t="s">
        <v>6613</v>
      </c>
    </row>
    <row r="6426" spans="7:7">
      <c r="G6426" t="s">
        <v>6614</v>
      </c>
    </row>
    <row r="6427" spans="7:7">
      <c r="G6427" t="s">
        <v>6615</v>
      </c>
    </row>
    <row r="6428" spans="7:7">
      <c r="G6428" t="s">
        <v>6616</v>
      </c>
    </row>
    <row r="6429" spans="7:7">
      <c r="G6429" t="s">
        <v>6617</v>
      </c>
    </row>
    <row r="6430" spans="7:7">
      <c r="G6430" t="s">
        <v>6618</v>
      </c>
    </row>
    <row r="6431" spans="7:7">
      <c r="G6431" t="s">
        <v>6619</v>
      </c>
    </row>
    <row r="6432" spans="7:7">
      <c r="G6432" t="s">
        <v>6620</v>
      </c>
    </row>
    <row r="6433" spans="7:7">
      <c r="G6433" t="s">
        <v>6621</v>
      </c>
    </row>
    <row r="6434" spans="7:7">
      <c r="G6434" t="s">
        <v>6622</v>
      </c>
    </row>
    <row r="6435" spans="7:7">
      <c r="G6435" t="s">
        <v>6623</v>
      </c>
    </row>
    <row r="6436" spans="7:7">
      <c r="G6436" t="s">
        <v>6624</v>
      </c>
    </row>
    <row r="6437" spans="7:7">
      <c r="G6437" t="s">
        <v>6625</v>
      </c>
    </row>
    <row r="6438" spans="7:7">
      <c r="G6438" t="s">
        <v>6626</v>
      </c>
    </row>
    <row r="6439" spans="7:7">
      <c r="G6439" t="s">
        <v>6627</v>
      </c>
    </row>
    <row r="6440" spans="7:7">
      <c r="G6440" t="s">
        <v>6628</v>
      </c>
    </row>
    <row r="6441" spans="7:7">
      <c r="G6441" t="s">
        <v>6629</v>
      </c>
    </row>
    <row r="6442" spans="7:7">
      <c r="G6442" t="s">
        <v>6630</v>
      </c>
    </row>
    <row r="6443" spans="7:7">
      <c r="G6443" t="s">
        <v>6631</v>
      </c>
    </row>
    <row r="6444" spans="7:7">
      <c r="G6444" t="s">
        <v>6632</v>
      </c>
    </row>
    <row r="6445" spans="7:7">
      <c r="G6445" t="s">
        <v>6633</v>
      </c>
    </row>
    <row r="6446" spans="7:7">
      <c r="G6446" t="s">
        <v>6634</v>
      </c>
    </row>
    <row r="6447" spans="7:7">
      <c r="G6447" t="s">
        <v>6635</v>
      </c>
    </row>
    <row r="6448" spans="7:7">
      <c r="G6448" t="s">
        <v>6636</v>
      </c>
    </row>
    <row r="6449" spans="7:7">
      <c r="G6449" t="s">
        <v>6637</v>
      </c>
    </row>
    <row r="6450" spans="7:7">
      <c r="G6450" t="s">
        <v>6638</v>
      </c>
    </row>
    <row r="6451" spans="7:7">
      <c r="G6451" t="s">
        <v>6639</v>
      </c>
    </row>
    <row r="6452" spans="7:7">
      <c r="G6452" t="s">
        <v>6640</v>
      </c>
    </row>
    <row r="6453" spans="7:7">
      <c r="G6453" t="s">
        <v>6641</v>
      </c>
    </row>
    <row r="6454" spans="7:7">
      <c r="G6454" t="s">
        <v>6642</v>
      </c>
    </row>
    <row r="6455" spans="7:7">
      <c r="G6455" t="s">
        <v>6643</v>
      </c>
    </row>
    <row r="6456" spans="7:7">
      <c r="G6456" t="s">
        <v>6644</v>
      </c>
    </row>
    <row r="6457" spans="7:7">
      <c r="G6457" t="s">
        <v>6645</v>
      </c>
    </row>
    <row r="6458" spans="7:7">
      <c r="G6458" t="s">
        <v>6646</v>
      </c>
    </row>
    <row r="6459" spans="7:7">
      <c r="G6459" t="s">
        <v>6647</v>
      </c>
    </row>
    <row r="6460" spans="7:7">
      <c r="G6460" t="s">
        <v>6648</v>
      </c>
    </row>
    <row r="6461" spans="7:7">
      <c r="G6461" t="s">
        <v>6649</v>
      </c>
    </row>
    <row r="6462" spans="7:7">
      <c r="G6462" t="s">
        <v>6650</v>
      </c>
    </row>
    <row r="6463" spans="7:7">
      <c r="G6463" t="s">
        <v>6651</v>
      </c>
    </row>
    <row r="6464" spans="7:7">
      <c r="G6464" t="s">
        <v>6652</v>
      </c>
    </row>
    <row r="6465" spans="7:7">
      <c r="G6465" t="s">
        <v>6653</v>
      </c>
    </row>
    <row r="6466" spans="7:7">
      <c r="G6466" t="s">
        <v>6654</v>
      </c>
    </row>
    <row r="6467" spans="7:7">
      <c r="G6467" t="s">
        <v>6655</v>
      </c>
    </row>
    <row r="6468" spans="7:7">
      <c r="G6468" t="s">
        <v>6656</v>
      </c>
    </row>
    <row r="6469" spans="7:7">
      <c r="G6469" t="s">
        <v>6657</v>
      </c>
    </row>
    <row r="6470" spans="7:7">
      <c r="G6470" t="s">
        <v>6658</v>
      </c>
    </row>
    <row r="6471" spans="7:7">
      <c r="G6471" t="s">
        <v>6659</v>
      </c>
    </row>
    <row r="6472" spans="7:7">
      <c r="G6472" t="s">
        <v>6660</v>
      </c>
    </row>
    <row r="6473" spans="7:7">
      <c r="G6473" t="s">
        <v>6661</v>
      </c>
    </row>
    <row r="6474" spans="7:7">
      <c r="G6474" t="s">
        <v>6662</v>
      </c>
    </row>
    <row r="6475" spans="7:7">
      <c r="G6475" t="s">
        <v>6663</v>
      </c>
    </row>
    <row r="6476" spans="7:7">
      <c r="G6476" t="s">
        <v>6664</v>
      </c>
    </row>
    <row r="6477" spans="7:7">
      <c r="G6477" t="s">
        <v>6665</v>
      </c>
    </row>
    <row r="6478" spans="7:7">
      <c r="G6478" t="s">
        <v>6666</v>
      </c>
    </row>
    <row r="6479" spans="7:7">
      <c r="G6479" t="s">
        <v>6667</v>
      </c>
    </row>
    <row r="6480" spans="7:7">
      <c r="G6480" t="s">
        <v>6668</v>
      </c>
    </row>
    <row r="6481" spans="7:7">
      <c r="G6481" t="s">
        <v>6669</v>
      </c>
    </row>
    <row r="6482" spans="7:7">
      <c r="G6482" t="s">
        <v>6670</v>
      </c>
    </row>
    <row r="6483" spans="7:7">
      <c r="G6483" t="s">
        <v>6671</v>
      </c>
    </row>
    <row r="6484" spans="7:7">
      <c r="G6484" t="s">
        <v>6672</v>
      </c>
    </row>
    <row r="6485" spans="7:7">
      <c r="G6485" t="s">
        <v>6673</v>
      </c>
    </row>
    <row r="6486" spans="7:7">
      <c r="G6486" t="s">
        <v>6674</v>
      </c>
    </row>
    <row r="6487" spans="7:7">
      <c r="G6487" t="s">
        <v>6675</v>
      </c>
    </row>
    <row r="6488" spans="7:7">
      <c r="G6488" t="s">
        <v>6676</v>
      </c>
    </row>
    <row r="6489" spans="7:7">
      <c r="G6489" t="s">
        <v>6677</v>
      </c>
    </row>
    <row r="6490" spans="7:7">
      <c r="G6490" t="s">
        <v>6678</v>
      </c>
    </row>
    <row r="6491" spans="7:7">
      <c r="G6491" t="s">
        <v>6679</v>
      </c>
    </row>
    <row r="6492" spans="7:7">
      <c r="G6492" t="s">
        <v>6680</v>
      </c>
    </row>
    <row r="6493" spans="7:7">
      <c r="G6493" t="s">
        <v>6681</v>
      </c>
    </row>
    <row r="6494" spans="7:7">
      <c r="G6494" t="s">
        <v>6682</v>
      </c>
    </row>
    <row r="6495" spans="7:7">
      <c r="G6495" t="s">
        <v>6683</v>
      </c>
    </row>
    <row r="6496" spans="7:7">
      <c r="G6496" t="s">
        <v>6684</v>
      </c>
    </row>
    <row r="6497" spans="7:7">
      <c r="G6497" t="s">
        <v>6685</v>
      </c>
    </row>
    <row r="6498" spans="7:7">
      <c r="G6498" t="s">
        <v>6686</v>
      </c>
    </row>
    <row r="6499" spans="7:7">
      <c r="G6499" t="s">
        <v>6687</v>
      </c>
    </row>
    <row r="6500" spans="7:7">
      <c r="G6500" t="s">
        <v>6688</v>
      </c>
    </row>
    <row r="6501" spans="7:7">
      <c r="G6501" t="s">
        <v>6689</v>
      </c>
    </row>
    <row r="6502" spans="7:7">
      <c r="G6502" t="s">
        <v>6690</v>
      </c>
    </row>
    <row r="6503" spans="7:7">
      <c r="G6503" t="s">
        <v>6691</v>
      </c>
    </row>
    <row r="6504" spans="7:7">
      <c r="G6504" t="s">
        <v>6692</v>
      </c>
    </row>
    <row r="6505" spans="7:7">
      <c r="G6505" t="s">
        <v>6693</v>
      </c>
    </row>
    <row r="6506" spans="7:7">
      <c r="G6506" t="s">
        <v>6694</v>
      </c>
    </row>
    <row r="6507" spans="7:7">
      <c r="G6507" t="s">
        <v>6695</v>
      </c>
    </row>
    <row r="6508" spans="7:7">
      <c r="G6508" t="s">
        <v>6696</v>
      </c>
    </row>
    <row r="6509" spans="7:7">
      <c r="G6509" t="s">
        <v>6697</v>
      </c>
    </row>
    <row r="6510" spans="7:7">
      <c r="G6510" t="s">
        <v>6698</v>
      </c>
    </row>
    <row r="6511" spans="7:7">
      <c r="G6511" t="s">
        <v>6699</v>
      </c>
    </row>
    <row r="6512" spans="7:7">
      <c r="G6512" t="s">
        <v>6700</v>
      </c>
    </row>
    <row r="6513" spans="7:7">
      <c r="G6513" t="s">
        <v>6701</v>
      </c>
    </row>
    <row r="6514" spans="7:7">
      <c r="G6514" t="s">
        <v>6702</v>
      </c>
    </row>
    <row r="6515" spans="7:7">
      <c r="G6515" t="s">
        <v>6703</v>
      </c>
    </row>
    <row r="6516" spans="7:7">
      <c r="G6516" t="s">
        <v>6704</v>
      </c>
    </row>
    <row r="6517" spans="7:7">
      <c r="G6517" t="s">
        <v>6705</v>
      </c>
    </row>
    <row r="6518" spans="7:7">
      <c r="G6518" t="s">
        <v>6706</v>
      </c>
    </row>
    <row r="6519" spans="7:7">
      <c r="G6519" t="s">
        <v>6707</v>
      </c>
    </row>
    <row r="6520" spans="7:7">
      <c r="G6520" t="s">
        <v>6708</v>
      </c>
    </row>
    <row r="6521" spans="7:7">
      <c r="G6521" t="s">
        <v>6709</v>
      </c>
    </row>
    <row r="6522" spans="7:7">
      <c r="G6522" t="s">
        <v>6710</v>
      </c>
    </row>
    <row r="6523" spans="7:7">
      <c r="G6523" t="s">
        <v>6711</v>
      </c>
    </row>
    <row r="6524" spans="7:7">
      <c r="G6524" t="s">
        <v>6712</v>
      </c>
    </row>
    <row r="6525" spans="7:7">
      <c r="G6525" t="s">
        <v>6713</v>
      </c>
    </row>
    <row r="6526" spans="7:7">
      <c r="G6526" t="s">
        <v>6714</v>
      </c>
    </row>
    <row r="6527" spans="7:7">
      <c r="G6527" t="s">
        <v>6715</v>
      </c>
    </row>
    <row r="6528" spans="7:7">
      <c r="G6528" t="s">
        <v>6716</v>
      </c>
    </row>
    <row r="6529" spans="7:7">
      <c r="G6529" t="s">
        <v>6717</v>
      </c>
    </row>
    <row r="6530" spans="7:7">
      <c r="G6530" t="s">
        <v>6718</v>
      </c>
    </row>
    <row r="6531" spans="7:7">
      <c r="G6531" t="s">
        <v>6719</v>
      </c>
    </row>
    <row r="6532" spans="7:7">
      <c r="G6532" t="s">
        <v>6720</v>
      </c>
    </row>
    <row r="6533" spans="7:7">
      <c r="G6533" t="s">
        <v>6721</v>
      </c>
    </row>
    <row r="6534" spans="7:7">
      <c r="G6534" t="s">
        <v>6722</v>
      </c>
    </row>
    <row r="6535" spans="7:7">
      <c r="G6535" t="s">
        <v>6723</v>
      </c>
    </row>
    <row r="6536" spans="7:7">
      <c r="G6536" t="s">
        <v>6724</v>
      </c>
    </row>
    <row r="6537" spans="7:7">
      <c r="G6537" t="s">
        <v>6725</v>
      </c>
    </row>
    <row r="6538" spans="7:7">
      <c r="G6538" t="s">
        <v>6726</v>
      </c>
    </row>
    <row r="6539" spans="7:7">
      <c r="G6539" t="s">
        <v>6727</v>
      </c>
    </row>
    <row r="6540" spans="7:7">
      <c r="G6540" t="s">
        <v>6728</v>
      </c>
    </row>
    <row r="6541" spans="7:7">
      <c r="G6541" t="s">
        <v>6729</v>
      </c>
    </row>
    <row r="6542" spans="7:7">
      <c r="G6542" t="s">
        <v>6730</v>
      </c>
    </row>
    <row r="6543" spans="7:7">
      <c r="G6543" t="s">
        <v>6731</v>
      </c>
    </row>
    <row r="6544" spans="7:7">
      <c r="G6544" t="s">
        <v>6732</v>
      </c>
    </row>
    <row r="6545" spans="7:7">
      <c r="G6545" t="s">
        <v>6733</v>
      </c>
    </row>
    <row r="6546" spans="7:7">
      <c r="G6546" t="s">
        <v>6734</v>
      </c>
    </row>
    <row r="6547" spans="7:7">
      <c r="G6547" t="s">
        <v>6735</v>
      </c>
    </row>
    <row r="6548" spans="7:7">
      <c r="G6548" t="s">
        <v>6736</v>
      </c>
    </row>
    <row r="6549" spans="7:7">
      <c r="G6549" t="s">
        <v>6737</v>
      </c>
    </row>
    <row r="6550" spans="7:7">
      <c r="G6550" t="s">
        <v>6738</v>
      </c>
    </row>
    <row r="6551" spans="7:7">
      <c r="G6551" t="s">
        <v>6739</v>
      </c>
    </row>
    <row r="6552" spans="7:7">
      <c r="G6552" t="s">
        <v>6740</v>
      </c>
    </row>
    <row r="6553" spans="7:7">
      <c r="G6553" t="s">
        <v>6741</v>
      </c>
    </row>
    <row r="6554" spans="7:7">
      <c r="G6554" t="s">
        <v>6742</v>
      </c>
    </row>
    <row r="6555" spans="7:7">
      <c r="G6555" t="s">
        <v>6743</v>
      </c>
    </row>
    <row r="6556" spans="7:7">
      <c r="G6556" t="s">
        <v>6744</v>
      </c>
    </row>
    <row r="6557" spans="7:7">
      <c r="G6557" t="s">
        <v>6745</v>
      </c>
    </row>
    <row r="6558" spans="7:7">
      <c r="G6558" t="s">
        <v>6746</v>
      </c>
    </row>
    <row r="6559" spans="7:7">
      <c r="G6559" t="s">
        <v>6747</v>
      </c>
    </row>
    <row r="6560" spans="7:7">
      <c r="G6560" t="s">
        <v>6748</v>
      </c>
    </row>
    <row r="6561" spans="7:7">
      <c r="G6561" t="s">
        <v>6749</v>
      </c>
    </row>
    <row r="6562" spans="7:7">
      <c r="G6562" t="s">
        <v>6750</v>
      </c>
    </row>
    <row r="6563" spans="7:7">
      <c r="G6563" t="s">
        <v>6751</v>
      </c>
    </row>
    <row r="6564" spans="7:7">
      <c r="G6564" t="s">
        <v>6752</v>
      </c>
    </row>
    <row r="6565" spans="7:7">
      <c r="G6565" t="s">
        <v>6753</v>
      </c>
    </row>
    <row r="6566" spans="7:7">
      <c r="G6566" t="s">
        <v>6754</v>
      </c>
    </row>
    <row r="6567" spans="7:7">
      <c r="G6567" t="s">
        <v>6755</v>
      </c>
    </row>
    <row r="6568" spans="7:7">
      <c r="G6568" t="s">
        <v>6756</v>
      </c>
    </row>
    <row r="6569" spans="7:7">
      <c r="G6569" t="s">
        <v>6757</v>
      </c>
    </row>
    <row r="6570" spans="7:7">
      <c r="G6570" t="s">
        <v>6758</v>
      </c>
    </row>
    <row r="6571" spans="7:7">
      <c r="G6571" t="s">
        <v>6759</v>
      </c>
    </row>
    <row r="6572" spans="7:7">
      <c r="G6572" t="s">
        <v>6760</v>
      </c>
    </row>
    <row r="6573" spans="7:7">
      <c r="G6573" t="s">
        <v>6761</v>
      </c>
    </row>
    <row r="6574" spans="7:7">
      <c r="G6574" t="s">
        <v>6762</v>
      </c>
    </row>
    <row r="6575" spans="7:7">
      <c r="G6575" t="s">
        <v>6763</v>
      </c>
    </row>
    <row r="6576" spans="7:7">
      <c r="G6576" t="s">
        <v>6764</v>
      </c>
    </row>
    <row r="6577" spans="7:7">
      <c r="G6577" t="s">
        <v>6765</v>
      </c>
    </row>
    <row r="6578" spans="7:7">
      <c r="G6578" t="s">
        <v>6766</v>
      </c>
    </row>
    <row r="6579" spans="7:7">
      <c r="G6579" t="s">
        <v>6767</v>
      </c>
    </row>
    <row r="6580" spans="7:7">
      <c r="G6580" t="s">
        <v>6768</v>
      </c>
    </row>
    <row r="6581" spans="7:7">
      <c r="G6581" t="s">
        <v>6769</v>
      </c>
    </row>
    <row r="6582" spans="7:7">
      <c r="G6582" t="s">
        <v>6770</v>
      </c>
    </row>
    <row r="6583" spans="7:7">
      <c r="G6583" t="s">
        <v>6771</v>
      </c>
    </row>
    <row r="6584" spans="7:7">
      <c r="G6584" t="s">
        <v>6772</v>
      </c>
    </row>
    <row r="6585" spans="7:7">
      <c r="G6585" t="s">
        <v>6773</v>
      </c>
    </row>
    <row r="6586" spans="7:7">
      <c r="G6586" t="s">
        <v>6774</v>
      </c>
    </row>
    <row r="6587" spans="7:7">
      <c r="G6587" t="s">
        <v>6775</v>
      </c>
    </row>
    <row r="6588" spans="7:7">
      <c r="G6588" t="s">
        <v>6776</v>
      </c>
    </row>
    <row r="6589" spans="7:7">
      <c r="G6589" t="s">
        <v>6777</v>
      </c>
    </row>
    <row r="6590" spans="7:7">
      <c r="G6590" t="s">
        <v>6778</v>
      </c>
    </row>
    <row r="6591" spans="7:7">
      <c r="G6591" t="s">
        <v>6779</v>
      </c>
    </row>
    <row r="6592" spans="7:7">
      <c r="G6592" t="s">
        <v>6780</v>
      </c>
    </row>
    <row r="6593" spans="7:7">
      <c r="G6593" t="s">
        <v>6781</v>
      </c>
    </row>
    <row r="6594" spans="7:7">
      <c r="G6594" t="s">
        <v>6782</v>
      </c>
    </row>
    <row r="6595" spans="7:7">
      <c r="G6595" t="s">
        <v>6783</v>
      </c>
    </row>
    <row r="6596" spans="7:7">
      <c r="G6596" t="s">
        <v>6784</v>
      </c>
    </row>
    <row r="6597" spans="7:7">
      <c r="G6597" t="s">
        <v>6785</v>
      </c>
    </row>
    <row r="6598" spans="7:7">
      <c r="G6598" t="s">
        <v>6786</v>
      </c>
    </row>
    <row r="6599" spans="7:7">
      <c r="G6599" t="s">
        <v>6787</v>
      </c>
    </row>
    <row r="6600" spans="7:7">
      <c r="G6600" t="s">
        <v>6788</v>
      </c>
    </row>
    <row r="6601" spans="7:7">
      <c r="G6601" t="s">
        <v>6789</v>
      </c>
    </row>
    <row r="6602" spans="7:7">
      <c r="G6602" t="s">
        <v>6790</v>
      </c>
    </row>
    <row r="6603" spans="7:7">
      <c r="G6603" t="s">
        <v>6791</v>
      </c>
    </row>
    <row r="6604" spans="7:7">
      <c r="G6604" t="s">
        <v>6792</v>
      </c>
    </row>
    <row r="6605" spans="7:7">
      <c r="G6605" t="s">
        <v>6793</v>
      </c>
    </row>
    <row r="6606" spans="7:7">
      <c r="G6606" t="s">
        <v>6794</v>
      </c>
    </row>
    <row r="6607" spans="7:7">
      <c r="G6607" t="s">
        <v>6795</v>
      </c>
    </row>
    <row r="6608" spans="7:7">
      <c r="G6608" t="s">
        <v>6796</v>
      </c>
    </row>
    <row r="6609" spans="7:7">
      <c r="G6609" t="s">
        <v>6797</v>
      </c>
    </row>
    <row r="6610" spans="7:7">
      <c r="G6610" t="s">
        <v>6798</v>
      </c>
    </row>
    <row r="6611" spans="7:7">
      <c r="G6611" t="s">
        <v>6799</v>
      </c>
    </row>
    <row r="6612" spans="7:7">
      <c r="G6612" t="s">
        <v>6800</v>
      </c>
    </row>
    <row r="6613" spans="7:7">
      <c r="G6613" t="s">
        <v>6801</v>
      </c>
    </row>
    <row r="6614" spans="7:7">
      <c r="G6614" t="s">
        <v>6802</v>
      </c>
    </row>
    <row r="6615" spans="7:7">
      <c r="G6615" t="s">
        <v>6803</v>
      </c>
    </row>
    <row r="6616" spans="7:7">
      <c r="G6616" t="s">
        <v>6804</v>
      </c>
    </row>
    <row r="6617" spans="7:7">
      <c r="G6617" t="s">
        <v>6805</v>
      </c>
    </row>
    <row r="6618" spans="7:7">
      <c r="G6618" t="s">
        <v>6806</v>
      </c>
    </row>
    <row r="6619" spans="7:7">
      <c r="G6619" t="s">
        <v>6807</v>
      </c>
    </row>
    <row r="6620" spans="7:7">
      <c r="G6620" t="s">
        <v>6808</v>
      </c>
    </row>
    <row r="6621" spans="7:7">
      <c r="G6621" t="s">
        <v>6809</v>
      </c>
    </row>
    <row r="6622" spans="7:7">
      <c r="G6622" t="s">
        <v>6810</v>
      </c>
    </row>
    <row r="6623" spans="7:7">
      <c r="G6623" t="s">
        <v>6811</v>
      </c>
    </row>
    <row r="6624" spans="7:7">
      <c r="G6624" t="s">
        <v>6812</v>
      </c>
    </row>
    <row r="6625" spans="7:7">
      <c r="G6625" t="s">
        <v>6813</v>
      </c>
    </row>
    <row r="6626" spans="7:7">
      <c r="G6626" t="s">
        <v>6814</v>
      </c>
    </row>
    <row r="6627" spans="7:7">
      <c r="G6627" t="s">
        <v>6815</v>
      </c>
    </row>
    <row r="6628" spans="7:7">
      <c r="G6628" t="s">
        <v>6816</v>
      </c>
    </row>
    <row r="6629" spans="7:7">
      <c r="G6629" t="s">
        <v>6817</v>
      </c>
    </row>
    <row r="6630" spans="7:7">
      <c r="G6630" t="s">
        <v>6818</v>
      </c>
    </row>
    <row r="6631" spans="7:7">
      <c r="G6631" t="s">
        <v>6819</v>
      </c>
    </row>
    <row r="6632" spans="7:7">
      <c r="G6632" t="s">
        <v>6820</v>
      </c>
    </row>
    <row r="6633" spans="7:7">
      <c r="G6633" t="s">
        <v>6821</v>
      </c>
    </row>
    <row r="6634" spans="7:7">
      <c r="G6634" t="s">
        <v>6822</v>
      </c>
    </row>
    <row r="6635" spans="7:7">
      <c r="G6635" t="s">
        <v>6823</v>
      </c>
    </row>
    <row r="6636" spans="7:7">
      <c r="G6636" t="s">
        <v>6824</v>
      </c>
    </row>
    <row r="6637" spans="7:7">
      <c r="G6637" t="s">
        <v>6825</v>
      </c>
    </row>
    <row r="6638" spans="7:7">
      <c r="G6638" t="s">
        <v>6826</v>
      </c>
    </row>
    <row r="6639" spans="7:7">
      <c r="G6639" t="s">
        <v>6827</v>
      </c>
    </row>
    <row r="6640" spans="7:7">
      <c r="G6640" t="s">
        <v>6828</v>
      </c>
    </row>
    <row r="6641" spans="7:7">
      <c r="G6641" t="s">
        <v>6829</v>
      </c>
    </row>
    <row r="6642" spans="7:7">
      <c r="G6642" t="s">
        <v>6830</v>
      </c>
    </row>
    <row r="6643" spans="7:7">
      <c r="G6643" t="s">
        <v>6831</v>
      </c>
    </row>
    <row r="6644" spans="7:7">
      <c r="G6644" t="s">
        <v>6832</v>
      </c>
    </row>
    <row r="6645" spans="7:7">
      <c r="G6645" t="s">
        <v>6833</v>
      </c>
    </row>
    <row r="6646" spans="7:7">
      <c r="G6646" t="s">
        <v>6834</v>
      </c>
    </row>
    <row r="6647" spans="7:7">
      <c r="G6647" t="s">
        <v>6835</v>
      </c>
    </row>
    <row r="6648" spans="7:7">
      <c r="G6648" t="s">
        <v>6836</v>
      </c>
    </row>
    <row r="6649" spans="7:7">
      <c r="G6649" t="s">
        <v>6837</v>
      </c>
    </row>
    <row r="6650" spans="7:7">
      <c r="G6650" t="s">
        <v>6838</v>
      </c>
    </row>
    <row r="6651" spans="7:7">
      <c r="G6651" t="s">
        <v>6839</v>
      </c>
    </row>
    <row r="6652" spans="7:7">
      <c r="G6652" t="s">
        <v>6840</v>
      </c>
    </row>
    <row r="6653" spans="7:7">
      <c r="G6653" t="s">
        <v>6841</v>
      </c>
    </row>
    <row r="6654" spans="7:7">
      <c r="G6654" t="s">
        <v>6842</v>
      </c>
    </row>
    <row r="6655" spans="7:7">
      <c r="G6655" t="s">
        <v>6843</v>
      </c>
    </row>
    <row r="6656" spans="7:7">
      <c r="G6656" t="s">
        <v>6844</v>
      </c>
    </row>
    <row r="6657" spans="7:7">
      <c r="G6657" t="s">
        <v>6845</v>
      </c>
    </row>
    <row r="6658" spans="7:7">
      <c r="G6658" t="s">
        <v>6846</v>
      </c>
    </row>
    <row r="6659" spans="7:7">
      <c r="G6659" t="s">
        <v>6847</v>
      </c>
    </row>
    <row r="6660" spans="7:7">
      <c r="G6660" t="s">
        <v>6848</v>
      </c>
    </row>
    <row r="6661" spans="7:7">
      <c r="G6661" t="s">
        <v>6849</v>
      </c>
    </row>
    <row r="6662" spans="7:7">
      <c r="G6662" t="s">
        <v>6850</v>
      </c>
    </row>
    <row r="6663" spans="7:7">
      <c r="G6663" t="s">
        <v>6851</v>
      </c>
    </row>
    <row r="6664" spans="7:7">
      <c r="G6664" t="s">
        <v>6852</v>
      </c>
    </row>
    <row r="6665" spans="7:7">
      <c r="G6665" t="s">
        <v>6853</v>
      </c>
    </row>
    <row r="6666" spans="7:7">
      <c r="G6666" t="s">
        <v>6854</v>
      </c>
    </row>
    <row r="6667" spans="7:7">
      <c r="G6667" t="s">
        <v>6855</v>
      </c>
    </row>
    <row r="6668" spans="7:7">
      <c r="G6668" t="s">
        <v>6856</v>
      </c>
    </row>
    <row r="6669" spans="7:7">
      <c r="G6669" t="s">
        <v>6857</v>
      </c>
    </row>
    <row r="6670" spans="7:7">
      <c r="G6670" t="s">
        <v>6858</v>
      </c>
    </row>
    <row r="6671" spans="7:7">
      <c r="G6671" t="s">
        <v>6859</v>
      </c>
    </row>
    <row r="6672" spans="7:7">
      <c r="G6672" t="s">
        <v>6860</v>
      </c>
    </row>
    <row r="6673" spans="7:7">
      <c r="G6673" t="s">
        <v>6861</v>
      </c>
    </row>
    <row r="6674" spans="7:7">
      <c r="G6674" t="s">
        <v>6862</v>
      </c>
    </row>
    <row r="6675" spans="7:7">
      <c r="G6675" t="s">
        <v>6863</v>
      </c>
    </row>
    <row r="6676" spans="7:7">
      <c r="G6676" t="s">
        <v>6864</v>
      </c>
    </row>
    <row r="6677" spans="7:7">
      <c r="G6677" t="s">
        <v>6865</v>
      </c>
    </row>
    <row r="6678" spans="7:7">
      <c r="G6678" t="s">
        <v>6866</v>
      </c>
    </row>
    <row r="6679" spans="7:7">
      <c r="G6679" t="s">
        <v>6867</v>
      </c>
    </row>
    <row r="6680" spans="7:7">
      <c r="G6680" t="s">
        <v>6868</v>
      </c>
    </row>
    <row r="6681" spans="7:7">
      <c r="G6681" t="s">
        <v>6869</v>
      </c>
    </row>
    <row r="6682" spans="7:7">
      <c r="G6682" t="s">
        <v>6870</v>
      </c>
    </row>
    <row r="6683" spans="7:7">
      <c r="G6683" t="s">
        <v>6871</v>
      </c>
    </row>
    <row r="6684" spans="7:7">
      <c r="G6684" t="s">
        <v>6872</v>
      </c>
    </row>
    <row r="6685" spans="7:7">
      <c r="G6685" t="s">
        <v>6873</v>
      </c>
    </row>
    <row r="6686" spans="7:7">
      <c r="G6686" t="s">
        <v>6874</v>
      </c>
    </row>
    <row r="6687" spans="7:7">
      <c r="G6687" t="s">
        <v>6875</v>
      </c>
    </row>
    <row r="6688" spans="7:7">
      <c r="G6688" t="s">
        <v>6876</v>
      </c>
    </row>
    <row r="6689" spans="7:7">
      <c r="G6689" t="s">
        <v>6877</v>
      </c>
    </row>
    <row r="6690" spans="7:7">
      <c r="G6690" t="s">
        <v>6878</v>
      </c>
    </row>
    <row r="6691" spans="7:7">
      <c r="G6691" t="s">
        <v>6879</v>
      </c>
    </row>
    <row r="6692" spans="7:7">
      <c r="G6692" t="s">
        <v>6880</v>
      </c>
    </row>
    <row r="6693" spans="7:7">
      <c r="G6693" t="s">
        <v>6881</v>
      </c>
    </row>
    <row r="6694" spans="7:7">
      <c r="G6694" t="s">
        <v>6882</v>
      </c>
    </row>
    <row r="6695" spans="7:7">
      <c r="G6695" t="s">
        <v>6883</v>
      </c>
    </row>
    <row r="6696" spans="7:7">
      <c r="G6696" t="s">
        <v>6884</v>
      </c>
    </row>
    <row r="6697" spans="7:7">
      <c r="G6697" t="s">
        <v>6885</v>
      </c>
    </row>
    <row r="6698" spans="7:7">
      <c r="G6698" t="s">
        <v>6886</v>
      </c>
    </row>
    <row r="6699" spans="7:7">
      <c r="G6699" t="s">
        <v>6887</v>
      </c>
    </row>
    <row r="6700" spans="7:7">
      <c r="G6700" t="s">
        <v>6888</v>
      </c>
    </row>
    <row r="6701" spans="7:7">
      <c r="G6701" t="s">
        <v>6889</v>
      </c>
    </row>
    <row r="6702" spans="7:7">
      <c r="G6702" t="s">
        <v>6890</v>
      </c>
    </row>
    <row r="6703" spans="7:7">
      <c r="G6703" t="s">
        <v>6891</v>
      </c>
    </row>
    <row r="6704" spans="7:7">
      <c r="G6704" t="s">
        <v>6892</v>
      </c>
    </row>
    <row r="6705" spans="7:7">
      <c r="G6705" t="s">
        <v>6893</v>
      </c>
    </row>
    <row r="6706" spans="7:7">
      <c r="G6706" t="s">
        <v>6894</v>
      </c>
    </row>
    <row r="6707" spans="7:7">
      <c r="G6707" t="s">
        <v>6895</v>
      </c>
    </row>
    <row r="6708" spans="7:7">
      <c r="G6708" t="s">
        <v>6896</v>
      </c>
    </row>
    <row r="6709" spans="7:7">
      <c r="G6709" t="s">
        <v>6897</v>
      </c>
    </row>
    <row r="6710" spans="7:7">
      <c r="G6710" t="s">
        <v>6898</v>
      </c>
    </row>
    <row r="6711" spans="7:7">
      <c r="G6711" t="s">
        <v>6899</v>
      </c>
    </row>
    <row r="6712" spans="7:7">
      <c r="G6712" t="s">
        <v>6900</v>
      </c>
    </row>
    <row r="6713" spans="7:7">
      <c r="G6713" t="s">
        <v>6901</v>
      </c>
    </row>
    <row r="6714" spans="7:7">
      <c r="G6714" t="s">
        <v>6902</v>
      </c>
    </row>
    <row r="6715" spans="7:7">
      <c r="G6715" t="s">
        <v>6903</v>
      </c>
    </row>
    <row r="6716" spans="7:7">
      <c r="G6716" t="s">
        <v>6904</v>
      </c>
    </row>
    <row r="6717" spans="7:7">
      <c r="G6717" t="s">
        <v>6905</v>
      </c>
    </row>
    <row r="6718" spans="7:7">
      <c r="G6718" t="s">
        <v>6906</v>
      </c>
    </row>
    <row r="6719" spans="7:7">
      <c r="G6719" t="s">
        <v>6907</v>
      </c>
    </row>
    <row r="6720" spans="7:7">
      <c r="G6720" t="s">
        <v>6908</v>
      </c>
    </row>
    <row r="6721" spans="7:7">
      <c r="G6721" t="s">
        <v>6909</v>
      </c>
    </row>
    <row r="6722" spans="7:7">
      <c r="G6722" t="s">
        <v>6910</v>
      </c>
    </row>
    <row r="6723" spans="7:7">
      <c r="G6723" t="s">
        <v>6911</v>
      </c>
    </row>
    <row r="6724" spans="7:7">
      <c r="G6724" t="s">
        <v>6912</v>
      </c>
    </row>
    <row r="6725" spans="7:7">
      <c r="G6725" t="s">
        <v>6913</v>
      </c>
    </row>
    <row r="6726" spans="7:7">
      <c r="G6726" t="s">
        <v>6914</v>
      </c>
    </row>
    <row r="6727" spans="7:7">
      <c r="G6727" t="s">
        <v>6915</v>
      </c>
    </row>
    <row r="6728" spans="7:7">
      <c r="G6728" t="s">
        <v>6916</v>
      </c>
    </row>
    <row r="6729" spans="7:7">
      <c r="G6729" t="s">
        <v>6917</v>
      </c>
    </row>
    <row r="6730" spans="7:7">
      <c r="G6730" t="s">
        <v>6918</v>
      </c>
    </row>
    <row r="6731" spans="7:7">
      <c r="G6731" t="s">
        <v>6919</v>
      </c>
    </row>
    <row r="6732" spans="7:7">
      <c r="G6732" t="s">
        <v>6920</v>
      </c>
    </row>
    <row r="6733" spans="7:7">
      <c r="G6733" t="s">
        <v>6921</v>
      </c>
    </row>
    <row r="6734" spans="7:7">
      <c r="G6734" t="s">
        <v>6922</v>
      </c>
    </row>
    <row r="6735" spans="7:7">
      <c r="G6735" t="s">
        <v>6923</v>
      </c>
    </row>
    <row r="6736" spans="7:7">
      <c r="G6736" t="s">
        <v>6924</v>
      </c>
    </row>
    <row r="6737" spans="7:7">
      <c r="G6737" t="s">
        <v>6925</v>
      </c>
    </row>
    <row r="6738" spans="7:7">
      <c r="G6738" t="s">
        <v>6926</v>
      </c>
    </row>
    <row r="6739" spans="7:7">
      <c r="G6739" t="s">
        <v>6927</v>
      </c>
    </row>
    <row r="6740" spans="7:7">
      <c r="G6740" t="s">
        <v>6928</v>
      </c>
    </row>
    <row r="6741" spans="7:7">
      <c r="G6741" t="s">
        <v>6929</v>
      </c>
    </row>
    <row r="6742" spans="7:7">
      <c r="G6742" t="s">
        <v>6930</v>
      </c>
    </row>
    <row r="6743" spans="7:7">
      <c r="G6743" t="s">
        <v>6931</v>
      </c>
    </row>
    <row r="6744" spans="7:7">
      <c r="G6744" t="s">
        <v>6932</v>
      </c>
    </row>
    <row r="6745" spans="7:7">
      <c r="G6745" t="s">
        <v>6933</v>
      </c>
    </row>
    <row r="6746" spans="7:7">
      <c r="G6746" t="s">
        <v>6934</v>
      </c>
    </row>
    <row r="6747" spans="7:7">
      <c r="G6747" t="s">
        <v>6935</v>
      </c>
    </row>
    <row r="6748" spans="7:7">
      <c r="G6748" t="s">
        <v>6936</v>
      </c>
    </row>
    <row r="6749" spans="7:7">
      <c r="G6749" t="s">
        <v>6937</v>
      </c>
    </row>
    <row r="6750" spans="7:7">
      <c r="G6750" t="s">
        <v>6938</v>
      </c>
    </row>
    <row r="6751" spans="7:7">
      <c r="G6751" t="s">
        <v>6939</v>
      </c>
    </row>
    <row r="6752" spans="7:7">
      <c r="G6752" t="s">
        <v>6940</v>
      </c>
    </row>
    <row r="6753" spans="7:7">
      <c r="G6753" t="s">
        <v>6941</v>
      </c>
    </row>
    <row r="6754" spans="7:7">
      <c r="G6754" t="s">
        <v>6942</v>
      </c>
    </row>
    <row r="6755" spans="7:7">
      <c r="G6755" t="s">
        <v>6943</v>
      </c>
    </row>
    <row r="6756" spans="7:7">
      <c r="G6756" t="s">
        <v>6944</v>
      </c>
    </row>
    <row r="6757" spans="7:7">
      <c r="G6757" t="s">
        <v>6945</v>
      </c>
    </row>
    <row r="6758" spans="7:7">
      <c r="G6758" t="s">
        <v>6946</v>
      </c>
    </row>
    <row r="6759" spans="7:7">
      <c r="G6759" t="s">
        <v>6947</v>
      </c>
    </row>
    <row r="6760" spans="7:7">
      <c r="G6760" t="s">
        <v>6948</v>
      </c>
    </row>
    <row r="6761" spans="7:7">
      <c r="G6761" t="s">
        <v>6949</v>
      </c>
    </row>
    <row r="6762" spans="7:7">
      <c r="G6762" t="s">
        <v>6950</v>
      </c>
    </row>
    <row r="6763" spans="7:7">
      <c r="G6763" t="s">
        <v>6951</v>
      </c>
    </row>
    <row r="6764" spans="7:7">
      <c r="G6764" t="s">
        <v>6952</v>
      </c>
    </row>
    <row r="6765" spans="7:7">
      <c r="G6765" t="s">
        <v>6953</v>
      </c>
    </row>
    <row r="6766" spans="7:7">
      <c r="G6766" t="s">
        <v>6954</v>
      </c>
    </row>
    <row r="6767" spans="7:7">
      <c r="G6767" t="s">
        <v>6955</v>
      </c>
    </row>
    <row r="6768" spans="7:7">
      <c r="G6768" t="s">
        <v>6956</v>
      </c>
    </row>
    <row r="6769" spans="7:7">
      <c r="G6769" t="s">
        <v>6957</v>
      </c>
    </row>
    <row r="6770" spans="7:7">
      <c r="G6770" t="s">
        <v>6958</v>
      </c>
    </row>
    <row r="6771" spans="7:7">
      <c r="G6771" t="s">
        <v>6959</v>
      </c>
    </row>
    <row r="6772" spans="7:7">
      <c r="G6772" t="s">
        <v>6960</v>
      </c>
    </row>
    <row r="6773" spans="7:7">
      <c r="G6773" t="s">
        <v>6961</v>
      </c>
    </row>
    <row r="6774" spans="7:7">
      <c r="G6774" t="s">
        <v>6962</v>
      </c>
    </row>
    <row r="6775" spans="7:7">
      <c r="G6775" t="s">
        <v>6963</v>
      </c>
    </row>
    <row r="6776" spans="7:7">
      <c r="G6776" t="s">
        <v>6964</v>
      </c>
    </row>
    <row r="6777" spans="7:7">
      <c r="G6777" t="s">
        <v>6965</v>
      </c>
    </row>
    <row r="6778" spans="7:7">
      <c r="G6778" t="s">
        <v>6966</v>
      </c>
    </row>
    <row r="6779" spans="7:7">
      <c r="G6779" t="s">
        <v>6967</v>
      </c>
    </row>
    <row r="6780" spans="7:7">
      <c r="G6780" t="s">
        <v>6968</v>
      </c>
    </row>
    <row r="6781" spans="7:7">
      <c r="G6781" t="s">
        <v>6969</v>
      </c>
    </row>
    <row r="6782" spans="7:7">
      <c r="G6782" t="s">
        <v>6970</v>
      </c>
    </row>
    <row r="6783" spans="7:7">
      <c r="G6783" t="s">
        <v>6971</v>
      </c>
    </row>
    <row r="6784" spans="7:7">
      <c r="G6784" t="s">
        <v>6972</v>
      </c>
    </row>
    <row r="6785" spans="7:7">
      <c r="G6785" t="s">
        <v>6973</v>
      </c>
    </row>
    <row r="6786" spans="7:7">
      <c r="G6786" t="s">
        <v>6974</v>
      </c>
    </row>
    <row r="6787" spans="7:7">
      <c r="G6787" t="s">
        <v>6975</v>
      </c>
    </row>
    <row r="6788" spans="7:7">
      <c r="G6788" t="s">
        <v>6976</v>
      </c>
    </row>
    <row r="6789" spans="7:7">
      <c r="G6789" t="s">
        <v>6977</v>
      </c>
    </row>
    <row r="6790" spans="7:7">
      <c r="G6790" t="s">
        <v>6978</v>
      </c>
    </row>
    <row r="6791" spans="7:7">
      <c r="G6791" t="s">
        <v>6979</v>
      </c>
    </row>
    <row r="6792" spans="7:7">
      <c r="G6792" t="s">
        <v>6980</v>
      </c>
    </row>
    <row r="6793" spans="7:7">
      <c r="G6793" t="s">
        <v>6981</v>
      </c>
    </row>
    <row r="6794" spans="7:7">
      <c r="G6794" t="s">
        <v>6982</v>
      </c>
    </row>
    <row r="6795" spans="7:7">
      <c r="G6795" t="s">
        <v>6983</v>
      </c>
    </row>
    <row r="6796" spans="7:7">
      <c r="G6796" t="s">
        <v>6984</v>
      </c>
    </row>
    <row r="6797" spans="7:7">
      <c r="G6797" t="s">
        <v>6985</v>
      </c>
    </row>
    <row r="6798" spans="7:7">
      <c r="G6798" t="s">
        <v>6986</v>
      </c>
    </row>
    <row r="6799" spans="7:7">
      <c r="G6799" t="s">
        <v>6987</v>
      </c>
    </row>
    <row r="6800" spans="7:7">
      <c r="G6800" t="s">
        <v>6988</v>
      </c>
    </row>
    <row r="6801" spans="7:7">
      <c r="G6801" t="s">
        <v>6989</v>
      </c>
    </row>
    <row r="6802" spans="7:7">
      <c r="G6802" t="s">
        <v>6990</v>
      </c>
    </row>
    <row r="6803" spans="7:7">
      <c r="G6803" t="s">
        <v>6991</v>
      </c>
    </row>
    <row r="6804" spans="7:7">
      <c r="G6804" t="s">
        <v>6992</v>
      </c>
    </row>
    <row r="6805" spans="7:7">
      <c r="G6805" t="s">
        <v>6993</v>
      </c>
    </row>
    <row r="6806" spans="7:7">
      <c r="G6806" t="s">
        <v>6994</v>
      </c>
    </row>
    <row r="6807" spans="7:7">
      <c r="G6807" t="s">
        <v>6995</v>
      </c>
    </row>
    <row r="6808" spans="7:7">
      <c r="G6808" t="s">
        <v>6996</v>
      </c>
    </row>
    <row r="6809" spans="7:7">
      <c r="G6809" t="s">
        <v>6997</v>
      </c>
    </row>
    <row r="6810" spans="7:7">
      <c r="G6810" t="s">
        <v>6998</v>
      </c>
    </row>
    <row r="6811" spans="7:7">
      <c r="G6811" t="s">
        <v>6999</v>
      </c>
    </row>
    <row r="6812" spans="7:7">
      <c r="G6812" t="s">
        <v>7000</v>
      </c>
    </row>
    <row r="6813" spans="7:7">
      <c r="G6813" t="s">
        <v>7001</v>
      </c>
    </row>
    <row r="6814" spans="7:7">
      <c r="G6814" t="s">
        <v>7002</v>
      </c>
    </row>
    <row r="6815" spans="7:7">
      <c r="G6815" t="s">
        <v>7003</v>
      </c>
    </row>
    <row r="6816" spans="7:7">
      <c r="G6816" t="s">
        <v>7004</v>
      </c>
    </row>
    <row r="6817" spans="7:7">
      <c r="G6817" t="s">
        <v>7005</v>
      </c>
    </row>
    <row r="6818" spans="7:7">
      <c r="G6818" t="s">
        <v>7006</v>
      </c>
    </row>
    <row r="6819" spans="7:7">
      <c r="G6819" t="s">
        <v>7007</v>
      </c>
    </row>
    <row r="6820" spans="7:7">
      <c r="G6820" t="s">
        <v>7008</v>
      </c>
    </row>
    <row r="6821" spans="7:7">
      <c r="G6821" t="s">
        <v>7009</v>
      </c>
    </row>
    <row r="6822" spans="7:7">
      <c r="G6822" t="s">
        <v>7010</v>
      </c>
    </row>
    <row r="6823" spans="7:7">
      <c r="G6823" t="s">
        <v>7011</v>
      </c>
    </row>
    <row r="6824" spans="7:7">
      <c r="G6824" t="s">
        <v>7012</v>
      </c>
    </row>
    <row r="6825" spans="7:7">
      <c r="G6825" t="s">
        <v>7013</v>
      </c>
    </row>
    <row r="6826" spans="7:7">
      <c r="G6826" t="s">
        <v>7014</v>
      </c>
    </row>
    <row r="6827" spans="7:7">
      <c r="G6827" t="s">
        <v>7015</v>
      </c>
    </row>
    <row r="6828" spans="7:7">
      <c r="G6828" t="s">
        <v>7016</v>
      </c>
    </row>
    <row r="6829" spans="7:7">
      <c r="G6829" t="s">
        <v>7017</v>
      </c>
    </row>
    <row r="6830" spans="7:7">
      <c r="G6830" t="s">
        <v>7018</v>
      </c>
    </row>
    <row r="6831" spans="7:7">
      <c r="G6831" t="s">
        <v>7019</v>
      </c>
    </row>
    <row r="6832" spans="7:7">
      <c r="G6832" t="s">
        <v>7020</v>
      </c>
    </row>
    <row r="6833" spans="7:7">
      <c r="G6833" t="s">
        <v>7021</v>
      </c>
    </row>
    <row r="6834" spans="7:7">
      <c r="G6834" t="s">
        <v>7022</v>
      </c>
    </row>
    <row r="6835" spans="7:7">
      <c r="G6835" t="s">
        <v>7023</v>
      </c>
    </row>
    <row r="6836" spans="7:7">
      <c r="G6836" t="s">
        <v>7024</v>
      </c>
    </row>
    <row r="6837" spans="7:7">
      <c r="G6837" t="s">
        <v>7025</v>
      </c>
    </row>
    <row r="6838" spans="7:7">
      <c r="G6838" t="s">
        <v>7026</v>
      </c>
    </row>
    <row r="6839" spans="7:7">
      <c r="G6839" t="s">
        <v>7027</v>
      </c>
    </row>
    <row r="6840" spans="7:7">
      <c r="G6840" t="s">
        <v>7028</v>
      </c>
    </row>
    <row r="6841" spans="7:7">
      <c r="G6841" t="s">
        <v>7029</v>
      </c>
    </row>
    <row r="6842" spans="7:7">
      <c r="G6842" t="s">
        <v>7030</v>
      </c>
    </row>
    <row r="6843" spans="7:7">
      <c r="G6843" t="s">
        <v>7031</v>
      </c>
    </row>
    <row r="6844" spans="7:7">
      <c r="G6844" t="s">
        <v>7032</v>
      </c>
    </row>
    <row r="6845" spans="7:7">
      <c r="G6845" t="s">
        <v>7033</v>
      </c>
    </row>
    <row r="6846" spans="7:7">
      <c r="G6846" t="s">
        <v>7034</v>
      </c>
    </row>
    <row r="6847" spans="7:7">
      <c r="G6847" t="s">
        <v>7035</v>
      </c>
    </row>
    <row r="6848" spans="7:7">
      <c r="G6848" t="s">
        <v>7036</v>
      </c>
    </row>
    <row r="6849" spans="7:7">
      <c r="G6849" t="s">
        <v>7037</v>
      </c>
    </row>
    <row r="6850" spans="7:7">
      <c r="G6850" t="s">
        <v>7038</v>
      </c>
    </row>
    <row r="6851" spans="7:7">
      <c r="G6851" t="s">
        <v>7039</v>
      </c>
    </row>
    <row r="6852" spans="7:7">
      <c r="G6852" t="s">
        <v>7040</v>
      </c>
    </row>
    <row r="6853" spans="7:7">
      <c r="G6853" t="s">
        <v>7041</v>
      </c>
    </row>
    <row r="6854" spans="7:7">
      <c r="G6854" t="s">
        <v>7042</v>
      </c>
    </row>
    <row r="6855" spans="7:7">
      <c r="G6855" t="s">
        <v>7043</v>
      </c>
    </row>
    <row r="6856" spans="7:7">
      <c r="G6856" t="s">
        <v>7044</v>
      </c>
    </row>
    <row r="6857" spans="7:7">
      <c r="G6857" t="s">
        <v>7045</v>
      </c>
    </row>
    <row r="6858" spans="7:7">
      <c r="G6858" t="s">
        <v>7046</v>
      </c>
    </row>
    <row r="6859" spans="7:7">
      <c r="G6859" t="s">
        <v>7047</v>
      </c>
    </row>
    <row r="6860" spans="7:7">
      <c r="G6860" t="s">
        <v>7048</v>
      </c>
    </row>
    <row r="6861" spans="7:7">
      <c r="G6861" t="s">
        <v>7049</v>
      </c>
    </row>
    <row r="6862" spans="7:7">
      <c r="G6862" t="s">
        <v>7050</v>
      </c>
    </row>
    <row r="6863" spans="7:7">
      <c r="G6863" t="s">
        <v>7051</v>
      </c>
    </row>
    <row r="6864" spans="7:7">
      <c r="G6864" t="s">
        <v>7052</v>
      </c>
    </row>
    <row r="6865" spans="7:7">
      <c r="G6865" t="s">
        <v>7053</v>
      </c>
    </row>
    <row r="6866" spans="7:7">
      <c r="G6866" t="s">
        <v>7054</v>
      </c>
    </row>
    <row r="6867" spans="7:7">
      <c r="G6867" t="s">
        <v>7055</v>
      </c>
    </row>
    <row r="6868" spans="7:7">
      <c r="G6868" t="s">
        <v>7056</v>
      </c>
    </row>
    <row r="6869" spans="7:7">
      <c r="G6869" t="s">
        <v>7057</v>
      </c>
    </row>
    <row r="6870" spans="7:7">
      <c r="G6870" t="s">
        <v>7058</v>
      </c>
    </row>
    <row r="6871" spans="7:7">
      <c r="G6871" t="s">
        <v>7059</v>
      </c>
    </row>
    <row r="6872" spans="7:7">
      <c r="G6872" t="s">
        <v>7060</v>
      </c>
    </row>
    <row r="6873" spans="7:7">
      <c r="G6873" t="s">
        <v>7061</v>
      </c>
    </row>
    <row r="6874" spans="7:7">
      <c r="G6874" t="s">
        <v>7062</v>
      </c>
    </row>
    <row r="6875" spans="7:7">
      <c r="G6875" t="s">
        <v>7063</v>
      </c>
    </row>
    <row r="6876" spans="7:7">
      <c r="G6876" t="s">
        <v>7064</v>
      </c>
    </row>
    <row r="6877" spans="7:7">
      <c r="G6877" t="s">
        <v>7065</v>
      </c>
    </row>
    <row r="6878" spans="7:7">
      <c r="G6878" t="s">
        <v>7066</v>
      </c>
    </row>
    <row r="6879" spans="7:7">
      <c r="G6879" t="s">
        <v>7067</v>
      </c>
    </row>
    <row r="6880" spans="7:7">
      <c r="G6880" t="s">
        <v>7068</v>
      </c>
    </row>
    <row r="6881" spans="7:7">
      <c r="G6881" t="s">
        <v>7069</v>
      </c>
    </row>
    <row r="6882" spans="7:7">
      <c r="G6882" t="s">
        <v>7070</v>
      </c>
    </row>
    <row r="6883" spans="7:7">
      <c r="G6883" t="s">
        <v>7071</v>
      </c>
    </row>
    <row r="6884" spans="7:7">
      <c r="G6884" t="s">
        <v>7072</v>
      </c>
    </row>
    <row r="6885" spans="7:7">
      <c r="G6885" t="s">
        <v>7073</v>
      </c>
    </row>
    <row r="6886" spans="7:7">
      <c r="G6886" t="s">
        <v>7074</v>
      </c>
    </row>
    <row r="6887" spans="7:7">
      <c r="G6887" t="s">
        <v>7075</v>
      </c>
    </row>
    <row r="6888" spans="7:7">
      <c r="G6888" t="s">
        <v>7076</v>
      </c>
    </row>
    <row r="6889" spans="7:7">
      <c r="G6889" t="s">
        <v>7077</v>
      </c>
    </row>
    <row r="6890" spans="7:7">
      <c r="G6890" t="s">
        <v>7078</v>
      </c>
    </row>
    <row r="6891" spans="7:7">
      <c r="G6891" t="s">
        <v>7079</v>
      </c>
    </row>
    <row r="6892" spans="7:7">
      <c r="G6892" t="s">
        <v>7080</v>
      </c>
    </row>
    <row r="6893" spans="7:7">
      <c r="G6893" t="s">
        <v>7081</v>
      </c>
    </row>
    <row r="6894" spans="7:7">
      <c r="G6894" t="s">
        <v>7082</v>
      </c>
    </row>
    <row r="6895" spans="7:7">
      <c r="G6895" t="s">
        <v>7083</v>
      </c>
    </row>
    <row r="6896" spans="7:7">
      <c r="G6896" t="s">
        <v>7084</v>
      </c>
    </row>
    <row r="6897" spans="7:7">
      <c r="G6897" t="s">
        <v>7085</v>
      </c>
    </row>
    <row r="6898" spans="7:7">
      <c r="G6898" t="s">
        <v>7086</v>
      </c>
    </row>
    <row r="6899" spans="7:7">
      <c r="G6899" t="s">
        <v>7087</v>
      </c>
    </row>
    <row r="6900" spans="7:7">
      <c r="G6900" t="s">
        <v>7088</v>
      </c>
    </row>
    <row r="6901" spans="7:7">
      <c r="G6901" t="s">
        <v>7089</v>
      </c>
    </row>
    <row r="6902" spans="7:7">
      <c r="G6902" t="s">
        <v>7090</v>
      </c>
    </row>
    <row r="6903" spans="7:7">
      <c r="G6903" t="s">
        <v>7091</v>
      </c>
    </row>
    <row r="6904" spans="7:7">
      <c r="G6904" t="s">
        <v>7092</v>
      </c>
    </row>
    <row r="6905" spans="7:7">
      <c r="G6905" t="s">
        <v>7093</v>
      </c>
    </row>
    <row r="6906" spans="7:7">
      <c r="G6906" t="s">
        <v>7094</v>
      </c>
    </row>
    <row r="6907" spans="7:7">
      <c r="G6907" t="s">
        <v>7095</v>
      </c>
    </row>
    <row r="6908" spans="7:7">
      <c r="G6908" t="s">
        <v>7096</v>
      </c>
    </row>
    <row r="6909" spans="7:7">
      <c r="G6909" t="s">
        <v>7097</v>
      </c>
    </row>
    <row r="6910" spans="7:7">
      <c r="G6910" t="s">
        <v>7098</v>
      </c>
    </row>
    <row r="6911" spans="7:7">
      <c r="G6911" t="s">
        <v>7099</v>
      </c>
    </row>
    <row r="6912" spans="7:7">
      <c r="G6912" t="s">
        <v>7100</v>
      </c>
    </row>
    <row r="6913" spans="7:7">
      <c r="G6913" t="s">
        <v>7101</v>
      </c>
    </row>
    <row r="6914" spans="7:7">
      <c r="G6914" t="s">
        <v>7102</v>
      </c>
    </row>
    <row r="6915" spans="7:7">
      <c r="G6915" t="s">
        <v>7103</v>
      </c>
    </row>
    <row r="6916" spans="7:7">
      <c r="G6916" t="s">
        <v>7104</v>
      </c>
    </row>
    <row r="6917" spans="7:7">
      <c r="G6917" t="s">
        <v>7105</v>
      </c>
    </row>
    <row r="6918" spans="7:7">
      <c r="G6918" t="s">
        <v>7106</v>
      </c>
    </row>
    <row r="6919" spans="7:7">
      <c r="G6919" t="s">
        <v>7107</v>
      </c>
    </row>
    <row r="6920" spans="7:7">
      <c r="G6920" t="s">
        <v>7108</v>
      </c>
    </row>
    <row r="6921" spans="7:7">
      <c r="G6921" t="s">
        <v>7109</v>
      </c>
    </row>
    <row r="6922" spans="7:7">
      <c r="G6922" t="s">
        <v>7110</v>
      </c>
    </row>
    <row r="6923" spans="7:7">
      <c r="G6923" t="s">
        <v>7111</v>
      </c>
    </row>
    <row r="6924" spans="7:7">
      <c r="G6924" t="s">
        <v>7112</v>
      </c>
    </row>
    <row r="6925" spans="7:7">
      <c r="G6925" t="s">
        <v>7113</v>
      </c>
    </row>
    <row r="6926" spans="7:7">
      <c r="G6926" t="s">
        <v>7114</v>
      </c>
    </row>
    <row r="6927" spans="7:7">
      <c r="G6927" t="s">
        <v>7115</v>
      </c>
    </row>
    <row r="6928" spans="7:7">
      <c r="G6928" t="s">
        <v>7116</v>
      </c>
    </row>
    <row r="6929" spans="7:7">
      <c r="G6929" t="s">
        <v>7117</v>
      </c>
    </row>
    <row r="6930" spans="7:7">
      <c r="G6930" t="s">
        <v>7118</v>
      </c>
    </row>
    <row r="6931" spans="7:7">
      <c r="G6931" t="s">
        <v>7119</v>
      </c>
    </row>
    <row r="6932" spans="7:7">
      <c r="G6932" t="s">
        <v>7120</v>
      </c>
    </row>
    <row r="6933" spans="7:7">
      <c r="G6933" t="s">
        <v>7121</v>
      </c>
    </row>
    <row r="6934" spans="7:7">
      <c r="G6934" t="s">
        <v>7122</v>
      </c>
    </row>
    <row r="6935" spans="7:7">
      <c r="G6935" t="s">
        <v>7123</v>
      </c>
    </row>
    <row r="6936" spans="7:7">
      <c r="G6936" t="s">
        <v>7124</v>
      </c>
    </row>
    <row r="6937" spans="7:7">
      <c r="G6937" t="s">
        <v>7125</v>
      </c>
    </row>
    <row r="6938" spans="7:7">
      <c r="G6938" t="s">
        <v>7126</v>
      </c>
    </row>
    <row r="6939" spans="7:7">
      <c r="G6939" t="s">
        <v>7127</v>
      </c>
    </row>
    <row r="6940" spans="7:7">
      <c r="G6940" t="s">
        <v>7128</v>
      </c>
    </row>
    <row r="6941" spans="7:7">
      <c r="G6941" t="s">
        <v>7129</v>
      </c>
    </row>
    <row r="6942" spans="7:7">
      <c r="G6942" t="s">
        <v>7130</v>
      </c>
    </row>
    <row r="6943" spans="7:7">
      <c r="G6943" t="s">
        <v>7131</v>
      </c>
    </row>
    <row r="6944" spans="7:7">
      <c r="G6944" t="s">
        <v>7132</v>
      </c>
    </row>
    <row r="6945" spans="7:7">
      <c r="G6945" t="s">
        <v>7133</v>
      </c>
    </row>
    <row r="6946" spans="7:7">
      <c r="G6946" t="s">
        <v>7134</v>
      </c>
    </row>
    <row r="6947" spans="7:7">
      <c r="G6947" t="s">
        <v>7135</v>
      </c>
    </row>
    <row r="6948" spans="7:7">
      <c r="G6948" t="s">
        <v>7136</v>
      </c>
    </row>
    <row r="6949" spans="7:7">
      <c r="G6949" t="s">
        <v>7137</v>
      </c>
    </row>
    <row r="6950" spans="7:7">
      <c r="G6950" t="s">
        <v>7138</v>
      </c>
    </row>
    <row r="6951" spans="7:7">
      <c r="G6951" t="s">
        <v>7139</v>
      </c>
    </row>
    <row r="6952" spans="7:7">
      <c r="G6952" t="s">
        <v>7140</v>
      </c>
    </row>
    <row r="6953" spans="7:7">
      <c r="G6953" t="s">
        <v>7141</v>
      </c>
    </row>
    <row r="6954" spans="7:7">
      <c r="G6954" t="s">
        <v>7142</v>
      </c>
    </row>
    <row r="6955" spans="7:7">
      <c r="G6955" t="s">
        <v>7143</v>
      </c>
    </row>
    <row r="6956" spans="7:7">
      <c r="G6956" t="s">
        <v>7144</v>
      </c>
    </row>
    <row r="6957" spans="7:7">
      <c r="G6957" t="s">
        <v>7145</v>
      </c>
    </row>
    <row r="6958" spans="7:7">
      <c r="G6958" t="s">
        <v>7146</v>
      </c>
    </row>
    <row r="6959" spans="7:7">
      <c r="G6959" t="s">
        <v>7147</v>
      </c>
    </row>
    <row r="6960" spans="7:7">
      <c r="G6960" t="s">
        <v>7148</v>
      </c>
    </row>
    <row r="6961" spans="7:7">
      <c r="G6961" t="s">
        <v>7149</v>
      </c>
    </row>
    <row r="6962" spans="7:7">
      <c r="G6962" t="s">
        <v>7150</v>
      </c>
    </row>
    <row r="6963" spans="7:7">
      <c r="G6963" t="s">
        <v>7151</v>
      </c>
    </row>
    <row r="6964" spans="7:7">
      <c r="G6964" t="s">
        <v>7152</v>
      </c>
    </row>
    <row r="6965" spans="7:7">
      <c r="G6965" t="s">
        <v>7153</v>
      </c>
    </row>
    <row r="6966" spans="7:7">
      <c r="G6966" t="s">
        <v>7154</v>
      </c>
    </row>
    <row r="6967" spans="7:7">
      <c r="G6967" t="s">
        <v>7155</v>
      </c>
    </row>
    <row r="6968" spans="7:7">
      <c r="G6968" t="s">
        <v>7156</v>
      </c>
    </row>
    <row r="6969" spans="7:7">
      <c r="G6969" t="s">
        <v>7157</v>
      </c>
    </row>
    <row r="6970" spans="7:7">
      <c r="G6970" t="s">
        <v>7158</v>
      </c>
    </row>
    <row r="6971" spans="7:7">
      <c r="G6971" t="s">
        <v>7159</v>
      </c>
    </row>
    <row r="6972" spans="7:7">
      <c r="G6972" t="s">
        <v>7160</v>
      </c>
    </row>
    <row r="6973" spans="7:7">
      <c r="G6973" t="s">
        <v>7161</v>
      </c>
    </row>
    <row r="6974" spans="7:7">
      <c r="G6974" t="s">
        <v>7162</v>
      </c>
    </row>
    <row r="6975" spans="7:7">
      <c r="G6975" t="s">
        <v>7163</v>
      </c>
    </row>
    <row r="6976" spans="7:7">
      <c r="G6976" t="s">
        <v>7164</v>
      </c>
    </row>
    <row r="6977" spans="7:7">
      <c r="G6977" t="s">
        <v>7165</v>
      </c>
    </row>
    <row r="6978" spans="7:7">
      <c r="G6978" t="s">
        <v>7166</v>
      </c>
    </row>
    <row r="6979" spans="7:7">
      <c r="G6979" t="s">
        <v>7167</v>
      </c>
    </row>
    <row r="6980" spans="7:7">
      <c r="G6980" t="s">
        <v>7168</v>
      </c>
    </row>
    <row r="6981" spans="7:7">
      <c r="G6981" t="s">
        <v>7169</v>
      </c>
    </row>
    <row r="6982" spans="7:7">
      <c r="G6982" t="s">
        <v>7170</v>
      </c>
    </row>
    <row r="6983" spans="7:7">
      <c r="G6983" t="s">
        <v>7171</v>
      </c>
    </row>
    <row r="6984" spans="7:7">
      <c r="G6984" t="s">
        <v>7172</v>
      </c>
    </row>
    <row r="6985" spans="7:7">
      <c r="G6985" t="s">
        <v>7173</v>
      </c>
    </row>
    <row r="6986" spans="7:7">
      <c r="G6986" t="s">
        <v>7174</v>
      </c>
    </row>
    <row r="6987" spans="7:7">
      <c r="G6987" t="s">
        <v>7175</v>
      </c>
    </row>
    <row r="6988" spans="7:7">
      <c r="G6988" t="s">
        <v>7176</v>
      </c>
    </row>
    <row r="6989" spans="7:7">
      <c r="G6989" t="s">
        <v>7177</v>
      </c>
    </row>
    <row r="6990" spans="7:7">
      <c r="G6990" t="s">
        <v>7178</v>
      </c>
    </row>
    <row r="6991" spans="7:7">
      <c r="G6991" t="s">
        <v>7179</v>
      </c>
    </row>
    <row r="6992" spans="7:7">
      <c r="G6992" t="s">
        <v>7180</v>
      </c>
    </row>
    <row r="6993" spans="7:7">
      <c r="G6993" t="s">
        <v>7181</v>
      </c>
    </row>
    <row r="6994" spans="7:7">
      <c r="G6994" t="s">
        <v>7182</v>
      </c>
    </row>
    <row r="6995" spans="7:7">
      <c r="G6995" t="s">
        <v>7183</v>
      </c>
    </row>
    <row r="6996" spans="7:7">
      <c r="G6996" t="s">
        <v>7184</v>
      </c>
    </row>
    <row r="6997" spans="7:7">
      <c r="G6997" t="s">
        <v>7185</v>
      </c>
    </row>
    <row r="6998" spans="7:7">
      <c r="G6998" t="s">
        <v>7186</v>
      </c>
    </row>
    <row r="6999" spans="7:7">
      <c r="G6999" t="s">
        <v>7187</v>
      </c>
    </row>
    <row r="7000" spans="7:7">
      <c r="G7000" t="s">
        <v>7188</v>
      </c>
    </row>
    <row r="7001" spans="7:7">
      <c r="G7001" t="s">
        <v>7189</v>
      </c>
    </row>
    <row r="7002" spans="7:7">
      <c r="G7002" t="s">
        <v>7190</v>
      </c>
    </row>
    <row r="7003" spans="7:7">
      <c r="G7003" t="s">
        <v>7191</v>
      </c>
    </row>
    <row r="7004" spans="7:7">
      <c r="G7004" t="s">
        <v>7192</v>
      </c>
    </row>
    <row r="7005" spans="7:7">
      <c r="G7005" t="s">
        <v>7193</v>
      </c>
    </row>
    <row r="7006" spans="7:7">
      <c r="G7006" t="s">
        <v>7194</v>
      </c>
    </row>
    <row r="7007" spans="7:7">
      <c r="G7007" t="s">
        <v>7195</v>
      </c>
    </row>
    <row r="7008" spans="7:7">
      <c r="G7008" t="s">
        <v>7196</v>
      </c>
    </row>
    <row r="7009" spans="7:7">
      <c r="G7009" t="s">
        <v>7197</v>
      </c>
    </row>
    <row r="7010" spans="7:7">
      <c r="G7010" t="s">
        <v>7198</v>
      </c>
    </row>
    <row r="7011" spans="7:7">
      <c r="G7011" t="s">
        <v>7199</v>
      </c>
    </row>
    <row r="7012" spans="7:7">
      <c r="G7012" t="s">
        <v>7200</v>
      </c>
    </row>
    <row r="7013" spans="7:7">
      <c r="G7013" t="s">
        <v>7201</v>
      </c>
    </row>
    <row r="7014" spans="7:7">
      <c r="G7014" t="s">
        <v>7202</v>
      </c>
    </row>
    <row r="7015" spans="7:7">
      <c r="G7015" t="s">
        <v>7203</v>
      </c>
    </row>
    <row r="7016" spans="7:7">
      <c r="G7016" t="s">
        <v>7204</v>
      </c>
    </row>
    <row r="7017" spans="7:7">
      <c r="G7017" t="s">
        <v>7205</v>
      </c>
    </row>
    <row r="7018" spans="7:7">
      <c r="G7018" t="s">
        <v>7206</v>
      </c>
    </row>
    <row r="7019" spans="7:7">
      <c r="G7019" t="s">
        <v>7207</v>
      </c>
    </row>
    <row r="7020" spans="7:7">
      <c r="G7020" t="s">
        <v>7208</v>
      </c>
    </row>
    <row r="7021" spans="7:7">
      <c r="G7021" t="s">
        <v>7209</v>
      </c>
    </row>
    <row r="7022" spans="7:7">
      <c r="G7022" t="s">
        <v>7210</v>
      </c>
    </row>
    <row r="7023" spans="7:7">
      <c r="G7023" t="s">
        <v>7211</v>
      </c>
    </row>
    <row r="7024" spans="7:7">
      <c r="G7024" t="s">
        <v>7212</v>
      </c>
    </row>
    <row r="7025" spans="7:7">
      <c r="G7025" t="s">
        <v>7213</v>
      </c>
    </row>
    <row r="7026" spans="7:7">
      <c r="G7026" t="s">
        <v>7214</v>
      </c>
    </row>
    <row r="7027" spans="7:7">
      <c r="G7027" t="s">
        <v>7215</v>
      </c>
    </row>
    <row r="7028" spans="7:7">
      <c r="G7028" t="s">
        <v>7216</v>
      </c>
    </row>
    <row r="7029" spans="7:7">
      <c r="G7029" t="s">
        <v>7217</v>
      </c>
    </row>
    <row r="7030" spans="7:7">
      <c r="G7030" t="s">
        <v>7218</v>
      </c>
    </row>
    <row r="7031" spans="7:7">
      <c r="G7031" t="s">
        <v>7219</v>
      </c>
    </row>
    <row r="7032" spans="7:7">
      <c r="G7032" t="s">
        <v>7220</v>
      </c>
    </row>
    <row r="7033" spans="7:7">
      <c r="G7033" t="s">
        <v>7221</v>
      </c>
    </row>
    <row r="7034" spans="7:7">
      <c r="G7034" t="s">
        <v>7222</v>
      </c>
    </row>
    <row r="7035" spans="7:7">
      <c r="G7035" t="s">
        <v>7223</v>
      </c>
    </row>
    <row r="7036" spans="7:7">
      <c r="G7036" t="s">
        <v>7224</v>
      </c>
    </row>
    <row r="7037" spans="7:7">
      <c r="G7037" t="s">
        <v>7225</v>
      </c>
    </row>
    <row r="7038" spans="7:7">
      <c r="G7038" t="s">
        <v>7226</v>
      </c>
    </row>
    <row r="7039" spans="7:7">
      <c r="G7039" t="s">
        <v>7227</v>
      </c>
    </row>
    <row r="7040" spans="7:7">
      <c r="G7040" t="s">
        <v>7228</v>
      </c>
    </row>
    <row r="7041" spans="7:7">
      <c r="G7041" t="s">
        <v>7229</v>
      </c>
    </row>
    <row r="7042" spans="7:7">
      <c r="G7042" t="s">
        <v>7230</v>
      </c>
    </row>
    <row r="7043" spans="7:7">
      <c r="G7043" t="s">
        <v>7231</v>
      </c>
    </row>
    <row r="7044" spans="7:7">
      <c r="G7044" t="s">
        <v>7232</v>
      </c>
    </row>
    <row r="7045" spans="7:7">
      <c r="G7045" t="s">
        <v>7233</v>
      </c>
    </row>
    <row r="7046" spans="7:7">
      <c r="G7046" t="s">
        <v>7234</v>
      </c>
    </row>
    <row r="7047" spans="7:7">
      <c r="G7047" t="s">
        <v>7235</v>
      </c>
    </row>
    <row r="7048" spans="7:7">
      <c r="G7048" t="s">
        <v>7236</v>
      </c>
    </row>
    <row r="7049" spans="7:7">
      <c r="G7049" t="s">
        <v>7237</v>
      </c>
    </row>
    <row r="7050" spans="7:7">
      <c r="G7050" t="s">
        <v>7238</v>
      </c>
    </row>
    <row r="7051" spans="7:7">
      <c r="G7051" t="s">
        <v>7239</v>
      </c>
    </row>
    <row r="7052" spans="7:7">
      <c r="G7052" t="s">
        <v>7240</v>
      </c>
    </row>
    <row r="7053" spans="7:7">
      <c r="G7053" t="s">
        <v>7241</v>
      </c>
    </row>
    <row r="7054" spans="7:7">
      <c r="G7054" t="s">
        <v>7242</v>
      </c>
    </row>
    <row r="7055" spans="7:7">
      <c r="G7055" t="s">
        <v>7243</v>
      </c>
    </row>
    <row r="7056" spans="7:7">
      <c r="G7056" t="s">
        <v>7244</v>
      </c>
    </row>
    <row r="7057" spans="7:7">
      <c r="G7057" t="s">
        <v>7245</v>
      </c>
    </row>
    <row r="7058" spans="7:7">
      <c r="G7058" t="s">
        <v>7246</v>
      </c>
    </row>
    <row r="7059" spans="7:7">
      <c r="G7059" t="s">
        <v>7247</v>
      </c>
    </row>
    <row r="7060" spans="7:7">
      <c r="G7060" t="s">
        <v>7248</v>
      </c>
    </row>
    <row r="7061" spans="7:7">
      <c r="G7061" t="s">
        <v>7249</v>
      </c>
    </row>
    <row r="7062" spans="7:7">
      <c r="G7062" t="s">
        <v>7250</v>
      </c>
    </row>
    <row r="7063" spans="7:7">
      <c r="G7063" t="s">
        <v>7251</v>
      </c>
    </row>
    <row r="7064" spans="7:7">
      <c r="G7064" t="s">
        <v>7252</v>
      </c>
    </row>
    <row r="7065" spans="7:7">
      <c r="G7065" t="s">
        <v>7253</v>
      </c>
    </row>
    <row r="7066" spans="7:7">
      <c r="G7066" t="s">
        <v>7254</v>
      </c>
    </row>
    <row r="7067" spans="7:7">
      <c r="G7067" t="s">
        <v>7255</v>
      </c>
    </row>
    <row r="7068" spans="7:7">
      <c r="G7068" t="s">
        <v>7256</v>
      </c>
    </row>
    <row r="7069" spans="7:7">
      <c r="G7069" t="s">
        <v>7257</v>
      </c>
    </row>
    <row r="7070" spans="7:7">
      <c r="G7070" t="s">
        <v>7258</v>
      </c>
    </row>
    <row r="7071" spans="7:7">
      <c r="G7071" t="s">
        <v>7259</v>
      </c>
    </row>
    <row r="7072" spans="7:7">
      <c r="G7072" t="s">
        <v>7260</v>
      </c>
    </row>
    <row r="7073" spans="7:7">
      <c r="G7073" t="s">
        <v>7261</v>
      </c>
    </row>
    <row r="7074" spans="7:7">
      <c r="G7074" t="s">
        <v>7262</v>
      </c>
    </row>
    <row r="7075" spans="7:7">
      <c r="G7075" t="s">
        <v>7263</v>
      </c>
    </row>
    <row r="7076" spans="7:7">
      <c r="G7076" t="s">
        <v>7264</v>
      </c>
    </row>
    <row r="7077" spans="7:7">
      <c r="G7077" t="s">
        <v>7265</v>
      </c>
    </row>
    <row r="7078" spans="7:7">
      <c r="G7078" t="s">
        <v>7266</v>
      </c>
    </row>
    <row r="7079" spans="7:7">
      <c r="G7079" t="s">
        <v>7267</v>
      </c>
    </row>
    <row r="7080" spans="7:7">
      <c r="G7080" t="s">
        <v>7268</v>
      </c>
    </row>
    <row r="7081" spans="7:7">
      <c r="G7081" t="s">
        <v>7269</v>
      </c>
    </row>
    <row r="7082" spans="7:7">
      <c r="G7082" t="s">
        <v>7270</v>
      </c>
    </row>
    <row r="7083" spans="7:7">
      <c r="G7083" t="s">
        <v>7271</v>
      </c>
    </row>
    <row r="7084" spans="7:7">
      <c r="G7084" t="s">
        <v>7272</v>
      </c>
    </row>
    <row r="7085" spans="7:7">
      <c r="G7085" t="s">
        <v>7273</v>
      </c>
    </row>
    <row r="7086" spans="7:7">
      <c r="G7086" t="s">
        <v>7274</v>
      </c>
    </row>
    <row r="7087" spans="7:7">
      <c r="G7087" t="s">
        <v>7275</v>
      </c>
    </row>
    <row r="7088" spans="7:7">
      <c r="G7088" t="s">
        <v>7276</v>
      </c>
    </row>
    <row r="7089" spans="7:7">
      <c r="G7089" t="s">
        <v>7277</v>
      </c>
    </row>
    <row r="7090" spans="7:7">
      <c r="G7090" t="s">
        <v>7278</v>
      </c>
    </row>
    <row r="7091" spans="7:7">
      <c r="G7091" t="s">
        <v>7279</v>
      </c>
    </row>
    <row r="7092" spans="7:7">
      <c r="G7092" t="s">
        <v>7280</v>
      </c>
    </row>
    <row r="7093" spans="7:7">
      <c r="G7093" t="s">
        <v>7281</v>
      </c>
    </row>
    <row r="7094" spans="7:7">
      <c r="G7094" t="s">
        <v>7282</v>
      </c>
    </row>
    <row r="7095" spans="7:7">
      <c r="G7095" t="s">
        <v>7283</v>
      </c>
    </row>
    <row r="7096" spans="7:7">
      <c r="G7096" t="s">
        <v>7284</v>
      </c>
    </row>
    <row r="7097" spans="7:7">
      <c r="G7097" t="s">
        <v>7285</v>
      </c>
    </row>
    <row r="7098" spans="7:7">
      <c r="G7098" t="s">
        <v>7286</v>
      </c>
    </row>
    <row r="7099" spans="7:7">
      <c r="G7099" t="s">
        <v>7287</v>
      </c>
    </row>
    <row r="7100" spans="7:7">
      <c r="G7100" t="s">
        <v>7288</v>
      </c>
    </row>
    <row r="7101" spans="7:7">
      <c r="G7101" t="s">
        <v>7289</v>
      </c>
    </row>
    <row r="7102" spans="7:7">
      <c r="G7102" t="s">
        <v>7290</v>
      </c>
    </row>
    <row r="7103" spans="7:7">
      <c r="G7103" t="s">
        <v>7291</v>
      </c>
    </row>
    <row r="7104" spans="7:7">
      <c r="G7104" t="s">
        <v>7292</v>
      </c>
    </row>
    <row r="7105" spans="7:7">
      <c r="G7105" t="s">
        <v>7293</v>
      </c>
    </row>
    <row r="7106" spans="7:7">
      <c r="G7106" t="s">
        <v>7294</v>
      </c>
    </row>
    <row r="7107" spans="7:7">
      <c r="G7107" t="s">
        <v>7295</v>
      </c>
    </row>
    <row r="7108" spans="7:7">
      <c r="G7108" t="s">
        <v>7296</v>
      </c>
    </row>
    <row r="7109" spans="7:7">
      <c r="G7109" t="s">
        <v>7297</v>
      </c>
    </row>
    <row r="7110" spans="7:7">
      <c r="G7110" t="s">
        <v>7298</v>
      </c>
    </row>
    <row r="7111" spans="7:7">
      <c r="G7111" t="s">
        <v>7299</v>
      </c>
    </row>
    <row r="7112" spans="7:7">
      <c r="G7112" t="s">
        <v>7300</v>
      </c>
    </row>
    <row r="7113" spans="7:7">
      <c r="G7113" t="s">
        <v>7301</v>
      </c>
    </row>
    <row r="7114" spans="7:7">
      <c r="G7114" t="s">
        <v>7302</v>
      </c>
    </row>
    <row r="7115" spans="7:7">
      <c r="G7115" t="s">
        <v>7303</v>
      </c>
    </row>
    <row r="7116" spans="7:7">
      <c r="G7116" t="s">
        <v>7304</v>
      </c>
    </row>
    <row r="7117" spans="7:7">
      <c r="G7117" t="s">
        <v>7305</v>
      </c>
    </row>
    <row r="7118" spans="7:7">
      <c r="G7118" t="s">
        <v>7306</v>
      </c>
    </row>
    <row r="7119" spans="7:7">
      <c r="G7119" t="s">
        <v>7307</v>
      </c>
    </row>
    <row r="7120" spans="7:7">
      <c r="G7120" t="s">
        <v>7308</v>
      </c>
    </row>
    <row r="7121" spans="7:7">
      <c r="G7121" t="s">
        <v>7309</v>
      </c>
    </row>
    <row r="7122" spans="7:7">
      <c r="G7122" t="s">
        <v>7310</v>
      </c>
    </row>
    <row r="7123" spans="7:7">
      <c r="G7123" t="s">
        <v>7311</v>
      </c>
    </row>
    <row r="7124" spans="7:7">
      <c r="G7124" t="s">
        <v>7312</v>
      </c>
    </row>
    <row r="7125" spans="7:7">
      <c r="G7125" t="s">
        <v>7313</v>
      </c>
    </row>
    <row r="7126" spans="7:7">
      <c r="G7126" t="s">
        <v>7314</v>
      </c>
    </row>
    <row r="7127" spans="7:7">
      <c r="G7127" t="s">
        <v>7315</v>
      </c>
    </row>
    <row r="7128" spans="7:7">
      <c r="G7128" t="s">
        <v>7316</v>
      </c>
    </row>
    <row r="7129" spans="7:7">
      <c r="G7129" t="s">
        <v>7317</v>
      </c>
    </row>
    <row r="7130" spans="7:7">
      <c r="G7130" t="s">
        <v>7318</v>
      </c>
    </row>
    <row r="7131" spans="7:7">
      <c r="G7131" t="s">
        <v>7319</v>
      </c>
    </row>
    <row r="7132" spans="7:7">
      <c r="G7132" t="s">
        <v>7320</v>
      </c>
    </row>
    <row r="7133" spans="7:7">
      <c r="G7133" t="s">
        <v>7321</v>
      </c>
    </row>
    <row r="7134" spans="7:7">
      <c r="G7134" t="s">
        <v>7322</v>
      </c>
    </row>
    <row r="7135" spans="7:7">
      <c r="G7135" t="s">
        <v>7323</v>
      </c>
    </row>
    <row r="7136" spans="7:7">
      <c r="G7136" t="s">
        <v>7324</v>
      </c>
    </row>
    <row r="7137" spans="7:7">
      <c r="G7137" t="s">
        <v>7325</v>
      </c>
    </row>
    <row r="7138" spans="7:7">
      <c r="G7138" t="s">
        <v>7326</v>
      </c>
    </row>
    <row r="7139" spans="7:7">
      <c r="G7139" t="s">
        <v>7327</v>
      </c>
    </row>
    <row r="7140" spans="7:7">
      <c r="G7140" t="s">
        <v>7328</v>
      </c>
    </row>
    <row r="7141" spans="7:7">
      <c r="G7141" t="s">
        <v>7329</v>
      </c>
    </row>
    <row r="7142" spans="7:7">
      <c r="G7142" t="s">
        <v>7330</v>
      </c>
    </row>
    <row r="7143" spans="7:7">
      <c r="G7143" t="s">
        <v>7331</v>
      </c>
    </row>
    <row r="7144" spans="7:7">
      <c r="G7144" t="s">
        <v>7332</v>
      </c>
    </row>
    <row r="7145" spans="7:7">
      <c r="G7145" t="s">
        <v>7333</v>
      </c>
    </row>
    <row r="7146" spans="7:7">
      <c r="G7146" t="s">
        <v>7334</v>
      </c>
    </row>
    <row r="7147" spans="7:7">
      <c r="G7147" t="s">
        <v>7335</v>
      </c>
    </row>
    <row r="7148" spans="7:7">
      <c r="G7148" t="s">
        <v>7336</v>
      </c>
    </row>
    <row r="7149" spans="7:7">
      <c r="G7149" t="s">
        <v>7337</v>
      </c>
    </row>
    <row r="7150" spans="7:7">
      <c r="G7150" t="s">
        <v>7338</v>
      </c>
    </row>
    <row r="7151" spans="7:7">
      <c r="G7151" t="s">
        <v>7339</v>
      </c>
    </row>
    <row r="7152" spans="7:7">
      <c r="G7152" t="s">
        <v>7340</v>
      </c>
    </row>
    <row r="7153" spans="7:7">
      <c r="G7153" t="s">
        <v>7341</v>
      </c>
    </row>
    <row r="7154" spans="7:7">
      <c r="G7154" t="s">
        <v>7342</v>
      </c>
    </row>
    <row r="7155" spans="7:7">
      <c r="G7155" t="s">
        <v>7343</v>
      </c>
    </row>
    <row r="7156" spans="7:7">
      <c r="G7156" t="s">
        <v>7344</v>
      </c>
    </row>
    <row r="7157" spans="7:7">
      <c r="G7157" t="s">
        <v>7345</v>
      </c>
    </row>
    <row r="7158" spans="7:7">
      <c r="G7158" t="s">
        <v>7346</v>
      </c>
    </row>
    <row r="7159" spans="7:7">
      <c r="G7159" t="s">
        <v>7347</v>
      </c>
    </row>
    <row r="7160" spans="7:7">
      <c r="G7160" t="s">
        <v>7348</v>
      </c>
    </row>
    <row r="7161" spans="7:7">
      <c r="G7161" t="s">
        <v>7349</v>
      </c>
    </row>
    <row r="7162" spans="7:7">
      <c r="G7162" t="s">
        <v>7350</v>
      </c>
    </row>
    <row r="7163" spans="7:7">
      <c r="G7163" t="s">
        <v>7351</v>
      </c>
    </row>
    <row r="7164" spans="7:7">
      <c r="G7164" t="s">
        <v>7352</v>
      </c>
    </row>
    <row r="7165" spans="7:7">
      <c r="G7165" t="s">
        <v>7353</v>
      </c>
    </row>
    <row r="7166" spans="7:7">
      <c r="G7166" t="s">
        <v>7354</v>
      </c>
    </row>
    <row r="7167" spans="7:7">
      <c r="G7167" t="s">
        <v>7355</v>
      </c>
    </row>
    <row r="7168" spans="7:7">
      <c r="G7168" t="s">
        <v>7356</v>
      </c>
    </row>
    <row r="7169" spans="7:7">
      <c r="G7169" t="s">
        <v>7357</v>
      </c>
    </row>
    <row r="7170" spans="7:7">
      <c r="G7170" t="s">
        <v>7358</v>
      </c>
    </row>
    <row r="7171" spans="7:7">
      <c r="G7171" t="s">
        <v>7359</v>
      </c>
    </row>
    <row r="7172" spans="7:7">
      <c r="G7172" t="s">
        <v>7360</v>
      </c>
    </row>
    <row r="7173" spans="7:7">
      <c r="G7173" t="s">
        <v>7361</v>
      </c>
    </row>
    <row r="7174" spans="7:7">
      <c r="G7174" t="s">
        <v>7362</v>
      </c>
    </row>
    <row r="7175" spans="7:7">
      <c r="G7175" t="s">
        <v>7363</v>
      </c>
    </row>
    <row r="7176" spans="7:7">
      <c r="G7176" t="s">
        <v>7364</v>
      </c>
    </row>
    <row r="7177" spans="7:7">
      <c r="G7177" t="s">
        <v>7365</v>
      </c>
    </row>
    <row r="7178" spans="7:7">
      <c r="G7178" t="s">
        <v>7366</v>
      </c>
    </row>
    <row r="7179" spans="7:7">
      <c r="G7179" t="s">
        <v>7367</v>
      </c>
    </row>
    <row r="7180" spans="7:7">
      <c r="G7180" t="s">
        <v>7368</v>
      </c>
    </row>
    <row r="7181" spans="7:7">
      <c r="G7181" t="s">
        <v>7369</v>
      </c>
    </row>
    <row r="7182" spans="7:7">
      <c r="G7182" t="s">
        <v>7370</v>
      </c>
    </row>
    <row r="7183" spans="7:7">
      <c r="G7183" t="s">
        <v>7371</v>
      </c>
    </row>
    <row r="7184" spans="7:7">
      <c r="G7184" t="s">
        <v>7372</v>
      </c>
    </row>
    <row r="7185" spans="7:7">
      <c r="G7185" t="s">
        <v>7373</v>
      </c>
    </row>
    <row r="7186" spans="7:7">
      <c r="G7186" t="s">
        <v>7374</v>
      </c>
    </row>
    <row r="7187" spans="7:7">
      <c r="G7187" t="s">
        <v>7375</v>
      </c>
    </row>
    <row r="7188" spans="7:7">
      <c r="G7188" t="s">
        <v>7376</v>
      </c>
    </row>
    <row r="7189" spans="7:7">
      <c r="G7189" t="s">
        <v>7377</v>
      </c>
    </row>
    <row r="7190" spans="7:7">
      <c r="G7190" t="s">
        <v>7378</v>
      </c>
    </row>
    <row r="7191" spans="7:7">
      <c r="G7191" t="s">
        <v>7379</v>
      </c>
    </row>
    <row r="7192" spans="7:7">
      <c r="G7192" t="s">
        <v>7380</v>
      </c>
    </row>
    <row r="7193" spans="7:7">
      <c r="G7193" t="s">
        <v>7381</v>
      </c>
    </row>
    <row r="7194" spans="7:7">
      <c r="G7194" t="s">
        <v>7382</v>
      </c>
    </row>
    <row r="7195" spans="7:7">
      <c r="G7195" t="s">
        <v>7383</v>
      </c>
    </row>
    <row r="7196" spans="7:7">
      <c r="G7196" t="s">
        <v>7384</v>
      </c>
    </row>
    <row r="7197" spans="7:7">
      <c r="G7197" t="s">
        <v>7385</v>
      </c>
    </row>
    <row r="7198" spans="7:7">
      <c r="G7198" t="s">
        <v>7386</v>
      </c>
    </row>
    <row r="7199" spans="7:7">
      <c r="G7199" t="s">
        <v>7387</v>
      </c>
    </row>
    <row r="7200" spans="7:7">
      <c r="G7200" t="s">
        <v>7388</v>
      </c>
    </row>
    <row r="7201" spans="7:7">
      <c r="G7201" t="s">
        <v>7389</v>
      </c>
    </row>
    <row r="7202" spans="7:7">
      <c r="G7202" t="s">
        <v>7390</v>
      </c>
    </row>
    <row r="7203" spans="7:7">
      <c r="G7203" t="s">
        <v>7391</v>
      </c>
    </row>
    <row r="7204" spans="7:7">
      <c r="G7204" t="s">
        <v>7392</v>
      </c>
    </row>
    <row r="7205" spans="7:7">
      <c r="G7205" t="s">
        <v>7393</v>
      </c>
    </row>
    <row r="7206" spans="7:7">
      <c r="G7206" t="s">
        <v>7394</v>
      </c>
    </row>
    <row r="7207" spans="7:7">
      <c r="G7207" t="s">
        <v>7395</v>
      </c>
    </row>
    <row r="7208" spans="7:7">
      <c r="G7208" t="s">
        <v>7396</v>
      </c>
    </row>
    <row r="7209" spans="7:7">
      <c r="G7209" t="s">
        <v>7397</v>
      </c>
    </row>
    <row r="7210" spans="7:7">
      <c r="G7210" t="s">
        <v>7398</v>
      </c>
    </row>
    <row r="7211" spans="7:7">
      <c r="G7211" t="s">
        <v>7399</v>
      </c>
    </row>
    <row r="7212" spans="7:7">
      <c r="G7212" t="s">
        <v>7400</v>
      </c>
    </row>
    <row r="7213" spans="7:7">
      <c r="G7213" t="s">
        <v>7401</v>
      </c>
    </row>
    <row r="7214" spans="7:7">
      <c r="G7214" t="s">
        <v>7402</v>
      </c>
    </row>
    <row r="7215" spans="7:7">
      <c r="G7215" t="s">
        <v>7403</v>
      </c>
    </row>
    <row r="7216" spans="7:7">
      <c r="G7216" t="s">
        <v>7404</v>
      </c>
    </row>
    <row r="7217" spans="7:7">
      <c r="G7217" t="s">
        <v>7405</v>
      </c>
    </row>
    <row r="7218" spans="7:7">
      <c r="G7218" t="s">
        <v>7406</v>
      </c>
    </row>
    <row r="7219" spans="7:7">
      <c r="G7219" t="s">
        <v>7407</v>
      </c>
    </row>
    <row r="7220" spans="7:7">
      <c r="G7220" t="s">
        <v>7408</v>
      </c>
    </row>
    <row r="7221" spans="7:7">
      <c r="G7221" t="s">
        <v>7409</v>
      </c>
    </row>
    <row r="7222" spans="7:7">
      <c r="G7222" t="s">
        <v>7410</v>
      </c>
    </row>
    <row r="7223" spans="7:7">
      <c r="G7223" t="s">
        <v>7411</v>
      </c>
    </row>
    <row r="7224" spans="7:7">
      <c r="G7224" t="s">
        <v>7412</v>
      </c>
    </row>
    <row r="7225" spans="7:7">
      <c r="G7225" t="s">
        <v>7413</v>
      </c>
    </row>
    <row r="7226" spans="7:7">
      <c r="G7226" t="s">
        <v>7414</v>
      </c>
    </row>
    <row r="7227" spans="7:7">
      <c r="G7227" t="s">
        <v>7415</v>
      </c>
    </row>
    <row r="7228" spans="7:7">
      <c r="G7228" t="s">
        <v>7416</v>
      </c>
    </row>
    <row r="7229" spans="7:7">
      <c r="G7229" t="s">
        <v>7417</v>
      </c>
    </row>
    <row r="7230" spans="7:7">
      <c r="G7230" t="s">
        <v>7418</v>
      </c>
    </row>
    <row r="7231" spans="7:7">
      <c r="G7231" t="s">
        <v>7419</v>
      </c>
    </row>
    <row r="7232" spans="7:7">
      <c r="G7232" t="s">
        <v>7420</v>
      </c>
    </row>
    <row r="7233" spans="7:7">
      <c r="G7233" t="s">
        <v>7421</v>
      </c>
    </row>
    <row r="7234" spans="7:7">
      <c r="G7234" t="s">
        <v>7422</v>
      </c>
    </row>
    <row r="7235" spans="7:7">
      <c r="G7235" t="s">
        <v>7423</v>
      </c>
    </row>
    <row r="7236" spans="7:7">
      <c r="G7236" t="s">
        <v>7424</v>
      </c>
    </row>
    <row r="7237" spans="7:7">
      <c r="G7237" t="s">
        <v>7425</v>
      </c>
    </row>
    <row r="7238" spans="7:7">
      <c r="G7238" t="s">
        <v>7426</v>
      </c>
    </row>
    <row r="7239" spans="7:7">
      <c r="G7239" t="s">
        <v>7427</v>
      </c>
    </row>
    <row r="7240" spans="7:7">
      <c r="G7240" t="s">
        <v>7428</v>
      </c>
    </row>
    <row r="7241" spans="7:7">
      <c r="G7241" t="s">
        <v>7429</v>
      </c>
    </row>
    <row r="7242" spans="7:7">
      <c r="G7242" t="s">
        <v>7430</v>
      </c>
    </row>
    <row r="7243" spans="7:7">
      <c r="G7243" t="s">
        <v>7431</v>
      </c>
    </row>
    <row r="7244" spans="7:7">
      <c r="G7244" t="s">
        <v>7432</v>
      </c>
    </row>
    <row r="7245" spans="7:7">
      <c r="G7245" t="s">
        <v>7433</v>
      </c>
    </row>
    <row r="7246" spans="7:7">
      <c r="G7246" t="s">
        <v>7434</v>
      </c>
    </row>
    <row r="7247" spans="7:7">
      <c r="G7247" t="s">
        <v>7435</v>
      </c>
    </row>
    <row r="7248" spans="7:7">
      <c r="G7248" t="s">
        <v>7436</v>
      </c>
    </row>
    <row r="7249" spans="7:7">
      <c r="G7249" t="s">
        <v>7437</v>
      </c>
    </row>
    <row r="7250" spans="7:7">
      <c r="G7250" t="s">
        <v>7438</v>
      </c>
    </row>
    <row r="7251" spans="7:7">
      <c r="G7251" t="s">
        <v>7439</v>
      </c>
    </row>
    <row r="7252" spans="7:7">
      <c r="G7252" t="s">
        <v>7440</v>
      </c>
    </row>
    <row r="7253" spans="7:7">
      <c r="G7253" t="s">
        <v>7441</v>
      </c>
    </row>
    <row r="7254" spans="7:7">
      <c r="G7254" t="s">
        <v>7442</v>
      </c>
    </row>
    <row r="7255" spans="7:7">
      <c r="G7255" t="s">
        <v>7443</v>
      </c>
    </row>
    <row r="7256" spans="7:7">
      <c r="G7256" t="s">
        <v>7444</v>
      </c>
    </row>
    <row r="7257" spans="7:7">
      <c r="G7257" t="s">
        <v>7445</v>
      </c>
    </row>
    <row r="7258" spans="7:7">
      <c r="G7258" t="s">
        <v>7446</v>
      </c>
    </row>
    <row r="7259" spans="7:7">
      <c r="G7259" t="s">
        <v>7447</v>
      </c>
    </row>
    <row r="7260" spans="7:7">
      <c r="G7260" t="s">
        <v>7448</v>
      </c>
    </row>
    <row r="7261" spans="7:7">
      <c r="G7261" t="s">
        <v>7449</v>
      </c>
    </row>
    <row r="7262" spans="7:7">
      <c r="G7262" t="s">
        <v>7450</v>
      </c>
    </row>
    <row r="7263" spans="7:7">
      <c r="G7263" t="s">
        <v>7451</v>
      </c>
    </row>
    <row r="7264" spans="7:7">
      <c r="G7264" t="s">
        <v>7452</v>
      </c>
    </row>
    <row r="7265" spans="7:7">
      <c r="G7265" t="s">
        <v>7453</v>
      </c>
    </row>
    <row r="7266" spans="7:7">
      <c r="G7266" t="s">
        <v>7454</v>
      </c>
    </row>
    <row r="7267" spans="7:7">
      <c r="G7267" t="s">
        <v>7455</v>
      </c>
    </row>
    <row r="7268" spans="7:7">
      <c r="G7268" t="s">
        <v>7456</v>
      </c>
    </row>
    <row r="7269" spans="7:7">
      <c r="G7269" t="s">
        <v>7457</v>
      </c>
    </row>
    <row r="7270" spans="7:7">
      <c r="G7270" t="s">
        <v>7458</v>
      </c>
    </row>
    <row r="7271" spans="7:7">
      <c r="G7271" t="s">
        <v>7459</v>
      </c>
    </row>
    <row r="7272" spans="7:7">
      <c r="G7272" t="s">
        <v>7460</v>
      </c>
    </row>
    <row r="7273" spans="7:7">
      <c r="G7273" t="s">
        <v>7461</v>
      </c>
    </row>
    <row r="7274" spans="7:7">
      <c r="G7274" t="s">
        <v>7462</v>
      </c>
    </row>
    <row r="7275" spans="7:7">
      <c r="G7275" t="s">
        <v>7463</v>
      </c>
    </row>
    <row r="7276" spans="7:7">
      <c r="G7276" t="s">
        <v>7464</v>
      </c>
    </row>
    <row r="7277" spans="7:7">
      <c r="G7277" t="s">
        <v>7465</v>
      </c>
    </row>
    <row r="7278" spans="7:7">
      <c r="G7278" t="s">
        <v>7466</v>
      </c>
    </row>
    <row r="7279" spans="7:7">
      <c r="G7279" t="s">
        <v>7467</v>
      </c>
    </row>
    <row r="7280" spans="7:7">
      <c r="G7280" t="s">
        <v>7468</v>
      </c>
    </row>
    <row r="7281" spans="7:7">
      <c r="G7281" t="s">
        <v>7469</v>
      </c>
    </row>
    <row r="7282" spans="7:7">
      <c r="G7282" t="s">
        <v>7470</v>
      </c>
    </row>
    <row r="7283" spans="7:7">
      <c r="G7283" t="s">
        <v>7471</v>
      </c>
    </row>
    <row r="7284" spans="7:7">
      <c r="G7284" t="s">
        <v>7472</v>
      </c>
    </row>
    <row r="7285" spans="7:7">
      <c r="G7285" t="s">
        <v>7473</v>
      </c>
    </row>
    <row r="7286" spans="7:7">
      <c r="G7286" t="s">
        <v>7474</v>
      </c>
    </row>
    <row r="7287" spans="7:7">
      <c r="G7287" t="s">
        <v>7475</v>
      </c>
    </row>
    <row r="7288" spans="7:7">
      <c r="G7288" t="s">
        <v>7476</v>
      </c>
    </row>
    <row r="7289" spans="7:7">
      <c r="G7289" t="s">
        <v>7477</v>
      </c>
    </row>
    <row r="7290" spans="7:7">
      <c r="G7290" t="s">
        <v>7478</v>
      </c>
    </row>
    <row r="7291" spans="7:7">
      <c r="G7291" t="s">
        <v>7479</v>
      </c>
    </row>
    <row r="7292" spans="7:7">
      <c r="G7292" t="s">
        <v>7480</v>
      </c>
    </row>
    <row r="7293" spans="7:7">
      <c r="G7293" t="s">
        <v>7481</v>
      </c>
    </row>
    <row r="7294" spans="7:7">
      <c r="G7294" t="s">
        <v>7482</v>
      </c>
    </row>
    <row r="7295" spans="7:7">
      <c r="G7295" t="s">
        <v>7483</v>
      </c>
    </row>
    <row r="7296" spans="7:7">
      <c r="G7296" t="s">
        <v>7484</v>
      </c>
    </row>
    <row r="7297" spans="7:7">
      <c r="G7297" t="s">
        <v>7485</v>
      </c>
    </row>
    <row r="7298" spans="7:7">
      <c r="G7298" t="s">
        <v>7486</v>
      </c>
    </row>
    <row r="7299" spans="7:7">
      <c r="G7299" t="s">
        <v>7487</v>
      </c>
    </row>
    <row r="7300" spans="7:7">
      <c r="G7300" t="s">
        <v>7488</v>
      </c>
    </row>
    <row r="7301" spans="7:7">
      <c r="G7301" t="s">
        <v>7489</v>
      </c>
    </row>
    <row r="7302" spans="7:7">
      <c r="G7302" t="s">
        <v>7490</v>
      </c>
    </row>
    <row r="7303" spans="7:7">
      <c r="G7303" t="s">
        <v>7491</v>
      </c>
    </row>
    <row r="7304" spans="7:7">
      <c r="G7304" t="s">
        <v>7492</v>
      </c>
    </row>
    <row r="7305" spans="7:7">
      <c r="G7305" t="s">
        <v>7493</v>
      </c>
    </row>
    <row r="7306" spans="7:7">
      <c r="G7306" t="s">
        <v>7494</v>
      </c>
    </row>
    <row r="7307" spans="7:7">
      <c r="G7307" t="s">
        <v>7495</v>
      </c>
    </row>
    <row r="7308" spans="7:7">
      <c r="G7308" t="s">
        <v>7496</v>
      </c>
    </row>
    <row r="7309" spans="7:7">
      <c r="G7309" t="s">
        <v>7497</v>
      </c>
    </row>
    <row r="7310" spans="7:7">
      <c r="G7310" t="s">
        <v>7498</v>
      </c>
    </row>
    <row r="7311" spans="7:7">
      <c r="G7311" t="s">
        <v>7499</v>
      </c>
    </row>
    <row r="7312" spans="7:7">
      <c r="G7312" t="s">
        <v>7500</v>
      </c>
    </row>
    <row r="7313" spans="7:7">
      <c r="G7313" t="s">
        <v>7501</v>
      </c>
    </row>
    <row r="7314" spans="7:7">
      <c r="G7314" t="s">
        <v>7502</v>
      </c>
    </row>
    <row r="7315" spans="7:7">
      <c r="G7315" t="s">
        <v>7503</v>
      </c>
    </row>
    <row r="7316" spans="7:7">
      <c r="G7316" t="s">
        <v>7504</v>
      </c>
    </row>
    <row r="7317" spans="7:7">
      <c r="G7317" t="s">
        <v>7505</v>
      </c>
    </row>
    <row r="7318" spans="7:7">
      <c r="G7318" t="s">
        <v>7506</v>
      </c>
    </row>
    <row r="7319" spans="7:7">
      <c r="G7319" t="s">
        <v>7507</v>
      </c>
    </row>
    <row r="7320" spans="7:7">
      <c r="G7320" t="s">
        <v>7508</v>
      </c>
    </row>
    <row r="7321" spans="7:7">
      <c r="G7321" t="s">
        <v>7509</v>
      </c>
    </row>
    <row r="7322" spans="7:7">
      <c r="G7322" t="s">
        <v>7510</v>
      </c>
    </row>
    <row r="7323" spans="7:7">
      <c r="G7323" t="s">
        <v>7511</v>
      </c>
    </row>
    <row r="7324" spans="7:7">
      <c r="G7324" t="s">
        <v>7512</v>
      </c>
    </row>
    <row r="7325" spans="7:7">
      <c r="G7325" t="s">
        <v>7513</v>
      </c>
    </row>
    <row r="7326" spans="7:7">
      <c r="G7326" t="s">
        <v>7514</v>
      </c>
    </row>
    <row r="7327" spans="7:7">
      <c r="G7327" t="s">
        <v>7515</v>
      </c>
    </row>
    <row r="7328" spans="7:7">
      <c r="G7328" t="s">
        <v>7516</v>
      </c>
    </row>
    <row r="7329" spans="7:7">
      <c r="G7329" t="s">
        <v>7517</v>
      </c>
    </row>
    <row r="7330" spans="7:7">
      <c r="G7330" t="s">
        <v>7518</v>
      </c>
    </row>
    <row r="7331" spans="7:7">
      <c r="G7331" t="s">
        <v>7519</v>
      </c>
    </row>
    <row r="7332" spans="7:7">
      <c r="G7332" t="s">
        <v>7520</v>
      </c>
    </row>
    <row r="7333" spans="7:7">
      <c r="G7333" t="s">
        <v>7521</v>
      </c>
    </row>
    <row r="7334" spans="7:7">
      <c r="G7334" t="s">
        <v>7522</v>
      </c>
    </row>
    <row r="7335" spans="7:7">
      <c r="G7335" t="s">
        <v>7523</v>
      </c>
    </row>
    <row r="7336" spans="7:7">
      <c r="G7336" t="s">
        <v>7524</v>
      </c>
    </row>
    <row r="7337" spans="7:7">
      <c r="G7337" t="s">
        <v>7525</v>
      </c>
    </row>
    <row r="7338" spans="7:7">
      <c r="G7338" t="s">
        <v>7526</v>
      </c>
    </row>
    <row r="7339" spans="7:7">
      <c r="G7339" t="s">
        <v>7527</v>
      </c>
    </row>
    <row r="7340" spans="7:7">
      <c r="G7340" t="s">
        <v>7528</v>
      </c>
    </row>
    <row r="7341" spans="7:7">
      <c r="G7341" t="s">
        <v>7529</v>
      </c>
    </row>
    <row r="7342" spans="7:7">
      <c r="G7342" t="s">
        <v>7530</v>
      </c>
    </row>
    <row r="7343" spans="7:7">
      <c r="G7343" t="s">
        <v>7531</v>
      </c>
    </row>
    <row r="7344" spans="7:7">
      <c r="G7344" t="s">
        <v>7532</v>
      </c>
    </row>
    <row r="7345" spans="7:7">
      <c r="G7345" t="s">
        <v>7533</v>
      </c>
    </row>
    <row r="7346" spans="7:7">
      <c r="G7346" t="s">
        <v>7534</v>
      </c>
    </row>
    <row r="7347" spans="7:7">
      <c r="G7347" t="s">
        <v>7535</v>
      </c>
    </row>
    <row r="7348" spans="7:7">
      <c r="G7348" t="s">
        <v>7536</v>
      </c>
    </row>
    <row r="7349" spans="7:7">
      <c r="G7349" t="s">
        <v>7537</v>
      </c>
    </row>
    <row r="7350" spans="7:7">
      <c r="G7350" t="s">
        <v>7538</v>
      </c>
    </row>
    <row r="7351" spans="7:7">
      <c r="G7351" t="s">
        <v>7539</v>
      </c>
    </row>
    <row r="7352" spans="7:7">
      <c r="G7352" t="s">
        <v>7540</v>
      </c>
    </row>
    <row r="7353" spans="7:7">
      <c r="G7353" t="s">
        <v>7541</v>
      </c>
    </row>
    <row r="7354" spans="7:7">
      <c r="G7354" t="s">
        <v>7542</v>
      </c>
    </row>
    <row r="7355" spans="7:7">
      <c r="G7355" t="s">
        <v>7543</v>
      </c>
    </row>
    <row r="7356" spans="7:7">
      <c r="G7356" t="s">
        <v>7544</v>
      </c>
    </row>
    <row r="7357" spans="7:7">
      <c r="G7357" t="s">
        <v>7545</v>
      </c>
    </row>
    <row r="7358" spans="7:7">
      <c r="G7358" t="s">
        <v>7546</v>
      </c>
    </row>
    <row r="7359" spans="7:7">
      <c r="G7359" t="s">
        <v>7547</v>
      </c>
    </row>
    <row r="7360" spans="7:7">
      <c r="G7360" t="s">
        <v>7548</v>
      </c>
    </row>
    <row r="7361" spans="7:7">
      <c r="G7361" t="s">
        <v>7549</v>
      </c>
    </row>
    <row r="7362" spans="7:7">
      <c r="G7362" t="s">
        <v>7550</v>
      </c>
    </row>
    <row r="7363" spans="7:7">
      <c r="G7363" t="s">
        <v>7551</v>
      </c>
    </row>
    <row r="7364" spans="7:7">
      <c r="G7364" t="s">
        <v>7552</v>
      </c>
    </row>
    <row r="7365" spans="7:7">
      <c r="G7365" t="s">
        <v>7553</v>
      </c>
    </row>
    <row r="7366" spans="7:7">
      <c r="G7366" t="s">
        <v>7554</v>
      </c>
    </row>
    <row r="7367" spans="7:7">
      <c r="G7367" t="s">
        <v>7555</v>
      </c>
    </row>
    <row r="7368" spans="7:7">
      <c r="G7368" t="s">
        <v>7556</v>
      </c>
    </row>
    <row r="7369" spans="7:7">
      <c r="G7369" t="s">
        <v>7557</v>
      </c>
    </row>
    <row r="7370" spans="7:7">
      <c r="G7370" t="s">
        <v>7558</v>
      </c>
    </row>
    <row r="7371" spans="7:7">
      <c r="G7371" t="s">
        <v>7559</v>
      </c>
    </row>
    <row r="7372" spans="7:7">
      <c r="G7372" t="s">
        <v>7560</v>
      </c>
    </row>
    <row r="7373" spans="7:7">
      <c r="G7373" t="s">
        <v>7561</v>
      </c>
    </row>
    <row r="7374" spans="7:7">
      <c r="G7374" t="s">
        <v>7562</v>
      </c>
    </row>
    <row r="7375" spans="7:7">
      <c r="G7375" t="s">
        <v>7563</v>
      </c>
    </row>
    <row r="7376" spans="7:7">
      <c r="G7376" t="s">
        <v>7564</v>
      </c>
    </row>
    <row r="7377" spans="7:7">
      <c r="G7377" t="s">
        <v>7565</v>
      </c>
    </row>
    <row r="7378" spans="7:7">
      <c r="G7378" t="s">
        <v>7566</v>
      </c>
    </row>
    <row r="7379" spans="7:7">
      <c r="G7379" t="s">
        <v>7567</v>
      </c>
    </row>
    <row r="7380" spans="7:7">
      <c r="G7380" t="s">
        <v>7568</v>
      </c>
    </row>
    <row r="7381" spans="7:7">
      <c r="G7381" t="s">
        <v>7569</v>
      </c>
    </row>
    <row r="7382" spans="7:7">
      <c r="G7382" t="s">
        <v>7570</v>
      </c>
    </row>
    <row r="7383" spans="7:7">
      <c r="G7383" t="s">
        <v>7571</v>
      </c>
    </row>
    <row r="7384" spans="7:7">
      <c r="G7384" t="s">
        <v>7572</v>
      </c>
    </row>
    <row r="7385" spans="7:7">
      <c r="G7385" t="s">
        <v>7573</v>
      </c>
    </row>
    <row r="7386" spans="7:7">
      <c r="G7386" t="s">
        <v>7574</v>
      </c>
    </row>
    <row r="7387" spans="7:7">
      <c r="G7387" t="s">
        <v>7575</v>
      </c>
    </row>
    <row r="7388" spans="7:7">
      <c r="G7388" t="s">
        <v>7576</v>
      </c>
    </row>
    <row r="7389" spans="7:7">
      <c r="G7389" t="s">
        <v>7577</v>
      </c>
    </row>
    <row r="7390" spans="7:7">
      <c r="G7390" t="s">
        <v>7578</v>
      </c>
    </row>
    <row r="7391" spans="7:7">
      <c r="G7391" t="s">
        <v>7579</v>
      </c>
    </row>
    <row r="7392" spans="7:7">
      <c r="G7392" t="s">
        <v>7580</v>
      </c>
    </row>
    <row r="7393" spans="7:7">
      <c r="G7393" t="s">
        <v>7581</v>
      </c>
    </row>
    <row r="7394" spans="7:7">
      <c r="G7394" t="s">
        <v>7582</v>
      </c>
    </row>
    <row r="7395" spans="7:7">
      <c r="G7395" t="s">
        <v>7583</v>
      </c>
    </row>
    <row r="7396" spans="7:7">
      <c r="G7396" t="s">
        <v>7584</v>
      </c>
    </row>
    <row r="7397" spans="7:7">
      <c r="G7397" t="s">
        <v>7585</v>
      </c>
    </row>
    <row r="7398" spans="7:7">
      <c r="G7398" t="s">
        <v>7586</v>
      </c>
    </row>
    <row r="7399" spans="7:7">
      <c r="G7399" t="s">
        <v>7587</v>
      </c>
    </row>
    <row r="7400" spans="7:7">
      <c r="G7400" t="s">
        <v>7588</v>
      </c>
    </row>
    <row r="7401" spans="7:7">
      <c r="G7401" t="s">
        <v>7589</v>
      </c>
    </row>
    <row r="7402" spans="7:7">
      <c r="G7402" t="s">
        <v>7590</v>
      </c>
    </row>
    <row r="7403" spans="7:7">
      <c r="G7403" t="s">
        <v>7591</v>
      </c>
    </row>
    <row r="7404" spans="7:7">
      <c r="G7404" t="s">
        <v>7592</v>
      </c>
    </row>
    <row r="7405" spans="7:7">
      <c r="G7405" t="s">
        <v>7593</v>
      </c>
    </row>
    <row r="7406" spans="7:7">
      <c r="G7406" t="s">
        <v>7594</v>
      </c>
    </row>
    <row r="7407" spans="7:7">
      <c r="G7407" t="s">
        <v>7595</v>
      </c>
    </row>
    <row r="7408" spans="7:7">
      <c r="G7408" t="s">
        <v>7596</v>
      </c>
    </row>
    <row r="7409" spans="7:7">
      <c r="G7409" t="s">
        <v>7597</v>
      </c>
    </row>
    <row r="7410" spans="7:7">
      <c r="G7410" t="s">
        <v>7598</v>
      </c>
    </row>
    <row r="7411" spans="7:7">
      <c r="G7411" t="s">
        <v>7599</v>
      </c>
    </row>
    <row r="7412" spans="7:7">
      <c r="G7412" t="s">
        <v>7600</v>
      </c>
    </row>
    <row r="7413" spans="7:7">
      <c r="G7413" t="s">
        <v>7601</v>
      </c>
    </row>
    <row r="7414" spans="7:7">
      <c r="G7414" t="s">
        <v>7602</v>
      </c>
    </row>
    <row r="7415" spans="7:7">
      <c r="G7415" t="s">
        <v>7603</v>
      </c>
    </row>
    <row r="7416" spans="7:7">
      <c r="G7416" t="s">
        <v>7604</v>
      </c>
    </row>
    <row r="7417" spans="7:7">
      <c r="G7417" t="s">
        <v>7605</v>
      </c>
    </row>
    <row r="7418" spans="7:7">
      <c r="G7418" t="s">
        <v>7606</v>
      </c>
    </row>
    <row r="7419" spans="7:7">
      <c r="G7419" t="s">
        <v>7607</v>
      </c>
    </row>
    <row r="7420" spans="7:7">
      <c r="G7420" t="s">
        <v>7608</v>
      </c>
    </row>
    <row r="7421" spans="7:7">
      <c r="G7421" t="s">
        <v>7609</v>
      </c>
    </row>
    <row r="7422" spans="7:7">
      <c r="G7422" t="s">
        <v>7610</v>
      </c>
    </row>
    <row r="7423" spans="7:7">
      <c r="G7423" t="s">
        <v>7611</v>
      </c>
    </row>
    <row r="7424" spans="7:7">
      <c r="G7424" t="s">
        <v>7612</v>
      </c>
    </row>
    <row r="7425" spans="7:7">
      <c r="G7425" t="s">
        <v>7613</v>
      </c>
    </row>
    <row r="7426" spans="7:7">
      <c r="G7426" t="s">
        <v>7614</v>
      </c>
    </row>
    <row r="7427" spans="7:7">
      <c r="G7427" t="s">
        <v>7615</v>
      </c>
    </row>
    <row r="7428" spans="7:7">
      <c r="G7428" t="s">
        <v>7616</v>
      </c>
    </row>
    <row r="7429" spans="7:7">
      <c r="G7429" t="s">
        <v>7617</v>
      </c>
    </row>
    <row r="7430" spans="7:7">
      <c r="G7430" t="s">
        <v>7618</v>
      </c>
    </row>
    <row r="7431" spans="7:7">
      <c r="G7431" t="s">
        <v>7619</v>
      </c>
    </row>
    <row r="7432" spans="7:7">
      <c r="G7432" t="s">
        <v>7620</v>
      </c>
    </row>
    <row r="7433" spans="7:7">
      <c r="G7433" t="s">
        <v>7621</v>
      </c>
    </row>
    <row r="7434" spans="7:7">
      <c r="G7434" t="s">
        <v>7622</v>
      </c>
    </row>
    <row r="7435" spans="7:7">
      <c r="G7435" t="s">
        <v>7623</v>
      </c>
    </row>
    <row r="7436" spans="7:7">
      <c r="G7436" t="s">
        <v>7624</v>
      </c>
    </row>
    <row r="7437" spans="7:7">
      <c r="G7437" t="s">
        <v>7625</v>
      </c>
    </row>
    <row r="7438" spans="7:7">
      <c r="G7438" t="s">
        <v>7626</v>
      </c>
    </row>
    <row r="7439" spans="7:7">
      <c r="G7439" t="s">
        <v>7627</v>
      </c>
    </row>
    <row r="7440" spans="7:7">
      <c r="G7440" t="s">
        <v>7628</v>
      </c>
    </row>
    <row r="7441" spans="7:7">
      <c r="G7441" t="s">
        <v>7629</v>
      </c>
    </row>
    <row r="7442" spans="7:7">
      <c r="G7442" t="s">
        <v>7630</v>
      </c>
    </row>
    <row r="7443" spans="7:7">
      <c r="G7443" t="s">
        <v>7631</v>
      </c>
    </row>
    <row r="7444" spans="7:7">
      <c r="G7444" t="s">
        <v>7632</v>
      </c>
    </row>
    <row r="7445" spans="7:7">
      <c r="G7445" t="s">
        <v>7633</v>
      </c>
    </row>
    <row r="7446" spans="7:7">
      <c r="G7446" t="s">
        <v>7634</v>
      </c>
    </row>
    <row r="7447" spans="7:7">
      <c r="G7447" t="s">
        <v>7635</v>
      </c>
    </row>
    <row r="7448" spans="7:7">
      <c r="G7448" t="s">
        <v>7636</v>
      </c>
    </row>
    <row r="7449" spans="7:7">
      <c r="G7449" t="s">
        <v>7637</v>
      </c>
    </row>
    <row r="7450" spans="7:7">
      <c r="G7450" t="s">
        <v>7638</v>
      </c>
    </row>
    <row r="7451" spans="7:7">
      <c r="G7451" t="s">
        <v>7639</v>
      </c>
    </row>
    <row r="7452" spans="7:7">
      <c r="G7452" t="s">
        <v>7640</v>
      </c>
    </row>
    <row r="7453" spans="7:7">
      <c r="G7453" t="s">
        <v>7641</v>
      </c>
    </row>
    <row r="7454" spans="7:7">
      <c r="G7454" t="s">
        <v>7642</v>
      </c>
    </row>
    <row r="7455" spans="7:7">
      <c r="G7455" t="s">
        <v>7643</v>
      </c>
    </row>
    <row r="7456" spans="7:7">
      <c r="G7456" t="s">
        <v>7644</v>
      </c>
    </row>
    <row r="7457" spans="7:7">
      <c r="G7457" t="s">
        <v>7645</v>
      </c>
    </row>
    <row r="7458" spans="7:7">
      <c r="G7458" t="s">
        <v>7646</v>
      </c>
    </row>
    <row r="7459" spans="7:7">
      <c r="G7459" t="s">
        <v>7647</v>
      </c>
    </row>
    <row r="7460" spans="7:7">
      <c r="G7460" t="s">
        <v>7648</v>
      </c>
    </row>
    <row r="7461" spans="7:7">
      <c r="G7461" t="s">
        <v>7649</v>
      </c>
    </row>
    <row r="7462" spans="7:7">
      <c r="G7462" t="s">
        <v>7650</v>
      </c>
    </row>
    <row r="7463" spans="7:7">
      <c r="G7463" t="s">
        <v>7651</v>
      </c>
    </row>
    <row r="7464" spans="7:7">
      <c r="G7464" t="s">
        <v>7652</v>
      </c>
    </row>
    <row r="7465" spans="7:7">
      <c r="G7465" t="s">
        <v>7653</v>
      </c>
    </row>
    <row r="7466" spans="7:7">
      <c r="G7466" t="s">
        <v>7654</v>
      </c>
    </row>
    <row r="7467" spans="7:7">
      <c r="G7467" t="s">
        <v>7655</v>
      </c>
    </row>
    <row r="7468" spans="7:7">
      <c r="G7468" t="s">
        <v>7656</v>
      </c>
    </row>
    <row r="7469" spans="7:7">
      <c r="G7469" t="s">
        <v>7657</v>
      </c>
    </row>
    <row r="7470" spans="7:7">
      <c r="G7470" t="s">
        <v>7658</v>
      </c>
    </row>
    <row r="7471" spans="7:7">
      <c r="G7471" t="s">
        <v>7659</v>
      </c>
    </row>
    <row r="7472" spans="7:7">
      <c r="G7472" t="s">
        <v>7660</v>
      </c>
    </row>
    <row r="7473" spans="7:7">
      <c r="G7473" t="s">
        <v>7661</v>
      </c>
    </row>
    <row r="7474" spans="7:7">
      <c r="G7474" t="s">
        <v>7662</v>
      </c>
    </row>
    <row r="7475" spans="7:7">
      <c r="G7475" t="s">
        <v>7663</v>
      </c>
    </row>
    <row r="7476" spans="7:7">
      <c r="G7476" t="s">
        <v>7664</v>
      </c>
    </row>
    <row r="7477" spans="7:7">
      <c r="G7477" t="s">
        <v>7665</v>
      </c>
    </row>
    <row r="7478" spans="7:7">
      <c r="G7478" t="s">
        <v>7666</v>
      </c>
    </row>
    <row r="7479" spans="7:7">
      <c r="G7479" t="s">
        <v>7667</v>
      </c>
    </row>
    <row r="7480" spans="7:7">
      <c r="G7480" t="s">
        <v>7668</v>
      </c>
    </row>
    <row r="7481" spans="7:7">
      <c r="G7481" t="s">
        <v>7669</v>
      </c>
    </row>
    <row r="7482" spans="7:7">
      <c r="G7482" t="s">
        <v>7670</v>
      </c>
    </row>
    <row r="7483" spans="7:7">
      <c r="G7483" t="s">
        <v>7671</v>
      </c>
    </row>
    <row r="7484" spans="7:7">
      <c r="G7484" t="s">
        <v>7672</v>
      </c>
    </row>
    <row r="7485" spans="7:7">
      <c r="G7485" t="s">
        <v>7673</v>
      </c>
    </row>
    <row r="7486" spans="7:7">
      <c r="G7486" t="s">
        <v>7674</v>
      </c>
    </row>
    <row r="7487" spans="7:7">
      <c r="G7487" t="s">
        <v>7675</v>
      </c>
    </row>
    <row r="7488" spans="7:7">
      <c r="G7488" t="s">
        <v>7676</v>
      </c>
    </row>
    <row r="7489" spans="7:7">
      <c r="G7489" t="s">
        <v>7677</v>
      </c>
    </row>
    <row r="7490" spans="7:7">
      <c r="G7490" t="s">
        <v>7678</v>
      </c>
    </row>
    <row r="7491" spans="7:7">
      <c r="G7491" t="s">
        <v>7679</v>
      </c>
    </row>
    <row r="7492" spans="7:7">
      <c r="G7492" t="s">
        <v>7680</v>
      </c>
    </row>
    <row r="7493" spans="7:7">
      <c r="G7493" t="s">
        <v>7681</v>
      </c>
    </row>
    <row r="7494" spans="7:7">
      <c r="G7494" t="s">
        <v>7682</v>
      </c>
    </row>
    <row r="7495" spans="7:7">
      <c r="G7495" t="s">
        <v>7683</v>
      </c>
    </row>
    <row r="7496" spans="7:7">
      <c r="G7496" t="s">
        <v>7684</v>
      </c>
    </row>
    <row r="7497" spans="7:7">
      <c r="G7497" t="s">
        <v>7685</v>
      </c>
    </row>
    <row r="7498" spans="7:7">
      <c r="G7498" t="s">
        <v>7686</v>
      </c>
    </row>
    <row r="7499" spans="7:7">
      <c r="G7499" t="s">
        <v>7687</v>
      </c>
    </row>
    <row r="7500" spans="7:7">
      <c r="G7500" t="s">
        <v>7688</v>
      </c>
    </row>
    <row r="7501" spans="7:7">
      <c r="G7501" t="s">
        <v>7689</v>
      </c>
    </row>
    <row r="7502" spans="7:7">
      <c r="G7502" t="s">
        <v>7690</v>
      </c>
    </row>
    <row r="7503" spans="7:7">
      <c r="G7503" t="s">
        <v>7691</v>
      </c>
    </row>
    <row r="7504" spans="7:7">
      <c r="G7504" t="s">
        <v>7692</v>
      </c>
    </row>
    <row r="7505" spans="7:7">
      <c r="G7505" t="s">
        <v>7693</v>
      </c>
    </row>
    <row r="7506" spans="7:7">
      <c r="G7506" t="s">
        <v>7694</v>
      </c>
    </row>
    <row r="7507" spans="7:7">
      <c r="G7507" t="s">
        <v>7695</v>
      </c>
    </row>
    <row r="7508" spans="7:7">
      <c r="G7508" t="s">
        <v>7696</v>
      </c>
    </row>
    <row r="7509" spans="7:7">
      <c r="G7509" t="s">
        <v>7697</v>
      </c>
    </row>
    <row r="7510" spans="7:7">
      <c r="G7510" t="s">
        <v>7698</v>
      </c>
    </row>
    <row r="7511" spans="7:7">
      <c r="G7511" t="s">
        <v>7699</v>
      </c>
    </row>
    <row r="7512" spans="7:7">
      <c r="G7512" t="s">
        <v>7700</v>
      </c>
    </row>
    <row r="7513" spans="7:7">
      <c r="G7513" t="s">
        <v>7701</v>
      </c>
    </row>
    <row r="7514" spans="7:7">
      <c r="G7514" t="s">
        <v>7702</v>
      </c>
    </row>
    <row r="7515" spans="7:7">
      <c r="G7515" t="s">
        <v>7703</v>
      </c>
    </row>
    <row r="7516" spans="7:7">
      <c r="G7516" t="s">
        <v>7704</v>
      </c>
    </row>
    <row r="7517" spans="7:7">
      <c r="G7517" t="s">
        <v>7705</v>
      </c>
    </row>
    <row r="7518" spans="7:7">
      <c r="G7518" t="s">
        <v>7706</v>
      </c>
    </row>
    <row r="7519" spans="7:7">
      <c r="G7519" t="s">
        <v>7707</v>
      </c>
    </row>
    <row r="7520" spans="7:7">
      <c r="G7520" t="s">
        <v>7708</v>
      </c>
    </row>
    <row r="7521" spans="7:7">
      <c r="G7521" t="s">
        <v>7709</v>
      </c>
    </row>
    <row r="7522" spans="7:7">
      <c r="G7522" t="s">
        <v>7710</v>
      </c>
    </row>
    <row r="7523" spans="7:7">
      <c r="G7523" t="s">
        <v>7711</v>
      </c>
    </row>
    <row r="7524" spans="7:7">
      <c r="G7524" t="s">
        <v>7712</v>
      </c>
    </row>
    <row r="7525" spans="7:7">
      <c r="G7525" t="s">
        <v>7713</v>
      </c>
    </row>
    <row r="7526" spans="7:7">
      <c r="G7526" t="s">
        <v>7714</v>
      </c>
    </row>
    <row r="7527" spans="7:7">
      <c r="G7527" t="s">
        <v>7715</v>
      </c>
    </row>
    <row r="7528" spans="7:7">
      <c r="G7528" t="s">
        <v>7716</v>
      </c>
    </row>
    <row r="7529" spans="7:7">
      <c r="G7529" t="s">
        <v>7717</v>
      </c>
    </row>
    <row r="7530" spans="7:7">
      <c r="G7530" t="s">
        <v>7718</v>
      </c>
    </row>
    <row r="7531" spans="7:7">
      <c r="G7531" t="s">
        <v>7719</v>
      </c>
    </row>
    <row r="7532" spans="7:7">
      <c r="G7532" t="s">
        <v>7720</v>
      </c>
    </row>
    <row r="7533" spans="7:7">
      <c r="G7533" t="s">
        <v>7721</v>
      </c>
    </row>
    <row r="7534" spans="7:7">
      <c r="G7534" t="s">
        <v>7722</v>
      </c>
    </row>
    <row r="7535" spans="7:7">
      <c r="G7535" t="s">
        <v>7723</v>
      </c>
    </row>
    <row r="7536" spans="7:7">
      <c r="G7536" t="s">
        <v>7724</v>
      </c>
    </row>
    <row r="7537" spans="7:7">
      <c r="G7537" t="s">
        <v>7725</v>
      </c>
    </row>
    <row r="7538" spans="7:7">
      <c r="G7538" t="s">
        <v>7726</v>
      </c>
    </row>
    <row r="7539" spans="7:7">
      <c r="G7539" t="s">
        <v>7727</v>
      </c>
    </row>
    <row r="7540" spans="7:7">
      <c r="G7540" t="s">
        <v>7728</v>
      </c>
    </row>
    <row r="7541" spans="7:7">
      <c r="G7541" t="s">
        <v>7729</v>
      </c>
    </row>
    <row r="7542" spans="7:7">
      <c r="G7542" t="s">
        <v>7730</v>
      </c>
    </row>
    <row r="7543" spans="7:7">
      <c r="G7543" t="s">
        <v>7731</v>
      </c>
    </row>
    <row r="7544" spans="7:7">
      <c r="G7544" t="s">
        <v>7732</v>
      </c>
    </row>
    <row r="7545" spans="7:7">
      <c r="G7545" t="s">
        <v>7733</v>
      </c>
    </row>
    <row r="7546" spans="7:7">
      <c r="G7546" t="s">
        <v>7734</v>
      </c>
    </row>
    <row r="7547" spans="7:7">
      <c r="G7547" t="s">
        <v>7735</v>
      </c>
    </row>
    <row r="7548" spans="7:7">
      <c r="G7548" t="s">
        <v>7736</v>
      </c>
    </row>
    <row r="7549" spans="7:7">
      <c r="G7549" t="s">
        <v>7737</v>
      </c>
    </row>
    <row r="7550" spans="7:7">
      <c r="G7550" t="s">
        <v>7738</v>
      </c>
    </row>
    <row r="7551" spans="7:7">
      <c r="G7551" t="s">
        <v>7739</v>
      </c>
    </row>
    <row r="7552" spans="7:7">
      <c r="G7552" t="s">
        <v>7740</v>
      </c>
    </row>
    <row r="7553" spans="7:7">
      <c r="G7553" t="s">
        <v>7741</v>
      </c>
    </row>
    <row r="7554" spans="7:7">
      <c r="G7554" t="s">
        <v>7742</v>
      </c>
    </row>
    <row r="7555" spans="7:7">
      <c r="G7555" t="s">
        <v>7743</v>
      </c>
    </row>
    <row r="7556" spans="7:7">
      <c r="G7556" t="s">
        <v>7744</v>
      </c>
    </row>
    <row r="7557" spans="7:7">
      <c r="G7557" t="s">
        <v>7745</v>
      </c>
    </row>
    <row r="7558" spans="7:7">
      <c r="G7558" t="s">
        <v>7746</v>
      </c>
    </row>
    <row r="7559" spans="7:7">
      <c r="G7559" t="s">
        <v>7747</v>
      </c>
    </row>
    <row r="7560" spans="7:7">
      <c r="G7560" t="s">
        <v>7748</v>
      </c>
    </row>
    <row r="7561" spans="7:7">
      <c r="G7561" t="s">
        <v>7749</v>
      </c>
    </row>
    <row r="7562" spans="7:7">
      <c r="G7562" t="s">
        <v>7750</v>
      </c>
    </row>
    <row r="7563" spans="7:7">
      <c r="G7563" t="s">
        <v>7751</v>
      </c>
    </row>
    <row r="7564" spans="7:7">
      <c r="G7564" t="s">
        <v>7752</v>
      </c>
    </row>
    <row r="7565" spans="7:7">
      <c r="G7565" t="s">
        <v>7753</v>
      </c>
    </row>
    <row r="7566" spans="7:7">
      <c r="G7566" t="s">
        <v>7754</v>
      </c>
    </row>
    <row r="7567" spans="7:7">
      <c r="G7567" t="s">
        <v>7755</v>
      </c>
    </row>
    <row r="7568" spans="7:7">
      <c r="G7568" t="s">
        <v>7756</v>
      </c>
    </row>
    <row r="7569" spans="7:7">
      <c r="G7569" t="s">
        <v>7757</v>
      </c>
    </row>
    <row r="7570" spans="7:7">
      <c r="G7570" t="s">
        <v>7758</v>
      </c>
    </row>
    <row r="7571" spans="7:7">
      <c r="G7571" t="s">
        <v>7759</v>
      </c>
    </row>
    <row r="7572" spans="7:7">
      <c r="G7572" t="s">
        <v>7760</v>
      </c>
    </row>
    <row r="7573" spans="7:7">
      <c r="G7573" t="s">
        <v>7761</v>
      </c>
    </row>
    <row r="7574" spans="7:7">
      <c r="G7574" t="s">
        <v>7762</v>
      </c>
    </row>
    <row r="7575" spans="7:7">
      <c r="G7575" t="s">
        <v>7763</v>
      </c>
    </row>
    <row r="7576" spans="7:7">
      <c r="G7576" t="s">
        <v>7764</v>
      </c>
    </row>
    <row r="7577" spans="7:7">
      <c r="G7577" t="s">
        <v>7765</v>
      </c>
    </row>
    <row r="7578" spans="7:7">
      <c r="G7578" t="s">
        <v>7766</v>
      </c>
    </row>
    <row r="7579" spans="7:7">
      <c r="G7579" t="s">
        <v>7767</v>
      </c>
    </row>
    <row r="7580" spans="7:7">
      <c r="G7580" t="s">
        <v>7768</v>
      </c>
    </row>
    <row r="7581" spans="7:7">
      <c r="G7581" t="s">
        <v>7769</v>
      </c>
    </row>
    <row r="7582" spans="7:7">
      <c r="G7582" t="s">
        <v>7770</v>
      </c>
    </row>
    <row r="7583" spans="7:7">
      <c r="G7583" t="s">
        <v>7771</v>
      </c>
    </row>
    <row r="7584" spans="7:7">
      <c r="G7584" t="s">
        <v>7772</v>
      </c>
    </row>
    <row r="7585" spans="7:7">
      <c r="G7585" t="s">
        <v>7773</v>
      </c>
    </row>
    <row r="7586" spans="7:7">
      <c r="G7586" t="s">
        <v>7774</v>
      </c>
    </row>
    <row r="7587" spans="7:7">
      <c r="G7587" t="s">
        <v>7775</v>
      </c>
    </row>
    <row r="7588" spans="7:7">
      <c r="G7588" t="s">
        <v>7776</v>
      </c>
    </row>
    <row r="7589" spans="7:7">
      <c r="G7589" t="s">
        <v>7777</v>
      </c>
    </row>
    <row r="7590" spans="7:7">
      <c r="G7590" t="s">
        <v>7778</v>
      </c>
    </row>
    <row r="7591" spans="7:7">
      <c r="G7591" t="s">
        <v>7779</v>
      </c>
    </row>
    <row r="7592" spans="7:7">
      <c r="G7592" t="s">
        <v>7780</v>
      </c>
    </row>
    <row r="7593" spans="7:7">
      <c r="G7593" t="s">
        <v>7781</v>
      </c>
    </row>
    <row r="7594" spans="7:7">
      <c r="G7594" t="s">
        <v>7782</v>
      </c>
    </row>
    <row r="7595" spans="7:7">
      <c r="G7595" t="s">
        <v>7783</v>
      </c>
    </row>
    <row r="7596" spans="7:7">
      <c r="G7596" t="s">
        <v>7784</v>
      </c>
    </row>
    <row r="7597" spans="7:7">
      <c r="G7597" t="s">
        <v>7785</v>
      </c>
    </row>
    <row r="7598" spans="7:7">
      <c r="G7598" t="s">
        <v>7786</v>
      </c>
    </row>
    <row r="7599" spans="7:7">
      <c r="G7599" t="s">
        <v>7787</v>
      </c>
    </row>
    <row r="7600" spans="7:7">
      <c r="G7600" t="s">
        <v>7788</v>
      </c>
    </row>
    <row r="7601" spans="7:7">
      <c r="G7601" t="s">
        <v>7789</v>
      </c>
    </row>
    <row r="7602" spans="7:7">
      <c r="G7602" t="s">
        <v>7790</v>
      </c>
    </row>
    <row r="7603" spans="7:7">
      <c r="G7603" t="s">
        <v>7791</v>
      </c>
    </row>
    <row r="7604" spans="7:7">
      <c r="G7604" t="s">
        <v>7792</v>
      </c>
    </row>
    <row r="7605" spans="7:7">
      <c r="G7605" t="s">
        <v>7793</v>
      </c>
    </row>
    <row r="7606" spans="7:7">
      <c r="G7606" t="s">
        <v>7794</v>
      </c>
    </row>
    <row r="7607" spans="7:7">
      <c r="G7607" t="s">
        <v>7795</v>
      </c>
    </row>
    <row r="7608" spans="7:7">
      <c r="G7608" t="s">
        <v>7796</v>
      </c>
    </row>
    <row r="7609" spans="7:7">
      <c r="G7609" t="s">
        <v>7797</v>
      </c>
    </row>
    <row r="7610" spans="7:7">
      <c r="G7610" t="s">
        <v>7798</v>
      </c>
    </row>
    <row r="7611" spans="7:7">
      <c r="G7611" t="s">
        <v>7799</v>
      </c>
    </row>
    <row r="7612" spans="7:7">
      <c r="G7612" t="s">
        <v>7800</v>
      </c>
    </row>
    <row r="7613" spans="7:7">
      <c r="G7613" t="s">
        <v>7801</v>
      </c>
    </row>
    <row r="7614" spans="7:7">
      <c r="G7614" t="s">
        <v>7802</v>
      </c>
    </row>
    <row r="7615" spans="7:7">
      <c r="G7615" t="s">
        <v>7803</v>
      </c>
    </row>
    <row r="7616" spans="7:7">
      <c r="G7616" t="s">
        <v>7804</v>
      </c>
    </row>
    <row r="7617" spans="7:7">
      <c r="G7617" t="s">
        <v>7805</v>
      </c>
    </row>
    <row r="7618" spans="7:7">
      <c r="G7618" t="s">
        <v>7806</v>
      </c>
    </row>
    <row r="7619" spans="7:7">
      <c r="G7619" t="s">
        <v>7807</v>
      </c>
    </row>
    <row r="7620" spans="7:7">
      <c r="G7620" t="s">
        <v>7808</v>
      </c>
    </row>
    <row r="7621" spans="7:7">
      <c r="G7621" t="s">
        <v>7809</v>
      </c>
    </row>
    <row r="7622" spans="7:7">
      <c r="G7622" t="s">
        <v>7810</v>
      </c>
    </row>
    <row r="7623" spans="7:7">
      <c r="G7623" t="s">
        <v>7811</v>
      </c>
    </row>
    <row r="7624" spans="7:7">
      <c r="G7624" t="s">
        <v>7812</v>
      </c>
    </row>
    <row r="7625" spans="7:7">
      <c r="G7625" t="s">
        <v>7813</v>
      </c>
    </row>
    <row r="7626" spans="7:7">
      <c r="G7626" t="s">
        <v>7814</v>
      </c>
    </row>
    <row r="7627" spans="7:7">
      <c r="G7627" t="s">
        <v>7815</v>
      </c>
    </row>
    <row r="7628" spans="7:7">
      <c r="G7628" t="s">
        <v>7816</v>
      </c>
    </row>
    <row r="7629" spans="7:7">
      <c r="G7629" t="s">
        <v>7817</v>
      </c>
    </row>
    <row r="7630" spans="7:7">
      <c r="G7630" t="s">
        <v>7818</v>
      </c>
    </row>
    <row r="7631" spans="7:7">
      <c r="G7631" t="s">
        <v>7819</v>
      </c>
    </row>
    <row r="7632" spans="7:7">
      <c r="G7632" t="s">
        <v>7820</v>
      </c>
    </row>
    <row r="7633" spans="7:7">
      <c r="G7633" t="s">
        <v>7821</v>
      </c>
    </row>
    <row r="7634" spans="7:7">
      <c r="G7634" t="s">
        <v>7822</v>
      </c>
    </row>
    <row r="7635" spans="7:7">
      <c r="G7635" t="s">
        <v>7823</v>
      </c>
    </row>
    <row r="7636" spans="7:7">
      <c r="G7636" t="s">
        <v>7824</v>
      </c>
    </row>
    <row r="7637" spans="7:7">
      <c r="G7637" t="s">
        <v>7825</v>
      </c>
    </row>
    <row r="7638" spans="7:7">
      <c r="G7638" t="s">
        <v>7826</v>
      </c>
    </row>
    <row r="7639" spans="7:7">
      <c r="G7639" t="s">
        <v>7827</v>
      </c>
    </row>
    <row r="7640" spans="7:7">
      <c r="G7640" t="s">
        <v>7828</v>
      </c>
    </row>
    <row r="7641" spans="7:7">
      <c r="G7641" t="s">
        <v>7829</v>
      </c>
    </row>
    <row r="7642" spans="7:7">
      <c r="G7642" t="s">
        <v>7830</v>
      </c>
    </row>
    <row r="7643" spans="7:7">
      <c r="G7643" t="s">
        <v>7831</v>
      </c>
    </row>
    <row r="7644" spans="7:7">
      <c r="G7644" t="s">
        <v>7832</v>
      </c>
    </row>
    <row r="7645" spans="7:7">
      <c r="G7645" t="s">
        <v>7833</v>
      </c>
    </row>
    <row r="7646" spans="7:7">
      <c r="G7646" t="s">
        <v>7834</v>
      </c>
    </row>
    <row r="7647" spans="7:7">
      <c r="G7647" t="s">
        <v>7835</v>
      </c>
    </row>
    <row r="7648" spans="7:7">
      <c r="G7648" t="s">
        <v>7836</v>
      </c>
    </row>
    <row r="7649" spans="7:7">
      <c r="G7649" t="s">
        <v>7837</v>
      </c>
    </row>
    <row r="7650" spans="7:7">
      <c r="G7650" t="s">
        <v>7838</v>
      </c>
    </row>
    <row r="7651" spans="7:7">
      <c r="G7651" t="s">
        <v>7839</v>
      </c>
    </row>
    <row r="7652" spans="7:7">
      <c r="G7652" t="s">
        <v>7840</v>
      </c>
    </row>
    <row r="7653" spans="7:7">
      <c r="G7653" t="s">
        <v>7841</v>
      </c>
    </row>
    <row r="7654" spans="7:7">
      <c r="G7654" t="s">
        <v>7842</v>
      </c>
    </row>
    <row r="7655" spans="7:7">
      <c r="G7655" t="s">
        <v>7843</v>
      </c>
    </row>
    <row r="7656" spans="7:7">
      <c r="G7656" t="s">
        <v>7844</v>
      </c>
    </row>
    <row r="7657" spans="7:7">
      <c r="G7657" t="s">
        <v>7845</v>
      </c>
    </row>
    <row r="7658" spans="7:7">
      <c r="G7658" t="s">
        <v>7846</v>
      </c>
    </row>
    <row r="7659" spans="7:7">
      <c r="G7659" t="s">
        <v>7847</v>
      </c>
    </row>
    <row r="7660" spans="7:7">
      <c r="G7660" t="s">
        <v>7848</v>
      </c>
    </row>
    <row r="7661" spans="7:7">
      <c r="G7661" t="s">
        <v>7849</v>
      </c>
    </row>
    <row r="7662" spans="7:7">
      <c r="G7662" t="s">
        <v>7850</v>
      </c>
    </row>
    <row r="7663" spans="7:7">
      <c r="G7663" t="s">
        <v>7851</v>
      </c>
    </row>
    <row r="7664" spans="7:7">
      <c r="G7664" t="s">
        <v>7852</v>
      </c>
    </row>
    <row r="7665" spans="7:7">
      <c r="G7665" t="s">
        <v>7853</v>
      </c>
    </row>
    <row r="7666" spans="7:7">
      <c r="G7666" t="s">
        <v>7854</v>
      </c>
    </row>
    <row r="7667" spans="7:7">
      <c r="G7667" t="s">
        <v>7855</v>
      </c>
    </row>
    <row r="7668" spans="7:7">
      <c r="G7668" t="s">
        <v>7856</v>
      </c>
    </row>
    <row r="7669" spans="7:7">
      <c r="G7669" t="s">
        <v>7857</v>
      </c>
    </row>
    <row r="7670" spans="7:7">
      <c r="G7670" t="s">
        <v>7858</v>
      </c>
    </row>
    <row r="7671" spans="7:7">
      <c r="G7671" t="s">
        <v>7859</v>
      </c>
    </row>
    <row r="7672" spans="7:7">
      <c r="G7672" t="s">
        <v>7860</v>
      </c>
    </row>
    <row r="7673" spans="7:7">
      <c r="G7673" t="s">
        <v>7861</v>
      </c>
    </row>
    <row r="7674" spans="7:7">
      <c r="G7674" t="s">
        <v>7862</v>
      </c>
    </row>
    <row r="7675" spans="7:7">
      <c r="G7675" t="s">
        <v>7863</v>
      </c>
    </row>
    <row r="7676" spans="7:7">
      <c r="G7676" t="s">
        <v>7864</v>
      </c>
    </row>
    <row r="7677" spans="7:7">
      <c r="G7677" t="s">
        <v>7865</v>
      </c>
    </row>
    <row r="7678" spans="7:7">
      <c r="G7678" t="s">
        <v>7866</v>
      </c>
    </row>
    <row r="7679" spans="7:7">
      <c r="G7679" t="s">
        <v>7867</v>
      </c>
    </row>
    <row r="7680" spans="7:7">
      <c r="G7680" t="s">
        <v>7868</v>
      </c>
    </row>
    <row r="7681" spans="7:7">
      <c r="G7681" t="s">
        <v>7869</v>
      </c>
    </row>
    <row r="7682" spans="7:7">
      <c r="G7682" t="s">
        <v>7870</v>
      </c>
    </row>
    <row r="7683" spans="7:7">
      <c r="G7683" t="s">
        <v>7871</v>
      </c>
    </row>
    <row r="7684" spans="7:7">
      <c r="G7684" t="s">
        <v>7872</v>
      </c>
    </row>
    <row r="7685" spans="7:7">
      <c r="G7685" t="s">
        <v>7873</v>
      </c>
    </row>
    <row r="7686" spans="7:7">
      <c r="G7686" t="s">
        <v>7874</v>
      </c>
    </row>
    <row r="7687" spans="7:7">
      <c r="G7687" t="s">
        <v>7875</v>
      </c>
    </row>
    <row r="7688" spans="7:7">
      <c r="G7688" t="s">
        <v>7876</v>
      </c>
    </row>
    <row r="7689" spans="7:7">
      <c r="G7689" t="s">
        <v>7877</v>
      </c>
    </row>
    <row r="7690" spans="7:7">
      <c r="G7690" t="s">
        <v>7878</v>
      </c>
    </row>
    <row r="7691" spans="7:7">
      <c r="G7691" t="s">
        <v>7879</v>
      </c>
    </row>
    <row r="7692" spans="7:7">
      <c r="G7692" t="s">
        <v>7880</v>
      </c>
    </row>
    <row r="7693" spans="7:7">
      <c r="G7693" t="s">
        <v>7881</v>
      </c>
    </row>
    <row r="7694" spans="7:7">
      <c r="G7694" t="s">
        <v>7882</v>
      </c>
    </row>
    <row r="7695" spans="7:7">
      <c r="G7695" t="s">
        <v>7883</v>
      </c>
    </row>
    <row r="7696" spans="7:7">
      <c r="G7696" t="s">
        <v>7884</v>
      </c>
    </row>
    <row r="7697" spans="7:7">
      <c r="G7697" t="s">
        <v>7885</v>
      </c>
    </row>
    <row r="7698" spans="7:7">
      <c r="G7698" t="s">
        <v>7886</v>
      </c>
    </row>
    <row r="7699" spans="7:7">
      <c r="G7699" t="s">
        <v>7887</v>
      </c>
    </row>
    <row r="7700" spans="7:7">
      <c r="G7700" t="s">
        <v>7888</v>
      </c>
    </row>
    <row r="7701" spans="7:7">
      <c r="G7701" t="s">
        <v>7889</v>
      </c>
    </row>
    <row r="7702" spans="7:7">
      <c r="G7702" t="s">
        <v>7890</v>
      </c>
    </row>
    <row r="7703" spans="7:7">
      <c r="G7703" t="s">
        <v>7891</v>
      </c>
    </row>
    <row r="7704" spans="7:7">
      <c r="G7704" t="s">
        <v>7892</v>
      </c>
    </row>
    <row r="7705" spans="7:7">
      <c r="G7705" t="s">
        <v>7893</v>
      </c>
    </row>
    <row r="7706" spans="7:7">
      <c r="G7706" t="s">
        <v>7894</v>
      </c>
    </row>
    <row r="7707" spans="7:7">
      <c r="G7707" t="s">
        <v>7895</v>
      </c>
    </row>
    <row r="7708" spans="7:7">
      <c r="G7708" t="s">
        <v>7896</v>
      </c>
    </row>
    <row r="7709" spans="7:7">
      <c r="G7709" t="s">
        <v>7897</v>
      </c>
    </row>
    <row r="7710" spans="7:7">
      <c r="G7710" t="s">
        <v>7898</v>
      </c>
    </row>
    <row r="7711" spans="7:7">
      <c r="G7711" t="s">
        <v>7899</v>
      </c>
    </row>
    <row r="7712" spans="7:7">
      <c r="G7712" t="s">
        <v>7900</v>
      </c>
    </row>
    <row r="7713" spans="7:7">
      <c r="G7713" t="s">
        <v>7901</v>
      </c>
    </row>
    <row r="7714" spans="7:7">
      <c r="G7714" t="s">
        <v>7902</v>
      </c>
    </row>
    <row r="7715" spans="7:7">
      <c r="G7715" t="s">
        <v>7903</v>
      </c>
    </row>
    <row r="7716" spans="7:7">
      <c r="G7716" t="s">
        <v>7904</v>
      </c>
    </row>
    <row r="7717" spans="7:7">
      <c r="G7717" t="s">
        <v>7905</v>
      </c>
    </row>
    <row r="7718" spans="7:7">
      <c r="G7718" t="s">
        <v>7906</v>
      </c>
    </row>
    <row r="7719" spans="7:7">
      <c r="G7719" t="s">
        <v>7907</v>
      </c>
    </row>
    <row r="7720" spans="7:7">
      <c r="G7720" t="s">
        <v>7908</v>
      </c>
    </row>
    <row r="7721" spans="7:7">
      <c r="G7721" t="s">
        <v>7909</v>
      </c>
    </row>
    <row r="7722" spans="7:7">
      <c r="G7722" t="s">
        <v>7910</v>
      </c>
    </row>
    <row r="7723" spans="7:7">
      <c r="G7723" t="s">
        <v>7911</v>
      </c>
    </row>
    <row r="7724" spans="7:7">
      <c r="G7724" t="s">
        <v>7912</v>
      </c>
    </row>
    <row r="7725" spans="7:7">
      <c r="G7725" t="s">
        <v>7913</v>
      </c>
    </row>
    <row r="7726" spans="7:7">
      <c r="G7726" t="s">
        <v>7914</v>
      </c>
    </row>
    <row r="7727" spans="7:7">
      <c r="G7727" t="s">
        <v>7915</v>
      </c>
    </row>
    <row r="7728" spans="7:7">
      <c r="G7728" t="s">
        <v>7916</v>
      </c>
    </row>
    <row r="7729" spans="7:7">
      <c r="G7729" t="s">
        <v>7917</v>
      </c>
    </row>
    <row r="7730" spans="7:7">
      <c r="G7730" t="s">
        <v>7918</v>
      </c>
    </row>
    <row r="7731" spans="7:7">
      <c r="G7731" t="s">
        <v>7919</v>
      </c>
    </row>
    <row r="7732" spans="7:7">
      <c r="G7732" t="s">
        <v>7920</v>
      </c>
    </row>
    <row r="7733" spans="7:7">
      <c r="G7733" t="s">
        <v>7921</v>
      </c>
    </row>
    <row r="7734" spans="7:7">
      <c r="G7734" t="s">
        <v>7922</v>
      </c>
    </row>
    <row r="7735" spans="7:7">
      <c r="G7735" t="s">
        <v>7923</v>
      </c>
    </row>
    <row r="7736" spans="7:7">
      <c r="G7736" t="s">
        <v>7924</v>
      </c>
    </row>
    <row r="7737" spans="7:7">
      <c r="G7737" t="s">
        <v>7925</v>
      </c>
    </row>
    <row r="7738" spans="7:7">
      <c r="G7738" t="s">
        <v>7926</v>
      </c>
    </row>
    <row r="7739" spans="7:7">
      <c r="G7739" t="s">
        <v>7927</v>
      </c>
    </row>
    <row r="7740" spans="7:7">
      <c r="G7740" t="s">
        <v>7928</v>
      </c>
    </row>
    <row r="7741" spans="7:7">
      <c r="G7741" t="s">
        <v>7929</v>
      </c>
    </row>
    <row r="7742" spans="7:7">
      <c r="G7742" t="s">
        <v>7930</v>
      </c>
    </row>
    <row r="7743" spans="7:7">
      <c r="G7743" t="s">
        <v>7931</v>
      </c>
    </row>
    <row r="7744" spans="7:7">
      <c r="G7744" t="s">
        <v>7932</v>
      </c>
    </row>
    <row r="7745" spans="7:7">
      <c r="G7745" t="s">
        <v>7933</v>
      </c>
    </row>
    <row r="7746" spans="7:7">
      <c r="G7746" t="s">
        <v>7934</v>
      </c>
    </row>
    <row r="7747" spans="7:7">
      <c r="G7747" t="s">
        <v>7935</v>
      </c>
    </row>
    <row r="7748" spans="7:7">
      <c r="G7748" t="s">
        <v>7936</v>
      </c>
    </row>
    <row r="7749" spans="7:7">
      <c r="G7749" t="s">
        <v>7937</v>
      </c>
    </row>
    <row r="7750" spans="7:7">
      <c r="G7750" t="s">
        <v>7938</v>
      </c>
    </row>
    <row r="7751" spans="7:7">
      <c r="G7751" t="s">
        <v>7939</v>
      </c>
    </row>
    <row r="7752" spans="7:7">
      <c r="G7752" t="s">
        <v>7940</v>
      </c>
    </row>
    <row r="7753" spans="7:7">
      <c r="G7753" t="s">
        <v>7941</v>
      </c>
    </row>
    <row r="7754" spans="7:7">
      <c r="G7754" t="s">
        <v>7942</v>
      </c>
    </row>
    <row r="7755" spans="7:7">
      <c r="G7755" t="s">
        <v>7943</v>
      </c>
    </row>
    <row r="7756" spans="7:7">
      <c r="G7756" t="s">
        <v>7944</v>
      </c>
    </row>
    <row r="7757" spans="7:7">
      <c r="G7757" t="s">
        <v>7945</v>
      </c>
    </row>
    <row r="7758" spans="7:7">
      <c r="G7758" t="s">
        <v>7946</v>
      </c>
    </row>
    <row r="7759" spans="7:7">
      <c r="G7759" t="s">
        <v>7947</v>
      </c>
    </row>
    <row r="7760" spans="7:7">
      <c r="G7760" t="s">
        <v>7948</v>
      </c>
    </row>
    <row r="7761" spans="7:7">
      <c r="G7761" t="s">
        <v>7949</v>
      </c>
    </row>
    <row r="7762" spans="7:7">
      <c r="G7762" t="s">
        <v>7950</v>
      </c>
    </row>
    <row r="7763" spans="7:7">
      <c r="G7763" t="s">
        <v>7951</v>
      </c>
    </row>
    <row r="7764" spans="7:7">
      <c r="G7764" t="s">
        <v>7952</v>
      </c>
    </row>
    <row r="7765" spans="7:7">
      <c r="G7765" t="s">
        <v>7953</v>
      </c>
    </row>
    <row r="7766" spans="7:7">
      <c r="G7766" t="s">
        <v>7954</v>
      </c>
    </row>
    <row r="7767" spans="7:7">
      <c r="G7767" t="s">
        <v>7955</v>
      </c>
    </row>
    <row r="7768" spans="7:7">
      <c r="G7768" t="s">
        <v>7956</v>
      </c>
    </row>
    <row r="7769" spans="7:7">
      <c r="G7769" t="s">
        <v>7957</v>
      </c>
    </row>
    <row r="7770" spans="7:7">
      <c r="G7770" t="s">
        <v>7958</v>
      </c>
    </row>
    <row r="7771" spans="7:7">
      <c r="G7771" t="s">
        <v>7959</v>
      </c>
    </row>
    <row r="7772" spans="7:7">
      <c r="G7772" t="s">
        <v>7960</v>
      </c>
    </row>
    <row r="7773" spans="7:7">
      <c r="G7773" t="s">
        <v>7961</v>
      </c>
    </row>
    <row r="7774" spans="7:7">
      <c r="G7774" t="s">
        <v>7962</v>
      </c>
    </row>
    <row r="7775" spans="7:7">
      <c r="G7775" t="s">
        <v>7963</v>
      </c>
    </row>
    <row r="7776" spans="7:7">
      <c r="G7776" t="s">
        <v>7964</v>
      </c>
    </row>
    <row r="7777" spans="7:7">
      <c r="G7777" t="s">
        <v>7965</v>
      </c>
    </row>
    <row r="7778" spans="7:7">
      <c r="G7778" t="s">
        <v>7966</v>
      </c>
    </row>
    <row r="7779" spans="7:7">
      <c r="G7779" t="s">
        <v>7967</v>
      </c>
    </row>
    <row r="7780" spans="7:7">
      <c r="G7780" t="s">
        <v>7968</v>
      </c>
    </row>
    <row r="7781" spans="7:7">
      <c r="G7781" t="s">
        <v>7969</v>
      </c>
    </row>
    <row r="7782" spans="7:7">
      <c r="G7782" t="s">
        <v>7970</v>
      </c>
    </row>
    <row r="7783" spans="7:7">
      <c r="G7783" t="s">
        <v>7971</v>
      </c>
    </row>
    <row r="7784" spans="7:7">
      <c r="G7784" t="s">
        <v>7972</v>
      </c>
    </row>
    <row r="7785" spans="7:7">
      <c r="G7785" t="s">
        <v>7973</v>
      </c>
    </row>
    <row r="7786" spans="7:7">
      <c r="G7786" t="s">
        <v>7974</v>
      </c>
    </row>
    <row r="7787" spans="7:7">
      <c r="G7787" t="s">
        <v>7975</v>
      </c>
    </row>
    <row r="7788" spans="7:7">
      <c r="G7788" t="s">
        <v>7976</v>
      </c>
    </row>
    <row r="7789" spans="7:7">
      <c r="G7789" t="s">
        <v>7977</v>
      </c>
    </row>
    <row r="7790" spans="7:7">
      <c r="G7790" t="s">
        <v>7978</v>
      </c>
    </row>
    <row r="7791" spans="7:7">
      <c r="G7791" t="s">
        <v>7979</v>
      </c>
    </row>
    <row r="7792" spans="7:7">
      <c r="G7792" t="s">
        <v>7980</v>
      </c>
    </row>
    <row r="7793" spans="7:7">
      <c r="G7793" t="s">
        <v>7981</v>
      </c>
    </row>
    <row r="7794" spans="7:7">
      <c r="G7794" t="s">
        <v>7982</v>
      </c>
    </row>
    <row r="7795" spans="7:7">
      <c r="G7795" t="s">
        <v>7983</v>
      </c>
    </row>
    <row r="7796" spans="7:7">
      <c r="G7796" t="s">
        <v>7984</v>
      </c>
    </row>
    <row r="7797" spans="7:7">
      <c r="G7797" t="s">
        <v>7985</v>
      </c>
    </row>
    <row r="7798" spans="7:7">
      <c r="G7798" t="s">
        <v>7986</v>
      </c>
    </row>
    <row r="7799" spans="7:7">
      <c r="G7799" t="s">
        <v>7987</v>
      </c>
    </row>
    <row r="7800" spans="7:7">
      <c r="G7800" t="s">
        <v>7988</v>
      </c>
    </row>
    <row r="7801" spans="7:7">
      <c r="G7801" t="s">
        <v>7989</v>
      </c>
    </row>
    <row r="7802" spans="7:7">
      <c r="G7802" t="s">
        <v>7990</v>
      </c>
    </row>
    <row r="7803" spans="7:7">
      <c r="G7803" t="s">
        <v>7991</v>
      </c>
    </row>
    <row r="7804" spans="7:7">
      <c r="G7804" t="s">
        <v>7992</v>
      </c>
    </row>
    <row r="7805" spans="7:7">
      <c r="G7805" t="s">
        <v>7993</v>
      </c>
    </row>
    <row r="7806" spans="7:7">
      <c r="G7806" t="s">
        <v>7994</v>
      </c>
    </row>
    <row r="7807" spans="7:7">
      <c r="G7807" t="s">
        <v>7995</v>
      </c>
    </row>
    <row r="7808" spans="7:7">
      <c r="G7808" t="s">
        <v>7996</v>
      </c>
    </row>
    <row r="7809" spans="7:7">
      <c r="G7809" t="s">
        <v>7997</v>
      </c>
    </row>
    <row r="7810" spans="7:7">
      <c r="G7810" t="s">
        <v>7998</v>
      </c>
    </row>
    <row r="7811" spans="7:7">
      <c r="G7811" t="s">
        <v>7999</v>
      </c>
    </row>
    <row r="7812" spans="7:7">
      <c r="G7812" t="s">
        <v>8000</v>
      </c>
    </row>
    <row r="7813" spans="7:7">
      <c r="G7813" t="s">
        <v>8001</v>
      </c>
    </row>
    <row r="7814" spans="7:7">
      <c r="G7814" t="s">
        <v>8002</v>
      </c>
    </row>
    <row r="7815" spans="7:7">
      <c r="G7815" t="s">
        <v>8003</v>
      </c>
    </row>
    <row r="7816" spans="7:7">
      <c r="G7816" t="s">
        <v>8004</v>
      </c>
    </row>
    <row r="7817" spans="7:7">
      <c r="G7817" t="s">
        <v>8005</v>
      </c>
    </row>
    <row r="7818" spans="7:7">
      <c r="G7818" t="s">
        <v>8006</v>
      </c>
    </row>
    <row r="7819" spans="7:7">
      <c r="G7819" t="s">
        <v>8007</v>
      </c>
    </row>
    <row r="7820" spans="7:7">
      <c r="G7820" t="s">
        <v>8008</v>
      </c>
    </row>
    <row r="7821" spans="7:7">
      <c r="G7821" t="s">
        <v>8009</v>
      </c>
    </row>
    <row r="7822" spans="7:7">
      <c r="G7822" t="s">
        <v>8010</v>
      </c>
    </row>
    <row r="7823" spans="7:7">
      <c r="G7823" t="s">
        <v>8011</v>
      </c>
    </row>
    <row r="7824" spans="7:7">
      <c r="G7824" t="s">
        <v>8012</v>
      </c>
    </row>
    <row r="7825" spans="7:7">
      <c r="G7825" t="s">
        <v>8013</v>
      </c>
    </row>
    <row r="7826" spans="7:7">
      <c r="G7826" t="s">
        <v>8014</v>
      </c>
    </row>
    <row r="7827" spans="7:7">
      <c r="G7827" t="s">
        <v>8015</v>
      </c>
    </row>
    <row r="7828" spans="7:7">
      <c r="G7828" t="s">
        <v>8016</v>
      </c>
    </row>
    <row r="7829" spans="7:7">
      <c r="G7829" t="s">
        <v>8017</v>
      </c>
    </row>
    <row r="7830" spans="7:7">
      <c r="G7830" t="s">
        <v>8018</v>
      </c>
    </row>
    <row r="7831" spans="7:7">
      <c r="G7831" t="s">
        <v>8019</v>
      </c>
    </row>
    <row r="7832" spans="7:7">
      <c r="G7832" t="s">
        <v>8020</v>
      </c>
    </row>
    <row r="7833" spans="7:7">
      <c r="G7833" t="s">
        <v>8021</v>
      </c>
    </row>
    <row r="7834" spans="7:7">
      <c r="G7834" t="s">
        <v>8022</v>
      </c>
    </row>
    <row r="7835" spans="7:7">
      <c r="G7835" t="s">
        <v>8023</v>
      </c>
    </row>
    <row r="7836" spans="7:7">
      <c r="G7836" t="s">
        <v>8024</v>
      </c>
    </row>
    <row r="7837" spans="7:7">
      <c r="G7837" t="s">
        <v>8025</v>
      </c>
    </row>
    <row r="7838" spans="7:7">
      <c r="G7838" t="s">
        <v>8026</v>
      </c>
    </row>
    <row r="7839" spans="7:7">
      <c r="G7839" t="s">
        <v>8027</v>
      </c>
    </row>
    <row r="7840" spans="7:7">
      <c r="G7840" t="s">
        <v>8028</v>
      </c>
    </row>
    <row r="7841" spans="7:7">
      <c r="G7841" t="s">
        <v>8029</v>
      </c>
    </row>
    <row r="7842" spans="7:7">
      <c r="G7842" t="s">
        <v>8030</v>
      </c>
    </row>
    <row r="7843" spans="7:7">
      <c r="G7843" t="s">
        <v>8031</v>
      </c>
    </row>
    <row r="7844" spans="7:7">
      <c r="G7844" t="s">
        <v>8032</v>
      </c>
    </row>
    <row r="7845" spans="7:7">
      <c r="G7845" t="s">
        <v>8033</v>
      </c>
    </row>
    <row r="7846" spans="7:7">
      <c r="G7846" t="s">
        <v>8034</v>
      </c>
    </row>
    <row r="7847" spans="7:7">
      <c r="G7847" t="s">
        <v>8035</v>
      </c>
    </row>
    <row r="7848" spans="7:7">
      <c r="G7848" t="s">
        <v>8036</v>
      </c>
    </row>
    <row r="7849" spans="7:7">
      <c r="G7849" t="s">
        <v>8037</v>
      </c>
    </row>
    <row r="7850" spans="7:7">
      <c r="G7850" t="s">
        <v>8038</v>
      </c>
    </row>
    <row r="7851" spans="7:7">
      <c r="G7851" t="s">
        <v>8039</v>
      </c>
    </row>
    <row r="7852" spans="7:7">
      <c r="G7852" t="s">
        <v>8040</v>
      </c>
    </row>
    <row r="7853" spans="7:7">
      <c r="G7853" t="s">
        <v>8041</v>
      </c>
    </row>
    <row r="7854" spans="7:7">
      <c r="G7854" t="s">
        <v>8042</v>
      </c>
    </row>
    <row r="7855" spans="7:7">
      <c r="G7855" t="s">
        <v>8043</v>
      </c>
    </row>
    <row r="7856" spans="7:7">
      <c r="G7856" t="s">
        <v>8044</v>
      </c>
    </row>
    <row r="7857" spans="7:7">
      <c r="G7857" t="s">
        <v>8045</v>
      </c>
    </row>
    <row r="7858" spans="7:7">
      <c r="G7858" t="s">
        <v>8046</v>
      </c>
    </row>
    <row r="7859" spans="7:7">
      <c r="G7859" t="s">
        <v>8047</v>
      </c>
    </row>
    <row r="7860" spans="7:7">
      <c r="G7860" t="s">
        <v>8048</v>
      </c>
    </row>
    <row r="7861" spans="7:7">
      <c r="G7861" t="s">
        <v>8049</v>
      </c>
    </row>
    <row r="7862" spans="7:7">
      <c r="G7862" t="s">
        <v>8050</v>
      </c>
    </row>
    <row r="7863" spans="7:7">
      <c r="G7863" t="s">
        <v>8051</v>
      </c>
    </row>
    <row r="7864" spans="7:7">
      <c r="G7864" t="s">
        <v>8052</v>
      </c>
    </row>
    <row r="7865" spans="7:7">
      <c r="G7865" t="s">
        <v>8053</v>
      </c>
    </row>
    <row r="7866" spans="7:7">
      <c r="G7866" t="s">
        <v>8054</v>
      </c>
    </row>
    <row r="7867" spans="7:7">
      <c r="G7867" t="s">
        <v>8055</v>
      </c>
    </row>
    <row r="7868" spans="7:7">
      <c r="G7868" t="s">
        <v>8056</v>
      </c>
    </row>
    <row r="7869" spans="7:7">
      <c r="G7869" t="s">
        <v>8057</v>
      </c>
    </row>
    <row r="7870" spans="7:7">
      <c r="G7870" t="s">
        <v>8058</v>
      </c>
    </row>
    <row r="7871" spans="7:7">
      <c r="G7871" t="s">
        <v>8059</v>
      </c>
    </row>
    <row r="7872" spans="7:7">
      <c r="G7872" t="s">
        <v>8060</v>
      </c>
    </row>
    <row r="7873" spans="7:7">
      <c r="G7873" t="s">
        <v>8061</v>
      </c>
    </row>
    <row r="7874" spans="7:7">
      <c r="G7874" t="s">
        <v>8062</v>
      </c>
    </row>
    <row r="7875" spans="7:7">
      <c r="G7875" t="s">
        <v>8063</v>
      </c>
    </row>
    <row r="7876" spans="7:7">
      <c r="G7876" t="s">
        <v>8064</v>
      </c>
    </row>
    <row r="7877" spans="7:7">
      <c r="G7877" t="s">
        <v>8065</v>
      </c>
    </row>
    <row r="7878" spans="7:7">
      <c r="G7878" t="s">
        <v>8066</v>
      </c>
    </row>
    <row r="7879" spans="7:7">
      <c r="G7879" t="s">
        <v>8067</v>
      </c>
    </row>
    <row r="7880" spans="7:7">
      <c r="G7880" t="s">
        <v>8068</v>
      </c>
    </row>
    <row r="7881" spans="7:7">
      <c r="G7881" t="s">
        <v>8069</v>
      </c>
    </row>
    <row r="7882" spans="7:7">
      <c r="G7882" t="s">
        <v>8070</v>
      </c>
    </row>
    <row r="7883" spans="7:7">
      <c r="G7883" t="s">
        <v>8071</v>
      </c>
    </row>
    <row r="7884" spans="7:7">
      <c r="G7884" t="s">
        <v>8072</v>
      </c>
    </row>
    <row r="7885" spans="7:7">
      <c r="G7885" t="s">
        <v>8073</v>
      </c>
    </row>
    <row r="7886" spans="7:7">
      <c r="G7886" t="s">
        <v>8074</v>
      </c>
    </row>
    <row r="7887" spans="7:7">
      <c r="G7887" t="s">
        <v>8075</v>
      </c>
    </row>
    <row r="7888" spans="7:7">
      <c r="G7888" t="s">
        <v>8076</v>
      </c>
    </row>
    <row r="7889" spans="7:7">
      <c r="G7889" t="s">
        <v>8077</v>
      </c>
    </row>
    <row r="7890" spans="7:7">
      <c r="G7890" t="s">
        <v>8078</v>
      </c>
    </row>
    <row r="7891" spans="7:7">
      <c r="G7891" t="s">
        <v>8079</v>
      </c>
    </row>
    <row r="7892" spans="7:7">
      <c r="G7892" t="s">
        <v>8080</v>
      </c>
    </row>
    <row r="7893" spans="7:7">
      <c r="G7893" t="s">
        <v>8081</v>
      </c>
    </row>
    <row r="7894" spans="7:7">
      <c r="G7894" t="s">
        <v>8082</v>
      </c>
    </row>
    <row r="7895" spans="7:7">
      <c r="G7895" t="s">
        <v>8083</v>
      </c>
    </row>
    <row r="7896" spans="7:7">
      <c r="G7896" t="s">
        <v>8084</v>
      </c>
    </row>
    <row r="7897" spans="7:7">
      <c r="G7897" t="s">
        <v>8085</v>
      </c>
    </row>
    <row r="7898" spans="7:7">
      <c r="G7898" t="s">
        <v>8086</v>
      </c>
    </row>
    <row r="7899" spans="7:7">
      <c r="G7899" t="s">
        <v>8087</v>
      </c>
    </row>
    <row r="7900" spans="7:7">
      <c r="G7900" t="s">
        <v>8088</v>
      </c>
    </row>
    <row r="7901" spans="7:7">
      <c r="G7901" t="s">
        <v>8089</v>
      </c>
    </row>
    <row r="7902" spans="7:7">
      <c r="G7902" t="s">
        <v>8090</v>
      </c>
    </row>
    <row r="7903" spans="7:7">
      <c r="G7903" t="s">
        <v>8091</v>
      </c>
    </row>
    <row r="7904" spans="7:7">
      <c r="G7904" t="s">
        <v>8092</v>
      </c>
    </row>
    <row r="7905" spans="7:7">
      <c r="G7905" t="s">
        <v>8093</v>
      </c>
    </row>
    <row r="7906" spans="7:7">
      <c r="G7906" t="s">
        <v>8094</v>
      </c>
    </row>
    <row r="7907" spans="7:7">
      <c r="G7907" t="s">
        <v>8095</v>
      </c>
    </row>
    <row r="7908" spans="7:7">
      <c r="G7908" t="s">
        <v>8096</v>
      </c>
    </row>
    <row r="7909" spans="7:7">
      <c r="G7909" t="s">
        <v>8097</v>
      </c>
    </row>
    <row r="7910" spans="7:7">
      <c r="G7910" t="s">
        <v>8098</v>
      </c>
    </row>
    <row r="7911" spans="7:7">
      <c r="G7911" t="s">
        <v>8099</v>
      </c>
    </row>
    <row r="7912" spans="7:7">
      <c r="G7912" t="s">
        <v>8100</v>
      </c>
    </row>
    <row r="7913" spans="7:7">
      <c r="G7913" t="s">
        <v>8101</v>
      </c>
    </row>
    <row r="7914" spans="7:7">
      <c r="G7914" t="s">
        <v>8102</v>
      </c>
    </row>
    <row r="7915" spans="7:7">
      <c r="G7915" t="s">
        <v>8103</v>
      </c>
    </row>
    <row r="7916" spans="7:7">
      <c r="G7916" t="s">
        <v>8104</v>
      </c>
    </row>
    <row r="7917" spans="7:7">
      <c r="G7917" t="s">
        <v>8105</v>
      </c>
    </row>
    <row r="7918" spans="7:7">
      <c r="G7918" t="s">
        <v>8106</v>
      </c>
    </row>
    <row r="7919" spans="7:7">
      <c r="G7919" t="s">
        <v>8107</v>
      </c>
    </row>
    <row r="7920" spans="7:7">
      <c r="G7920" t="s">
        <v>8108</v>
      </c>
    </row>
    <row r="7921" spans="7:7">
      <c r="G7921" t="s">
        <v>8109</v>
      </c>
    </row>
    <row r="7922" spans="7:7">
      <c r="G7922" t="s">
        <v>8110</v>
      </c>
    </row>
    <row r="7923" spans="7:7">
      <c r="G7923" t="s">
        <v>8111</v>
      </c>
    </row>
    <row r="7924" spans="7:7">
      <c r="G7924" t="s">
        <v>8112</v>
      </c>
    </row>
    <row r="7925" spans="7:7">
      <c r="G7925" t="s">
        <v>8113</v>
      </c>
    </row>
    <row r="7926" spans="7:7">
      <c r="G7926" t="s">
        <v>8114</v>
      </c>
    </row>
    <row r="7927" spans="7:7">
      <c r="G7927" t="s">
        <v>8115</v>
      </c>
    </row>
    <row r="7928" spans="7:7">
      <c r="G7928" t="s">
        <v>8116</v>
      </c>
    </row>
    <row r="7929" spans="7:7">
      <c r="G7929" t="s">
        <v>8117</v>
      </c>
    </row>
    <row r="7930" spans="7:7">
      <c r="G7930" t="s">
        <v>8118</v>
      </c>
    </row>
    <row r="7931" spans="7:7">
      <c r="G7931" t="s">
        <v>8119</v>
      </c>
    </row>
    <row r="7932" spans="7:7">
      <c r="G7932" t="s">
        <v>8120</v>
      </c>
    </row>
    <row r="7933" spans="7:7">
      <c r="G7933" t="s">
        <v>8121</v>
      </c>
    </row>
    <row r="7934" spans="7:7">
      <c r="G7934" t="s">
        <v>8122</v>
      </c>
    </row>
    <row r="7935" spans="7:7">
      <c r="G7935" t="s">
        <v>8123</v>
      </c>
    </row>
    <row r="7936" spans="7:7">
      <c r="G7936" t="s">
        <v>8124</v>
      </c>
    </row>
    <row r="7937" spans="7:7">
      <c r="G7937" t="s">
        <v>8125</v>
      </c>
    </row>
    <row r="7938" spans="7:7">
      <c r="G7938" t="s">
        <v>8126</v>
      </c>
    </row>
    <row r="7939" spans="7:7">
      <c r="G7939" t="s">
        <v>8127</v>
      </c>
    </row>
    <row r="7940" spans="7:7">
      <c r="G7940" t="s">
        <v>8128</v>
      </c>
    </row>
    <row r="7941" spans="7:7">
      <c r="G7941" t="s">
        <v>8129</v>
      </c>
    </row>
    <row r="7942" spans="7:7">
      <c r="G7942" t="s">
        <v>8130</v>
      </c>
    </row>
    <row r="7943" spans="7:7">
      <c r="G7943" t="s">
        <v>8131</v>
      </c>
    </row>
    <row r="7944" spans="7:7">
      <c r="G7944" t="s">
        <v>8132</v>
      </c>
    </row>
    <row r="7945" spans="7:7">
      <c r="G7945" t="s">
        <v>8133</v>
      </c>
    </row>
    <row r="7946" spans="7:7">
      <c r="G7946" t="s">
        <v>8134</v>
      </c>
    </row>
    <row r="7947" spans="7:7">
      <c r="G7947" t="s">
        <v>8135</v>
      </c>
    </row>
    <row r="7948" spans="7:7">
      <c r="G7948" t="s">
        <v>8136</v>
      </c>
    </row>
    <row r="7949" spans="7:7">
      <c r="G7949" t="s">
        <v>8137</v>
      </c>
    </row>
    <row r="7950" spans="7:7">
      <c r="G7950" t="s">
        <v>8138</v>
      </c>
    </row>
    <row r="7951" spans="7:7">
      <c r="G7951" t="s">
        <v>8139</v>
      </c>
    </row>
    <row r="7952" spans="7:7">
      <c r="G7952" t="s">
        <v>8140</v>
      </c>
    </row>
    <row r="7953" spans="7:7">
      <c r="G7953" t="s">
        <v>8141</v>
      </c>
    </row>
    <row r="7954" spans="7:7">
      <c r="G7954" t="s">
        <v>8142</v>
      </c>
    </row>
    <row r="7955" spans="7:7">
      <c r="G7955" t="s">
        <v>8143</v>
      </c>
    </row>
    <row r="7956" spans="7:7">
      <c r="G7956" t="s">
        <v>8144</v>
      </c>
    </row>
    <row r="7957" spans="7:7">
      <c r="G7957" t="s">
        <v>8145</v>
      </c>
    </row>
    <row r="7958" spans="7:7">
      <c r="G7958" t="s">
        <v>8146</v>
      </c>
    </row>
    <row r="7959" spans="7:7">
      <c r="G7959" t="s">
        <v>8147</v>
      </c>
    </row>
    <row r="7960" spans="7:7">
      <c r="G7960" t="s">
        <v>8148</v>
      </c>
    </row>
    <row r="7961" spans="7:7">
      <c r="G7961" t="s">
        <v>8149</v>
      </c>
    </row>
    <row r="7962" spans="7:7">
      <c r="G7962" t="s">
        <v>8150</v>
      </c>
    </row>
    <row r="7963" spans="7:7">
      <c r="G7963" t="s">
        <v>8151</v>
      </c>
    </row>
    <row r="7964" spans="7:7">
      <c r="G7964" t="s">
        <v>8152</v>
      </c>
    </row>
    <row r="7965" spans="7:7">
      <c r="G7965" t="s">
        <v>8153</v>
      </c>
    </row>
    <row r="7966" spans="7:7">
      <c r="G7966" t="s">
        <v>8154</v>
      </c>
    </row>
    <row r="7967" spans="7:7">
      <c r="G7967" t="s">
        <v>8155</v>
      </c>
    </row>
    <row r="7968" spans="7:7">
      <c r="G7968" t="s">
        <v>8156</v>
      </c>
    </row>
    <row r="7969" spans="7:7">
      <c r="G7969" t="s">
        <v>8157</v>
      </c>
    </row>
    <row r="7970" spans="7:7">
      <c r="G7970" t="s">
        <v>8158</v>
      </c>
    </row>
    <row r="7971" spans="7:7">
      <c r="G7971" t="s">
        <v>8159</v>
      </c>
    </row>
    <row r="7972" spans="7:7">
      <c r="G7972" t="s">
        <v>8160</v>
      </c>
    </row>
    <row r="7973" spans="7:7">
      <c r="G7973" t="s">
        <v>8161</v>
      </c>
    </row>
    <row r="7974" spans="7:7">
      <c r="G7974" t="s">
        <v>8162</v>
      </c>
    </row>
    <row r="7975" spans="7:7">
      <c r="G7975" t="s">
        <v>8163</v>
      </c>
    </row>
    <row r="7976" spans="7:7">
      <c r="G7976" t="s">
        <v>8164</v>
      </c>
    </row>
    <row r="7977" spans="7:7">
      <c r="G7977" t="s">
        <v>8165</v>
      </c>
    </row>
    <row r="7978" spans="7:7">
      <c r="G7978" t="s">
        <v>8166</v>
      </c>
    </row>
    <row r="7979" spans="7:7">
      <c r="G7979" t="s">
        <v>8167</v>
      </c>
    </row>
    <row r="7980" spans="7:7">
      <c r="G7980" t="s">
        <v>8168</v>
      </c>
    </row>
    <row r="7981" spans="7:7">
      <c r="G7981" t="s">
        <v>8169</v>
      </c>
    </row>
    <row r="7982" spans="7:7">
      <c r="G7982" t="s">
        <v>8170</v>
      </c>
    </row>
    <row r="7983" spans="7:7">
      <c r="G7983" t="s">
        <v>8171</v>
      </c>
    </row>
    <row r="7984" spans="7:7">
      <c r="G7984" t="s">
        <v>8172</v>
      </c>
    </row>
    <row r="7985" spans="7:7">
      <c r="G7985" t="s">
        <v>8173</v>
      </c>
    </row>
    <row r="7986" spans="7:7">
      <c r="G7986" t="s">
        <v>8174</v>
      </c>
    </row>
    <row r="7987" spans="7:7">
      <c r="G7987" t="s">
        <v>8175</v>
      </c>
    </row>
    <row r="7988" spans="7:7">
      <c r="G7988" t="s">
        <v>8176</v>
      </c>
    </row>
    <row r="7989" spans="7:7">
      <c r="G7989" t="s">
        <v>8177</v>
      </c>
    </row>
    <row r="7990" spans="7:7">
      <c r="G7990" t="s">
        <v>8178</v>
      </c>
    </row>
    <row r="7991" spans="7:7">
      <c r="G7991" t="s">
        <v>8179</v>
      </c>
    </row>
    <row r="7992" spans="7:7">
      <c r="G7992" t="s">
        <v>8180</v>
      </c>
    </row>
    <row r="7993" spans="7:7">
      <c r="G7993" t="s">
        <v>8181</v>
      </c>
    </row>
    <row r="7994" spans="7:7">
      <c r="G7994" t="s">
        <v>8182</v>
      </c>
    </row>
    <row r="7995" spans="7:7">
      <c r="G7995" t="s">
        <v>8183</v>
      </c>
    </row>
    <row r="7996" spans="7:7">
      <c r="G7996" t="s">
        <v>8184</v>
      </c>
    </row>
    <row r="7997" spans="7:7">
      <c r="G7997" t="s">
        <v>8185</v>
      </c>
    </row>
    <row r="7998" spans="7:7">
      <c r="G7998" t="s">
        <v>8186</v>
      </c>
    </row>
    <row r="7999" spans="7:7">
      <c r="G7999" t="s">
        <v>8187</v>
      </c>
    </row>
    <row r="8000" spans="7:7">
      <c r="G8000" t="s">
        <v>8188</v>
      </c>
    </row>
    <row r="8001" spans="7:7">
      <c r="G8001" t="s">
        <v>8189</v>
      </c>
    </row>
    <row r="8002" spans="7:7">
      <c r="G8002" t="s">
        <v>8190</v>
      </c>
    </row>
    <row r="8003" spans="7:7">
      <c r="G8003" t="s">
        <v>8191</v>
      </c>
    </row>
    <row r="8004" spans="7:7">
      <c r="G8004" t="s">
        <v>8192</v>
      </c>
    </row>
    <row r="8005" spans="7:7">
      <c r="G8005" t="s">
        <v>8193</v>
      </c>
    </row>
    <row r="8006" spans="7:7">
      <c r="G8006" t="s">
        <v>8194</v>
      </c>
    </row>
    <row r="8007" spans="7:7">
      <c r="G8007" t="s">
        <v>8195</v>
      </c>
    </row>
    <row r="8008" spans="7:7">
      <c r="G8008" t="s">
        <v>8196</v>
      </c>
    </row>
    <row r="8009" spans="7:7">
      <c r="G8009" t="s">
        <v>8197</v>
      </c>
    </row>
    <row r="8010" spans="7:7">
      <c r="G8010" t="s">
        <v>8198</v>
      </c>
    </row>
    <row r="8011" spans="7:7">
      <c r="G8011" t="s">
        <v>8199</v>
      </c>
    </row>
    <row r="8012" spans="7:7">
      <c r="G8012" t="s">
        <v>8200</v>
      </c>
    </row>
    <row r="8013" spans="7:7">
      <c r="G8013" t="s">
        <v>8201</v>
      </c>
    </row>
    <row r="8014" spans="7:7">
      <c r="G8014" t="s">
        <v>8202</v>
      </c>
    </row>
    <row r="8015" spans="7:7">
      <c r="G8015" t="s">
        <v>8203</v>
      </c>
    </row>
    <row r="8016" spans="7:7">
      <c r="G8016" t="s">
        <v>8204</v>
      </c>
    </row>
    <row r="8017" spans="7:7">
      <c r="G8017" t="s">
        <v>8205</v>
      </c>
    </row>
    <row r="8018" spans="7:7">
      <c r="G8018" t="s">
        <v>8206</v>
      </c>
    </row>
    <row r="8019" spans="7:7">
      <c r="G8019" t="s">
        <v>8207</v>
      </c>
    </row>
    <row r="8020" spans="7:7">
      <c r="G8020" t="s">
        <v>8208</v>
      </c>
    </row>
    <row r="8021" spans="7:7">
      <c r="G8021" t="s">
        <v>8209</v>
      </c>
    </row>
    <row r="8022" spans="7:7">
      <c r="G8022" t="s">
        <v>8210</v>
      </c>
    </row>
    <row r="8023" spans="7:7">
      <c r="G8023" t="s">
        <v>8211</v>
      </c>
    </row>
    <row r="8024" spans="7:7">
      <c r="G8024" t="s">
        <v>8212</v>
      </c>
    </row>
    <row r="8025" spans="7:7">
      <c r="G8025" t="s">
        <v>8213</v>
      </c>
    </row>
    <row r="8026" spans="7:7">
      <c r="G8026" t="s">
        <v>8214</v>
      </c>
    </row>
    <row r="8027" spans="7:7">
      <c r="G8027" t="s">
        <v>8215</v>
      </c>
    </row>
    <row r="8028" spans="7:7">
      <c r="G8028" t="s">
        <v>8216</v>
      </c>
    </row>
    <row r="8029" spans="7:7">
      <c r="G8029" t="s">
        <v>8217</v>
      </c>
    </row>
    <row r="8030" spans="7:7">
      <c r="G8030" t="s">
        <v>8218</v>
      </c>
    </row>
    <row r="8031" spans="7:7">
      <c r="G8031" t="s">
        <v>8219</v>
      </c>
    </row>
    <row r="8032" spans="7:7">
      <c r="G8032" t="s">
        <v>8220</v>
      </c>
    </row>
    <row r="8033" spans="7:7">
      <c r="G8033" t="s">
        <v>8221</v>
      </c>
    </row>
    <row r="8034" spans="7:7">
      <c r="G8034" t="s">
        <v>8222</v>
      </c>
    </row>
    <row r="8035" spans="7:7">
      <c r="G8035" t="s">
        <v>8223</v>
      </c>
    </row>
    <row r="8036" spans="7:7">
      <c r="G8036" t="s">
        <v>8224</v>
      </c>
    </row>
    <row r="8037" spans="7:7">
      <c r="G8037" t="s">
        <v>8225</v>
      </c>
    </row>
    <row r="8038" spans="7:7">
      <c r="G8038" t="s">
        <v>8226</v>
      </c>
    </row>
    <row r="8039" spans="7:7">
      <c r="G8039" t="s">
        <v>8227</v>
      </c>
    </row>
    <row r="8040" spans="7:7">
      <c r="G8040" t="s">
        <v>8228</v>
      </c>
    </row>
    <row r="8041" spans="7:7">
      <c r="G8041" t="s">
        <v>8229</v>
      </c>
    </row>
    <row r="8042" spans="7:7">
      <c r="G8042" t="s">
        <v>8230</v>
      </c>
    </row>
    <row r="8043" spans="7:7">
      <c r="G8043" t="s">
        <v>8231</v>
      </c>
    </row>
    <row r="8044" spans="7:7">
      <c r="G8044" t="s">
        <v>8232</v>
      </c>
    </row>
    <row r="8045" spans="7:7">
      <c r="G8045" t="s">
        <v>8233</v>
      </c>
    </row>
    <row r="8046" spans="7:7">
      <c r="G8046" t="s">
        <v>8234</v>
      </c>
    </row>
    <row r="8047" spans="7:7">
      <c r="G8047" t="s">
        <v>8235</v>
      </c>
    </row>
    <row r="8048" spans="7:7">
      <c r="G8048" t="s">
        <v>8236</v>
      </c>
    </row>
    <row r="8049" spans="7:7">
      <c r="G8049" t="s">
        <v>8237</v>
      </c>
    </row>
    <row r="8050" spans="7:7">
      <c r="G8050" t="s">
        <v>8238</v>
      </c>
    </row>
    <row r="8051" spans="7:7">
      <c r="G8051" t="s">
        <v>8239</v>
      </c>
    </row>
    <row r="8052" spans="7:7">
      <c r="G8052" t="s">
        <v>8240</v>
      </c>
    </row>
    <row r="8053" spans="7:7">
      <c r="G8053" t="s">
        <v>8241</v>
      </c>
    </row>
    <row r="8054" spans="7:7">
      <c r="G8054" t="s">
        <v>8242</v>
      </c>
    </row>
    <row r="8055" spans="7:7">
      <c r="G8055" t="s">
        <v>8243</v>
      </c>
    </row>
    <row r="8056" spans="7:7">
      <c r="G8056" t="s">
        <v>8244</v>
      </c>
    </row>
    <row r="8057" spans="7:7">
      <c r="G8057" t="s">
        <v>8245</v>
      </c>
    </row>
    <row r="8058" spans="7:7">
      <c r="G8058" t="s">
        <v>8246</v>
      </c>
    </row>
    <row r="8059" spans="7:7">
      <c r="G8059" t="s">
        <v>8247</v>
      </c>
    </row>
    <row r="8060" spans="7:7">
      <c r="G8060" t="s">
        <v>8248</v>
      </c>
    </row>
    <row r="8061" spans="7:7">
      <c r="G8061" t="s">
        <v>8249</v>
      </c>
    </row>
    <row r="8062" spans="7:7">
      <c r="G8062" t="s">
        <v>8250</v>
      </c>
    </row>
    <row r="8063" spans="7:7">
      <c r="G8063" t="s">
        <v>8251</v>
      </c>
    </row>
    <row r="8064" spans="7:7">
      <c r="G8064" t="s">
        <v>8252</v>
      </c>
    </row>
    <row r="8065" spans="7:7">
      <c r="G8065" t="s">
        <v>8253</v>
      </c>
    </row>
    <row r="8066" spans="7:7">
      <c r="G8066" t="s">
        <v>8254</v>
      </c>
    </row>
    <row r="8067" spans="7:7">
      <c r="G8067" t="s">
        <v>8255</v>
      </c>
    </row>
    <row r="8068" spans="7:7">
      <c r="G8068" t="s">
        <v>8256</v>
      </c>
    </row>
    <row r="8069" spans="7:7">
      <c r="G8069" t="s">
        <v>8257</v>
      </c>
    </row>
    <row r="8070" spans="7:7">
      <c r="G8070" t="s">
        <v>8258</v>
      </c>
    </row>
    <row r="8071" spans="7:7">
      <c r="G8071" t="s">
        <v>8259</v>
      </c>
    </row>
    <row r="8072" spans="7:7">
      <c r="G8072" t="s">
        <v>8260</v>
      </c>
    </row>
    <row r="8073" spans="7:7">
      <c r="G8073" t="s">
        <v>8261</v>
      </c>
    </row>
    <row r="8074" spans="7:7">
      <c r="G8074" t="s">
        <v>8262</v>
      </c>
    </row>
    <row r="8075" spans="7:7">
      <c r="G8075" t="s">
        <v>8263</v>
      </c>
    </row>
    <row r="8076" spans="7:7">
      <c r="G8076" t="s">
        <v>8264</v>
      </c>
    </row>
    <row r="8077" spans="7:7">
      <c r="G8077" t="s">
        <v>8265</v>
      </c>
    </row>
    <row r="8078" spans="7:7">
      <c r="G8078" t="s">
        <v>8266</v>
      </c>
    </row>
    <row r="8079" spans="7:7">
      <c r="G8079" t="s">
        <v>8267</v>
      </c>
    </row>
    <row r="8080" spans="7:7">
      <c r="G8080" t="s">
        <v>8268</v>
      </c>
    </row>
    <row r="8081" spans="7:7">
      <c r="G8081" t="s">
        <v>8269</v>
      </c>
    </row>
    <row r="8082" spans="7:7">
      <c r="G8082" t="s">
        <v>8270</v>
      </c>
    </row>
    <row r="8083" spans="7:7">
      <c r="G8083" t="s">
        <v>8271</v>
      </c>
    </row>
    <row r="8084" spans="7:7">
      <c r="G8084" t="s">
        <v>8272</v>
      </c>
    </row>
    <row r="8085" spans="7:7">
      <c r="G8085" t="s">
        <v>8273</v>
      </c>
    </row>
    <row r="8086" spans="7:7">
      <c r="G8086" t="s">
        <v>8274</v>
      </c>
    </row>
    <row r="8087" spans="7:7">
      <c r="G8087" t="s">
        <v>8275</v>
      </c>
    </row>
    <row r="8088" spans="7:7">
      <c r="G8088" t="s">
        <v>8276</v>
      </c>
    </row>
    <row r="8089" spans="7:7">
      <c r="G8089" t="s">
        <v>8277</v>
      </c>
    </row>
    <row r="8090" spans="7:7">
      <c r="G8090" t="s">
        <v>8278</v>
      </c>
    </row>
    <row r="8091" spans="7:7">
      <c r="G8091" t="s">
        <v>8279</v>
      </c>
    </row>
    <row r="8092" spans="7:7">
      <c r="G8092" t="s">
        <v>8280</v>
      </c>
    </row>
    <row r="8093" spans="7:7">
      <c r="G8093" t="s">
        <v>8281</v>
      </c>
    </row>
    <row r="8094" spans="7:7">
      <c r="G8094" t="s">
        <v>8282</v>
      </c>
    </row>
    <row r="8095" spans="7:7">
      <c r="G8095" t="s">
        <v>8283</v>
      </c>
    </row>
    <row r="8096" spans="7:7">
      <c r="G8096" t="s">
        <v>8284</v>
      </c>
    </row>
    <row r="8097" spans="7:7">
      <c r="G8097" t="s">
        <v>8285</v>
      </c>
    </row>
    <row r="8098" spans="7:7">
      <c r="G8098" t="s">
        <v>8286</v>
      </c>
    </row>
    <row r="8099" spans="7:7">
      <c r="G8099" t="s">
        <v>8287</v>
      </c>
    </row>
    <row r="8100" spans="7:7">
      <c r="G8100" t="s">
        <v>8288</v>
      </c>
    </row>
    <row r="8101" spans="7:7">
      <c r="G8101" t="s">
        <v>8289</v>
      </c>
    </row>
    <row r="8102" spans="7:7">
      <c r="G8102" t="s">
        <v>8290</v>
      </c>
    </row>
    <row r="8103" spans="7:7">
      <c r="G8103" t="s">
        <v>8291</v>
      </c>
    </row>
    <row r="8104" spans="7:7">
      <c r="G8104" t="s">
        <v>8292</v>
      </c>
    </row>
    <row r="8105" spans="7:7">
      <c r="G8105" t="s">
        <v>8293</v>
      </c>
    </row>
    <row r="8106" spans="7:7">
      <c r="G8106" t="s">
        <v>8294</v>
      </c>
    </row>
    <row r="8107" spans="7:7">
      <c r="G8107" t="s">
        <v>8295</v>
      </c>
    </row>
    <row r="8108" spans="7:7">
      <c r="G8108" t="s">
        <v>8296</v>
      </c>
    </row>
    <row r="8109" spans="7:7">
      <c r="G8109" t="s">
        <v>8297</v>
      </c>
    </row>
    <row r="8110" spans="7:7">
      <c r="G8110" t="s">
        <v>8298</v>
      </c>
    </row>
    <row r="8111" spans="7:7">
      <c r="G8111" t="s">
        <v>8299</v>
      </c>
    </row>
    <row r="8112" spans="7:7">
      <c r="G8112" t="s">
        <v>8300</v>
      </c>
    </row>
    <row r="8113" spans="7:7">
      <c r="G8113" t="s">
        <v>8301</v>
      </c>
    </row>
    <row r="8114" spans="7:7">
      <c r="G8114" t="s">
        <v>8302</v>
      </c>
    </row>
    <row r="8115" spans="7:7">
      <c r="G8115" t="s">
        <v>8303</v>
      </c>
    </row>
    <row r="8116" spans="7:7">
      <c r="G8116" t="s">
        <v>8304</v>
      </c>
    </row>
    <row r="8117" spans="7:7">
      <c r="G8117" t="s">
        <v>8305</v>
      </c>
    </row>
    <row r="8118" spans="7:7">
      <c r="G8118" t="s">
        <v>8306</v>
      </c>
    </row>
    <row r="8119" spans="7:7">
      <c r="G8119" t="s">
        <v>8307</v>
      </c>
    </row>
    <row r="8120" spans="7:7">
      <c r="G8120" t="s">
        <v>8308</v>
      </c>
    </row>
    <row r="8121" spans="7:7">
      <c r="G8121" t="s">
        <v>8309</v>
      </c>
    </row>
    <row r="8122" spans="7:7">
      <c r="G8122" t="s">
        <v>8310</v>
      </c>
    </row>
    <row r="8123" spans="7:7">
      <c r="G8123" t="s">
        <v>8311</v>
      </c>
    </row>
    <row r="8124" spans="7:7">
      <c r="G8124" t="s">
        <v>8312</v>
      </c>
    </row>
    <row r="8125" spans="7:7">
      <c r="G8125" t="s">
        <v>8313</v>
      </c>
    </row>
    <row r="8126" spans="7:7">
      <c r="G8126" t="s">
        <v>8314</v>
      </c>
    </row>
    <row r="8127" spans="7:7">
      <c r="G8127" t="s">
        <v>8315</v>
      </c>
    </row>
    <row r="8128" spans="7:7">
      <c r="G8128" t="s">
        <v>8316</v>
      </c>
    </row>
    <row r="8129" spans="7:7">
      <c r="G8129" t="s">
        <v>8317</v>
      </c>
    </row>
    <row r="8130" spans="7:7">
      <c r="G8130" t="s">
        <v>8318</v>
      </c>
    </row>
    <row r="8131" spans="7:7">
      <c r="G8131" t="s">
        <v>8319</v>
      </c>
    </row>
    <row r="8132" spans="7:7">
      <c r="G8132" t="s">
        <v>8320</v>
      </c>
    </row>
    <row r="8133" spans="7:7">
      <c r="G8133" t="s">
        <v>8321</v>
      </c>
    </row>
    <row r="8134" spans="7:7">
      <c r="G8134" t="s">
        <v>8322</v>
      </c>
    </row>
    <row r="8135" spans="7:7">
      <c r="G8135" t="s">
        <v>8323</v>
      </c>
    </row>
    <row r="8136" spans="7:7">
      <c r="G8136" t="s">
        <v>8324</v>
      </c>
    </row>
    <row r="8137" spans="7:7">
      <c r="G8137" t="s">
        <v>8325</v>
      </c>
    </row>
    <row r="8138" spans="7:7">
      <c r="G8138" t="s">
        <v>8326</v>
      </c>
    </row>
    <row r="8139" spans="7:7">
      <c r="G8139" t="s">
        <v>8327</v>
      </c>
    </row>
    <row r="8140" spans="7:7">
      <c r="G8140" t="s">
        <v>8328</v>
      </c>
    </row>
    <row r="8141" spans="7:7">
      <c r="G8141" t="s">
        <v>8329</v>
      </c>
    </row>
    <row r="8142" spans="7:7">
      <c r="G8142" t="s">
        <v>8330</v>
      </c>
    </row>
    <row r="8143" spans="7:7">
      <c r="G8143" t="s">
        <v>8331</v>
      </c>
    </row>
    <row r="8144" spans="7:7">
      <c r="G8144" t="s">
        <v>8332</v>
      </c>
    </row>
    <row r="8145" spans="7:7">
      <c r="G8145" t="s">
        <v>8333</v>
      </c>
    </row>
    <row r="8146" spans="7:7">
      <c r="G8146" t="s">
        <v>8334</v>
      </c>
    </row>
    <row r="8147" spans="7:7">
      <c r="G8147" t="s">
        <v>8335</v>
      </c>
    </row>
    <row r="8148" spans="7:7">
      <c r="G8148" t="s">
        <v>8336</v>
      </c>
    </row>
    <row r="8149" spans="7:7">
      <c r="G8149" t="s">
        <v>8337</v>
      </c>
    </row>
    <row r="8150" spans="7:7">
      <c r="G8150" t="s">
        <v>8338</v>
      </c>
    </row>
    <row r="8151" spans="7:7">
      <c r="G8151" t="s">
        <v>8339</v>
      </c>
    </row>
    <row r="8152" spans="7:7">
      <c r="G8152" t="s">
        <v>8340</v>
      </c>
    </row>
    <row r="8153" spans="7:7">
      <c r="G8153" t="s">
        <v>8341</v>
      </c>
    </row>
    <row r="8154" spans="7:7">
      <c r="G8154" t="s">
        <v>8342</v>
      </c>
    </row>
    <row r="8155" spans="7:7">
      <c r="G8155" t="s">
        <v>8343</v>
      </c>
    </row>
    <row r="8156" spans="7:7">
      <c r="G8156" t="s">
        <v>8344</v>
      </c>
    </row>
    <row r="8157" spans="7:7">
      <c r="G8157" t="s">
        <v>8345</v>
      </c>
    </row>
    <row r="8158" spans="7:7">
      <c r="G8158" t="s">
        <v>8346</v>
      </c>
    </row>
    <row r="8159" spans="7:7">
      <c r="G8159" t="s">
        <v>8347</v>
      </c>
    </row>
    <row r="8160" spans="7:7">
      <c r="G8160" t="s">
        <v>8348</v>
      </c>
    </row>
    <row r="8161" spans="7:7">
      <c r="G8161" t="s">
        <v>8349</v>
      </c>
    </row>
    <row r="8162" spans="7:7">
      <c r="G8162" t="s">
        <v>8350</v>
      </c>
    </row>
    <row r="8163" spans="7:7">
      <c r="G8163" t="s">
        <v>8351</v>
      </c>
    </row>
    <row r="8164" spans="7:7">
      <c r="G8164" t="s">
        <v>8352</v>
      </c>
    </row>
    <row r="8165" spans="7:7">
      <c r="G8165" t="s">
        <v>8353</v>
      </c>
    </row>
    <row r="8166" spans="7:7">
      <c r="G8166" t="s">
        <v>8354</v>
      </c>
    </row>
    <row r="8167" spans="7:7">
      <c r="G8167" t="s">
        <v>8355</v>
      </c>
    </row>
    <row r="8168" spans="7:7">
      <c r="G8168" t="s">
        <v>8356</v>
      </c>
    </row>
    <row r="8169" spans="7:7">
      <c r="G8169" t="s">
        <v>8357</v>
      </c>
    </row>
    <row r="8170" spans="7:7">
      <c r="G8170" t="s">
        <v>8358</v>
      </c>
    </row>
    <row r="8171" spans="7:7">
      <c r="G8171" t="s">
        <v>8359</v>
      </c>
    </row>
    <row r="8172" spans="7:7">
      <c r="G8172" t="s">
        <v>8360</v>
      </c>
    </row>
    <row r="8173" spans="7:7">
      <c r="G8173" t="s">
        <v>8361</v>
      </c>
    </row>
    <row r="8174" spans="7:7">
      <c r="G8174" t="s">
        <v>8362</v>
      </c>
    </row>
    <row r="8175" spans="7:7">
      <c r="G8175" t="s">
        <v>8363</v>
      </c>
    </row>
    <row r="8176" spans="7:7">
      <c r="G8176" t="s">
        <v>8364</v>
      </c>
    </row>
    <row r="8177" spans="7:7">
      <c r="G8177" t="s">
        <v>8365</v>
      </c>
    </row>
    <row r="8178" spans="7:7">
      <c r="G8178" t="s">
        <v>8366</v>
      </c>
    </row>
    <row r="8179" spans="7:7">
      <c r="G8179" t="s">
        <v>8367</v>
      </c>
    </row>
    <row r="8180" spans="7:7">
      <c r="G8180" t="s">
        <v>8368</v>
      </c>
    </row>
    <row r="8181" spans="7:7">
      <c r="G8181" t="s">
        <v>8369</v>
      </c>
    </row>
    <row r="8182" spans="7:7">
      <c r="G8182" t="s">
        <v>8370</v>
      </c>
    </row>
    <row r="8183" spans="7:7">
      <c r="G8183" t="s">
        <v>8371</v>
      </c>
    </row>
    <row r="8184" spans="7:7">
      <c r="G8184" t="s">
        <v>8372</v>
      </c>
    </row>
    <row r="8185" spans="7:7">
      <c r="G8185" t="s">
        <v>8373</v>
      </c>
    </row>
    <row r="8186" spans="7:7">
      <c r="G8186" t="s">
        <v>8374</v>
      </c>
    </row>
    <row r="8187" spans="7:7">
      <c r="G8187" t="s">
        <v>8375</v>
      </c>
    </row>
    <row r="8188" spans="7:7">
      <c r="G8188" t="s">
        <v>8376</v>
      </c>
    </row>
    <row r="8189" spans="7:7">
      <c r="G8189" t="s">
        <v>8377</v>
      </c>
    </row>
    <row r="8190" spans="7:7">
      <c r="G8190" t="s">
        <v>8378</v>
      </c>
    </row>
    <row r="8191" spans="7:7">
      <c r="G8191" t="s">
        <v>8379</v>
      </c>
    </row>
    <row r="8192" spans="7:7">
      <c r="G8192" t="s">
        <v>8380</v>
      </c>
    </row>
    <row r="8193" spans="7:7">
      <c r="G8193" t="s">
        <v>8381</v>
      </c>
    </row>
    <row r="8194" spans="7:7">
      <c r="G8194" t="s">
        <v>8382</v>
      </c>
    </row>
    <row r="8195" spans="7:7">
      <c r="G8195" t="s">
        <v>8383</v>
      </c>
    </row>
    <row r="8196" spans="7:7">
      <c r="G8196" t="s">
        <v>8384</v>
      </c>
    </row>
    <row r="8197" spans="7:7">
      <c r="G8197" t="s">
        <v>8385</v>
      </c>
    </row>
    <row r="8198" spans="7:7">
      <c r="G8198" t="s">
        <v>8386</v>
      </c>
    </row>
    <row r="8199" spans="7:7">
      <c r="G8199" t="s">
        <v>8387</v>
      </c>
    </row>
    <row r="8200" spans="7:7">
      <c r="G8200" t="s">
        <v>8388</v>
      </c>
    </row>
    <row r="8201" spans="7:7">
      <c r="G8201" t="s">
        <v>8389</v>
      </c>
    </row>
    <row r="8202" spans="7:7">
      <c r="G8202" t="s">
        <v>8390</v>
      </c>
    </row>
    <row r="8203" spans="7:7">
      <c r="G8203" t="s">
        <v>8391</v>
      </c>
    </row>
    <row r="8204" spans="7:7">
      <c r="G8204" t="s">
        <v>8392</v>
      </c>
    </row>
    <row r="8205" spans="7:7">
      <c r="G8205" t="s">
        <v>8393</v>
      </c>
    </row>
    <row r="8206" spans="7:7">
      <c r="G8206" t="s">
        <v>8394</v>
      </c>
    </row>
    <row r="8207" spans="7:7">
      <c r="G8207" t="s">
        <v>8395</v>
      </c>
    </row>
    <row r="8208" spans="7:7">
      <c r="G8208" t="s">
        <v>8396</v>
      </c>
    </row>
    <row r="8209" spans="7:7">
      <c r="G8209" t="s">
        <v>8397</v>
      </c>
    </row>
    <row r="8210" spans="7:7">
      <c r="G8210" t="s">
        <v>8398</v>
      </c>
    </row>
    <row r="8211" spans="7:7">
      <c r="G8211" t="s">
        <v>8399</v>
      </c>
    </row>
    <row r="8212" spans="7:7">
      <c r="G8212" t="s">
        <v>8400</v>
      </c>
    </row>
    <row r="8213" spans="7:7">
      <c r="G8213" t="s">
        <v>8401</v>
      </c>
    </row>
    <row r="8214" spans="7:7">
      <c r="G8214" t="s">
        <v>8402</v>
      </c>
    </row>
    <row r="8215" spans="7:7">
      <c r="G8215" t="s">
        <v>8403</v>
      </c>
    </row>
    <row r="8216" spans="7:7">
      <c r="G8216" t="s">
        <v>8404</v>
      </c>
    </row>
    <row r="8217" spans="7:7">
      <c r="G8217" t="s">
        <v>8405</v>
      </c>
    </row>
    <row r="8218" spans="7:7">
      <c r="G8218" t="s">
        <v>8406</v>
      </c>
    </row>
    <row r="8219" spans="7:7">
      <c r="G8219" t="s">
        <v>8407</v>
      </c>
    </row>
    <row r="8220" spans="7:7">
      <c r="G8220" t="s">
        <v>8408</v>
      </c>
    </row>
    <row r="8221" spans="7:7">
      <c r="G8221" t="s">
        <v>8409</v>
      </c>
    </row>
    <row r="8222" spans="7:7">
      <c r="G8222" t="s">
        <v>8410</v>
      </c>
    </row>
    <row r="8223" spans="7:7">
      <c r="G8223" t="s">
        <v>8411</v>
      </c>
    </row>
    <row r="8224" spans="7:7">
      <c r="G8224" t="s">
        <v>8412</v>
      </c>
    </row>
    <row r="8225" spans="7:7">
      <c r="G8225" t="s">
        <v>8413</v>
      </c>
    </row>
    <row r="8226" spans="7:7">
      <c r="G8226" t="s">
        <v>8414</v>
      </c>
    </row>
    <row r="8227" spans="7:7">
      <c r="G8227" t="s">
        <v>8415</v>
      </c>
    </row>
    <row r="8228" spans="7:7">
      <c r="G8228" t="s">
        <v>8416</v>
      </c>
    </row>
    <row r="8229" spans="7:7">
      <c r="G8229" t="s">
        <v>8417</v>
      </c>
    </row>
    <row r="8230" spans="7:7">
      <c r="G8230" t="s">
        <v>8418</v>
      </c>
    </row>
    <row r="8231" spans="7:7">
      <c r="G8231" t="s">
        <v>8419</v>
      </c>
    </row>
    <row r="8232" spans="7:7">
      <c r="G8232" t="s">
        <v>8420</v>
      </c>
    </row>
    <row r="8233" spans="7:7">
      <c r="G8233" t="s">
        <v>8421</v>
      </c>
    </row>
    <row r="8234" spans="7:7">
      <c r="G8234" t="s">
        <v>8422</v>
      </c>
    </row>
    <row r="8235" spans="7:7">
      <c r="G8235" t="s">
        <v>8423</v>
      </c>
    </row>
    <row r="8236" spans="7:7">
      <c r="G8236" t="s">
        <v>8424</v>
      </c>
    </row>
    <row r="8237" spans="7:7">
      <c r="G8237" t="s">
        <v>8425</v>
      </c>
    </row>
    <row r="8238" spans="7:7">
      <c r="G8238" t="s">
        <v>8426</v>
      </c>
    </row>
    <row r="8239" spans="7:7">
      <c r="G8239" t="s">
        <v>8427</v>
      </c>
    </row>
    <row r="8240" spans="7:7">
      <c r="G8240" t="s">
        <v>8428</v>
      </c>
    </row>
    <row r="8241" spans="7:7">
      <c r="G8241" t="s">
        <v>8429</v>
      </c>
    </row>
    <row r="8242" spans="7:7">
      <c r="G8242" t="s">
        <v>8430</v>
      </c>
    </row>
    <row r="8243" spans="7:7">
      <c r="G8243" t="s">
        <v>8431</v>
      </c>
    </row>
    <row r="8244" spans="7:7">
      <c r="G8244" t="s">
        <v>8432</v>
      </c>
    </row>
    <row r="8245" spans="7:7">
      <c r="G8245" t="s">
        <v>8433</v>
      </c>
    </row>
    <row r="8246" spans="7:7">
      <c r="G8246" t="s">
        <v>8434</v>
      </c>
    </row>
    <row r="8247" spans="7:7">
      <c r="G8247" t="s">
        <v>8435</v>
      </c>
    </row>
    <row r="8248" spans="7:7">
      <c r="G8248" t="s">
        <v>8436</v>
      </c>
    </row>
    <row r="8249" spans="7:7">
      <c r="G8249" t="s">
        <v>8437</v>
      </c>
    </row>
    <row r="8250" spans="7:7">
      <c r="G8250" t="s">
        <v>8438</v>
      </c>
    </row>
    <row r="8251" spans="7:7">
      <c r="G8251" t="s">
        <v>8439</v>
      </c>
    </row>
    <row r="8252" spans="7:7">
      <c r="G8252" t="s">
        <v>8440</v>
      </c>
    </row>
    <row r="8253" spans="7:7">
      <c r="G8253" t="s">
        <v>8441</v>
      </c>
    </row>
    <row r="8254" spans="7:7">
      <c r="G8254" t="s">
        <v>8442</v>
      </c>
    </row>
    <row r="8255" spans="7:7">
      <c r="G8255" t="s">
        <v>8443</v>
      </c>
    </row>
    <row r="8256" spans="7:7">
      <c r="G8256" t="s">
        <v>8444</v>
      </c>
    </row>
    <row r="8257" spans="7:7">
      <c r="G8257" t="s">
        <v>8445</v>
      </c>
    </row>
    <row r="8258" spans="7:7">
      <c r="G8258" t="s">
        <v>8446</v>
      </c>
    </row>
    <row r="8259" spans="7:7">
      <c r="G8259" t="s">
        <v>8447</v>
      </c>
    </row>
    <row r="8260" spans="7:7">
      <c r="G8260" t="s">
        <v>8448</v>
      </c>
    </row>
    <row r="8261" spans="7:7">
      <c r="G8261" t="s">
        <v>8449</v>
      </c>
    </row>
    <row r="8262" spans="7:7">
      <c r="G8262" t="s">
        <v>8450</v>
      </c>
    </row>
    <row r="8263" spans="7:7">
      <c r="G8263" t="s">
        <v>8451</v>
      </c>
    </row>
    <row r="8264" spans="7:7">
      <c r="G8264" t="s">
        <v>8452</v>
      </c>
    </row>
    <row r="8265" spans="7:7">
      <c r="G8265" t="s">
        <v>8453</v>
      </c>
    </row>
    <row r="8266" spans="7:7">
      <c r="G8266" t="s">
        <v>8454</v>
      </c>
    </row>
    <row r="8267" spans="7:7">
      <c r="G8267" t="s">
        <v>8455</v>
      </c>
    </row>
    <row r="8268" spans="7:7">
      <c r="G8268" t="s">
        <v>8456</v>
      </c>
    </row>
    <row r="8269" spans="7:7">
      <c r="G8269" t="s">
        <v>8457</v>
      </c>
    </row>
    <row r="8270" spans="7:7">
      <c r="G8270" t="s">
        <v>8458</v>
      </c>
    </row>
    <row r="8271" spans="7:7">
      <c r="G8271" t="s">
        <v>8459</v>
      </c>
    </row>
    <row r="8272" spans="7:7">
      <c r="G8272" t="s">
        <v>8460</v>
      </c>
    </row>
    <row r="8273" spans="7:7">
      <c r="G8273" t="s">
        <v>8461</v>
      </c>
    </row>
    <row r="8274" spans="7:7">
      <c r="G8274" t="s">
        <v>8462</v>
      </c>
    </row>
    <row r="8275" spans="7:7">
      <c r="G8275" t="s">
        <v>8463</v>
      </c>
    </row>
    <row r="8276" spans="7:7">
      <c r="G8276" t="s">
        <v>8464</v>
      </c>
    </row>
    <row r="8277" spans="7:7">
      <c r="G8277" t="s">
        <v>8465</v>
      </c>
    </row>
    <row r="8278" spans="7:7">
      <c r="G8278" t="s">
        <v>8466</v>
      </c>
    </row>
    <row r="8279" spans="7:7">
      <c r="G8279" t="s">
        <v>8467</v>
      </c>
    </row>
    <row r="8280" spans="7:7">
      <c r="G8280" t="s">
        <v>8468</v>
      </c>
    </row>
    <row r="8281" spans="7:7">
      <c r="G8281" t="s">
        <v>8469</v>
      </c>
    </row>
    <row r="8282" spans="7:7">
      <c r="G8282" t="s">
        <v>8470</v>
      </c>
    </row>
    <row r="8283" spans="7:7">
      <c r="G8283" t="s">
        <v>8471</v>
      </c>
    </row>
    <row r="8284" spans="7:7">
      <c r="G8284" t="s">
        <v>8472</v>
      </c>
    </row>
    <row r="8285" spans="7:7">
      <c r="G8285" t="s">
        <v>8473</v>
      </c>
    </row>
    <row r="8286" spans="7:7">
      <c r="G8286" t="s">
        <v>8474</v>
      </c>
    </row>
    <row r="8287" spans="7:7">
      <c r="G8287" t="s">
        <v>8475</v>
      </c>
    </row>
    <row r="8288" spans="7:7">
      <c r="G8288" t="s">
        <v>8476</v>
      </c>
    </row>
    <row r="8289" spans="7:7">
      <c r="G8289" t="s">
        <v>8477</v>
      </c>
    </row>
    <row r="8290" spans="7:7">
      <c r="G8290" t="s">
        <v>8478</v>
      </c>
    </row>
    <row r="8291" spans="7:7">
      <c r="G8291" t="s">
        <v>8479</v>
      </c>
    </row>
    <row r="8292" spans="7:7">
      <c r="G8292" t="s">
        <v>8480</v>
      </c>
    </row>
    <row r="8293" spans="7:7">
      <c r="G8293" t="s">
        <v>8481</v>
      </c>
    </row>
    <row r="8294" spans="7:7">
      <c r="G8294" t="s">
        <v>8482</v>
      </c>
    </row>
    <row r="8295" spans="7:7">
      <c r="G8295" t="s">
        <v>8483</v>
      </c>
    </row>
    <row r="8296" spans="7:7">
      <c r="G8296" t="s">
        <v>8484</v>
      </c>
    </row>
    <row r="8297" spans="7:7">
      <c r="G8297" t="s">
        <v>8485</v>
      </c>
    </row>
    <row r="8298" spans="7:7">
      <c r="G8298" t="s">
        <v>8486</v>
      </c>
    </row>
    <row r="8299" spans="7:7">
      <c r="G8299" t="s">
        <v>8487</v>
      </c>
    </row>
    <row r="8300" spans="7:7">
      <c r="G8300" t="s">
        <v>8488</v>
      </c>
    </row>
    <row r="8301" spans="7:7">
      <c r="G8301" t="s">
        <v>8489</v>
      </c>
    </row>
    <row r="8302" spans="7:7">
      <c r="G8302" t="s">
        <v>8490</v>
      </c>
    </row>
    <row r="8303" spans="7:7">
      <c r="G8303" t="s">
        <v>8491</v>
      </c>
    </row>
    <row r="8304" spans="7:7">
      <c r="G8304" t="s">
        <v>8492</v>
      </c>
    </row>
    <row r="8305" spans="7:7">
      <c r="G8305" t="s">
        <v>8493</v>
      </c>
    </row>
    <row r="8306" spans="7:7">
      <c r="G8306" t="s">
        <v>8494</v>
      </c>
    </row>
    <row r="8307" spans="7:7">
      <c r="G8307" t="s">
        <v>8495</v>
      </c>
    </row>
    <row r="8308" spans="7:7">
      <c r="G8308" t="s">
        <v>8496</v>
      </c>
    </row>
    <row r="8309" spans="7:7">
      <c r="G8309" t="s">
        <v>8497</v>
      </c>
    </row>
    <row r="8310" spans="7:7">
      <c r="G8310" t="s">
        <v>8498</v>
      </c>
    </row>
    <row r="8311" spans="7:7">
      <c r="G8311" t="s">
        <v>8499</v>
      </c>
    </row>
    <row r="8312" spans="7:7">
      <c r="G8312" t="s">
        <v>8500</v>
      </c>
    </row>
    <row r="8313" spans="7:7">
      <c r="G8313" t="s">
        <v>8501</v>
      </c>
    </row>
    <row r="8314" spans="7:7">
      <c r="G8314" t="s">
        <v>8502</v>
      </c>
    </row>
    <row r="8315" spans="7:7">
      <c r="G8315" t="s">
        <v>8503</v>
      </c>
    </row>
    <row r="8316" spans="7:7">
      <c r="G8316" t="s">
        <v>8504</v>
      </c>
    </row>
    <row r="8317" spans="7:7">
      <c r="G8317" t="s">
        <v>8505</v>
      </c>
    </row>
    <row r="8318" spans="7:7">
      <c r="G8318" t="s">
        <v>8506</v>
      </c>
    </row>
    <row r="8319" spans="7:7">
      <c r="G8319" t="s">
        <v>8507</v>
      </c>
    </row>
    <row r="8320" spans="7:7">
      <c r="G8320" t="s">
        <v>8508</v>
      </c>
    </row>
    <row r="8321" spans="7:7">
      <c r="G8321" t="s">
        <v>8509</v>
      </c>
    </row>
    <row r="8322" spans="7:7">
      <c r="G8322" t="s">
        <v>8510</v>
      </c>
    </row>
    <row r="8323" spans="7:7">
      <c r="G8323" t="s">
        <v>8511</v>
      </c>
    </row>
    <row r="8324" spans="7:7">
      <c r="G8324" t="s">
        <v>8512</v>
      </c>
    </row>
    <row r="8325" spans="7:7">
      <c r="G8325" t="s">
        <v>8513</v>
      </c>
    </row>
    <row r="8326" spans="7:7">
      <c r="G8326" t="s">
        <v>8514</v>
      </c>
    </row>
    <row r="8327" spans="7:7">
      <c r="G8327" t="s">
        <v>8515</v>
      </c>
    </row>
    <row r="8328" spans="7:7">
      <c r="G8328" t="s">
        <v>8516</v>
      </c>
    </row>
    <row r="8329" spans="7:7">
      <c r="G8329" t="s">
        <v>8517</v>
      </c>
    </row>
    <row r="8330" spans="7:7">
      <c r="G8330" t="s">
        <v>8518</v>
      </c>
    </row>
    <row r="8331" spans="7:7">
      <c r="G8331" t="s">
        <v>8519</v>
      </c>
    </row>
    <row r="8332" spans="7:7">
      <c r="G8332" t="s">
        <v>8520</v>
      </c>
    </row>
    <row r="8333" spans="7:7">
      <c r="G8333" t="s">
        <v>8521</v>
      </c>
    </row>
    <row r="8334" spans="7:7">
      <c r="G8334" t="s">
        <v>8522</v>
      </c>
    </row>
    <row r="8335" spans="7:7">
      <c r="G8335" t="s">
        <v>8523</v>
      </c>
    </row>
    <row r="8336" spans="7:7">
      <c r="G8336" t="s">
        <v>8524</v>
      </c>
    </row>
    <row r="8337" spans="7:7">
      <c r="G8337" t="s">
        <v>8525</v>
      </c>
    </row>
    <row r="8338" spans="7:7">
      <c r="G8338" t="s">
        <v>8526</v>
      </c>
    </row>
    <row r="8339" spans="7:7">
      <c r="G8339" t="s">
        <v>8527</v>
      </c>
    </row>
    <row r="8340" spans="7:7">
      <c r="G8340" t="s">
        <v>8528</v>
      </c>
    </row>
    <row r="8341" spans="7:7">
      <c r="G8341" t="s">
        <v>8529</v>
      </c>
    </row>
    <row r="8342" spans="7:7">
      <c r="G8342" t="s">
        <v>8530</v>
      </c>
    </row>
    <row r="8343" spans="7:7">
      <c r="G8343" t="s">
        <v>8531</v>
      </c>
    </row>
    <row r="8344" spans="7:7">
      <c r="G8344" t="s">
        <v>8532</v>
      </c>
    </row>
    <row r="8345" spans="7:7">
      <c r="G8345" t="s">
        <v>8533</v>
      </c>
    </row>
    <row r="8346" spans="7:7">
      <c r="G8346" t="s">
        <v>8534</v>
      </c>
    </row>
    <row r="8347" spans="7:7">
      <c r="G8347" t="s">
        <v>8535</v>
      </c>
    </row>
    <row r="8348" spans="7:7">
      <c r="G8348" t="s">
        <v>8536</v>
      </c>
    </row>
    <row r="8349" spans="7:7">
      <c r="G8349" t="s">
        <v>8537</v>
      </c>
    </row>
    <row r="8350" spans="7:7">
      <c r="G8350" t="s">
        <v>8538</v>
      </c>
    </row>
    <row r="8351" spans="7:7">
      <c r="G8351" t="s">
        <v>8539</v>
      </c>
    </row>
    <row r="8352" spans="7:7">
      <c r="G8352" t="s">
        <v>8540</v>
      </c>
    </row>
    <row r="8353" spans="7:7">
      <c r="G8353" t="s">
        <v>8541</v>
      </c>
    </row>
    <row r="8354" spans="7:7">
      <c r="G8354" t="s">
        <v>8542</v>
      </c>
    </row>
    <row r="8355" spans="7:7">
      <c r="G8355" t="s">
        <v>8543</v>
      </c>
    </row>
    <row r="8356" spans="7:7">
      <c r="G8356" t="s">
        <v>8544</v>
      </c>
    </row>
    <row r="8357" spans="7:7">
      <c r="G8357" t="s">
        <v>8545</v>
      </c>
    </row>
    <row r="8358" spans="7:7">
      <c r="G8358" t="s">
        <v>8546</v>
      </c>
    </row>
    <row r="8359" spans="7:7">
      <c r="G8359" t="s">
        <v>8547</v>
      </c>
    </row>
    <row r="8360" spans="7:7">
      <c r="G8360" t="s">
        <v>8548</v>
      </c>
    </row>
    <row r="8361" spans="7:7">
      <c r="G8361" t="s">
        <v>8549</v>
      </c>
    </row>
    <row r="8362" spans="7:7">
      <c r="G8362" t="s">
        <v>8550</v>
      </c>
    </row>
    <row r="8363" spans="7:7">
      <c r="G8363" t="s">
        <v>8551</v>
      </c>
    </row>
    <row r="8364" spans="7:7">
      <c r="G8364" t="s">
        <v>8552</v>
      </c>
    </row>
    <row r="8365" spans="7:7">
      <c r="G8365" t="s">
        <v>8553</v>
      </c>
    </row>
    <row r="8366" spans="7:7">
      <c r="G8366" t="s">
        <v>8554</v>
      </c>
    </row>
    <row r="8367" spans="7:7">
      <c r="G8367" t="s">
        <v>8555</v>
      </c>
    </row>
    <row r="8368" spans="7:7">
      <c r="G8368" t="s">
        <v>8556</v>
      </c>
    </row>
    <row r="8369" spans="7:7">
      <c r="G8369" t="s">
        <v>8557</v>
      </c>
    </row>
    <row r="8370" spans="7:7">
      <c r="G8370" t="s">
        <v>8558</v>
      </c>
    </row>
    <row r="8371" spans="7:7">
      <c r="G8371" t="s">
        <v>8559</v>
      </c>
    </row>
    <row r="8372" spans="7:7">
      <c r="G8372" t="s">
        <v>8560</v>
      </c>
    </row>
    <row r="8373" spans="7:7">
      <c r="G8373" t="s">
        <v>8561</v>
      </c>
    </row>
    <row r="8374" spans="7:7">
      <c r="G8374" t="s">
        <v>8562</v>
      </c>
    </row>
    <row r="8375" spans="7:7">
      <c r="G8375" t="s">
        <v>8563</v>
      </c>
    </row>
    <row r="8376" spans="7:7">
      <c r="G8376" t="s">
        <v>8564</v>
      </c>
    </row>
    <row r="8377" spans="7:7">
      <c r="G8377" t="s">
        <v>8565</v>
      </c>
    </row>
    <row r="8378" spans="7:7">
      <c r="G8378" t="s">
        <v>8566</v>
      </c>
    </row>
    <row r="8379" spans="7:7">
      <c r="G8379" t="s">
        <v>8567</v>
      </c>
    </row>
    <row r="8380" spans="7:7">
      <c r="G8380" t="s">
        <v>8568</v>
      </c>
    </row>
    <row r="8381" spans="7:7">
      <c r="G8381" t="s">
        <v>8569</v>
      </c>
    </row>
    <row r="8382" spans="7:7">
      <c r="G8382" t="s">
        <v>8570</v>
      </c>
    </row>
    <row r="8383" spans="7:7">
      <c r="G8383" t="s">
        <v>8571</v>
      </c>
    </row>
    <row r="8384" spans="7:7">
      <c r="G8384" t="s">
        <v>8572</v>
      </c>
    </row>
    <row r="8385" spans="7:7">
      <c r="G8385" t="s">
        <v>8573</v>
      </c>
    </row>
    <row r="8386" spans="7:7">
      <c r="G8386" t="s">
        <v>8574</v>
      </c>
    </row>
    <row r="8387" spans="7:7">
      <c r="G8387" t="s">
        <v>8575</v>
      </c>
    </row>
    <row r="8388" spans="7:7">
      <c r="G8388" t="s">
        <v>8576</v>
      </c>
    </row>
    <row r="8389" spans="7:7">
      <c r="G8389" t="s">
        <v>8577</v>
      </c>
    </row>
    <row r="8390" spans="7:7">
      <c r="G8390" t="s">
        <v>8578</v>
      </c>
    </row>
    <row r="8391" spans="7:7">
      <c r="G8391" t="s">
        <v>8579</v>
      </c>
    </row>
    <row r="8392" spans="7:7">
      <c r="G8392" t="s">
        <v>8580</v>
      </c>
    </row>
    <row r="8393" spans="7:7">
      <c r="G8393" t="s">
        <v>8581</v>
      </c>
    </row>
    <row r="8394" spans="7:7">
      <c r="G8394" t="s">
        <v>8582</v>
      </c>
    </row>
    <row r="8395" spans="7:7">
      <c r="G8395" t="s">
        <v>8583</v>
      </c>
    </row>
    <row r="8396" spans="7:7">
      <c r="G8396" t="s">
        <v>8584</v>
      </c>
    </row>
    <row r="8397" spans="7:7">
      <c r="G8397" t="s">
        <v>8585</v>
      </c>
    </row>
    <row r="8398" spans="7:7">
      <c r="G8398" t="s">
        <v>8586</v>
      </c>
    </row>
    <row r="8399" spans="7:7">
      <c r="G8399" t="s">
        <v>8587</v>
      </c>
    </row>
    <row r="8400" spans="7:7">
      <c r="G8400" t="s">
        <v>8588</v>
      </c>
    </row>
    <row r="8401" spans="7:7">
      <c r="G8401" t="s">
        <v>8589</v>
      </c>
    </row>
    <row r="8402" spans="7:7">
      <c r="G8402" t="s">
        <v>8590</v>
      </c>
    </row>
    <row r="8403" spans="7:7">
      <c r="G8403" t="s">
        <v>8591</v>
      </c>
    </row>
    <row r="8404" spans="7:7">
      <c r="G8404" t="s">
        <v>8592</v>
      </c>
    </row>
    <row r="8405" spans="7:7">
      <c r="G8405" t="s">
        <v>8593</v>
      </c>
    </row>
    <row r="8406" spans="7:7">
      <c r="G8406" t="s">
        <v>8594</v>
      </c>
    </row>
    <row r="8407" spans="7:7">
      <c r="G8407" t="s">
        <v>8595</v>
      </c>
    </row>
    <row r="8408" spans="7:7">
      <c r="G8408" t="s">
        <v>8596</v>
      </c>
    </row>
    <row r="8409" spans="7:7">
      <c r="G8409" t="s">
        <v>8597</v>
      </c>
    </row>
    <row r="8410" spans="7:7">
      <c r="G8410" t="s">
        <v>8598</v>
      </c>
    </row>
    <row r="8411" spans="7:7">
      <c r="G8411" t="s">
        <v>8599</v>
      </c>
    </row>
    <row r="8412" spans="7:7">
      <c r="G8412" t="s">
        <v>8600</v>
      </c>
    </row>
    <row r="8413" spans="7:7">
      <c r="G8413" t="s">
        <v>8601</v>
      </c>
    </row>
    <row r="8414" spans="7:7">
      <c r="G8414" t="s">
        <v>8602</v>
      </c>
    </row>
    <row r="8415" spans="7:7">
      <c r="G8415" t="s">
        <v>8603</v>
      </c>
    </row>
    <row r="8416" spans="7:7">
      <c r="G8416" t="s">
        <v>8604</v>
      </c>
    </row>
    <row r="8417" spans="7:7">
      <c r="G8417" t="s">
        <v>8605</v>
      </c>
    </row>
    <row r="8418" spans="7:7">
      <c r="G8418" t="s">
        <v>8606</v>
      </c>
    </row>
    <row r="8419" spans="7:7">
      <c r="G8419" t="s">
        <v>8607</v>
      </c>
    </row>
    <row r="8420" spans="7:7">
      <c r="G8420" t="s">
        <v>8608</v>
      </c>
    </row>
    <row r="8421" spans="7:7">
      <c r="G8421" t="s">
        <v>8609</v>
      </c>
    </row>
    <row r="8422" spans="7:7">
      <c r="G8422" t="s">
        <v>8610</v>
      </c>
    </row>
    <row r="8423" spans="7:7">
      <c r="G8423" t="s">
        <v>8611</v>
      </c>
    </row>
    <row r="8424" spans="7:7">
      <c r="G8424" t="s">
        <v>8612</v>
      </c>
    </row>
    <row r="8425" spans="7:7">
      <c r="G8425" t="s">
        <v>8613</v>
      </c>
    </row>
    <row r="8426" spans="7:7">
      <c r="G8426" t="s">
        <v>8614</v>
      </c>
    </row>
    <row r="8427" spans="7:7">
      <c r="G8427" t="s">
        <v>8615</v>
      </c>
    </row>
    <row r="8428" spans="7:7">
      <c r="G8428" t="s">
        <v>8616</v>
      </c>
    </row>
    <row r="8429" spans="7:7">
      <c r="G8429" t="s">
        <v>8617</v>
      </c>
    </row>
    <row r="8430" spans="7:7">
      <c r="G8430" t="s">
        <v>8618</v>
      </c>
    </row>
    <row r="8431" spans="7:7">
      <c r="G8431" t="s">
        <v>8619</v>
      </c>
    </row>
    <row r="8432" spans="7:7">
      <c r="G8432" t="s">
        <v>8620</v>
      </c>
    </row>
    <row r="8433" spans="7:7">
      <c r="G8433" t="s">
        <v>8621</v>
      </c>
    </row>
    <row r="8434" spans="7:7">
      <c r="G8434" t="s">
        <v>8622</v>
      </c>
    </row>
    <row r="8435" spans="7:7">
      <c r="G8435" t="s">
        <v>8623</v>
      </c>
    </row>
    <row r="8436" spans="7:7">
      <c r="G8436" t="s">
        <v>8624</v>
      </c>
    </row>
    <row r="8437" spans="7:7">
      <c r="G8437" t="s">
        <v>8625</v>
      </c>
    </row>
    <row r="8438" spans="7:7">
      <c r="G8438" t="s">
        <v>8626</v>
      </c>
    </row>
    <row r="8439" spans="7:7">
      <c r="G8439" t="s">
        <v>8627</v>
      </c>
    </row>
    <row r="8440" spans="7:7">
      <c r="G8440" t="s">
        <v>8628</v>
      </c>
    </row>
    <row r="8441" spans="7:7">
      <c r="G8441" t="s">
        <v>8629</v>
      </c>
    </row>
    <row r="8442" spans="7:7">
      <c r="G8442" t="s">
        <v>8630</v>
      </c>
    </row>
    <row r="8443" spans="7:7">
      <c r="G8443" t="s">
        <v>8631</v>
      </c>
    </row>
    <row r="8444" spans="7:7">
      <c r="G8444" t="s">
        <v>8632</v>
      </c>
    </row>
    <row r="8445" spans="7:7">
      <c r="G8445" t="s">
        <v>8633</v>
      </c>
    </row>
    <row r="8446" spans="7:7">
      <c r="G8446" t="s">
        <v>8634</v>
      </c>
    </row>
    <row r="8447" spans="7:7">
      <c r="G8447" t="s">
        <v>8635</v>
      </c>
    </row>
    <row r="8448" spans="7:7">
      <c r="G8448" t="s">
        <v>8636</v>
      </c>
    </row>
    <row r="8449" spans="7:7">
      <c r="G8449" t="s">
        <v>8637</v>
      </c>
    </row>
    <row r="8450" spans="7:7">
      <c r="G8450" t="s">
        <v>8638</v>
      </c>
    </row>
    <row r="8451" spans="7:7">
      <c r="G8451" t="s">
        <v>8639</v>
      </c>
    </row>
    <row r="8452" spans="7:7">
      <c r="G8452" t="s">
        <v>8640</v>
      </c>
    </row>
    <row r="8453" spans="7:7">
      <c r="G8453" t="s">
        <v>8641</v>
      </c>
    </row>
    <row r="8454" spans="7:7">
      <c r="G8454" t="s">
        <v>8642</v>
      </c>
    </row>
    <row r="8455" spans="7:7">
      <c r="G8455" t="s">
        <v>8643</v>
      </c>
    </row>
    <row r="8456" spans="7:7">
      <c r="G8456" t="s">
        <v>8644</v>
      </c>
    </row>
    <row r="8457" spans="7:7">
      <c r="G8457" t="s">
        <v>8645</v>
      </c>
    </row>
    <row r="8458" spans="7:7">
      <c r="G8458" t="s">
        <v>8646</v>
      </c>
    </row>
    <row r="8459" spans="7:7">
      <c r="G8459" t="s">
        <v>8647</v>
      </c>
    </row>
    <row r="8460" spans="7:7">
      <c r="G8460" t="s">
        <v>8648</v>
      </c>
    </row>
    <row r="8461" spans="7:7">
      <c r="G8461" t="s">
        <v>8649</v>
      </c>
    </row>
    <row r="8462" spans="7:7">
      <c r="G8462" t="s">
        <v>8650</v>
      </c>
    </row>
    <row r="8463" spans="7:7">
      <c r="G8463" t="s">
        <v>8651</v>
      </c>
    </row>
    <row r="8464" spans="7:7">
      <c r="G8464" t="s">
        <v>8652</v>
      </c>
    </row>
    <row r="8465" spans="7:7">
      <c r="G8465" t="s">
        <v>8653</v>
      </c>
    </row>
    <row r="8466" spans="7:7">
      <c r="G8466" t="s">
        <v>8654</v>
      </c>
    </row>
    <row r="8467" spans="7:7">
      <c r="G8467" t="s">
        <v>8655</v>
      </c>
    </row>
    <row r="8468" spans="7:7">
      <c r="G8468" t="s">
        <v>8656</v>
      </c>
    </row>
    <row r="8469" spans="7:7">
      <c r="G8469" t="s">
        <v>8657</v>
      </c>
    </row>
    <row r="8470" spans="7:7">
      <c r="G8470" t="s">
        <v>8658</v>
      </c>
    </row>
    <row r="8471" spans="7:7">
      <c r="G8471" t="s">
        <v>8659</v>
      </c>
    </row>
    <row r="8472" spans="7:7">
      <c r="G8472" t="s">
        <v>8660</v>
      </c>
    </row>
    <row r="8473" spans="7:7">
      <c r="G8473" t="s">
        <v>8661</v>
      </c>
    </row>
    <row r="8474" spans="7:7">
      <c r="G8474" t="s">
        <v>8662</v>
      </c>
    </row>
    <row r="8475" spans="7:7">
      <c r="G8475" t="s">
        <v>8663</v>
      </c>
    </row>
    <row r="8476" spans="7:7">
      <c r="G8476" t="s">
        <v>8664</v>
      </c>
    </row>
    <row r="8477" spans="7:7">
      <c r="G8477" t="s">
        <v>8665</v>
      </c>
    </row>
    <row r="8478" spans="7:7">
      <c r="G8478" t="s">
        <v>8666</v>
      </c>
    </row>
    <row r="8479" spans="7:7">
      <c r="G8479" t="s">
        <v>8667</v>
      </c>
    </row>
    <row r="8480" spans="7:7">
      <c r="G8480" t="s">
        <v>8668</v>
      </c>
    </row>
    <row r="8481" spans="7:7">
      <c r="G8481" t="s">
        <v>8669</v>
      </c>
    </row>
    <row r="8482" spans="7:7">
      <c r="G8482" t="s">
        <v>8670</v>
      </c>
    </row>
    <row r="8483" spans="7:7">
      <c r="G8483" t="s">
        <v>8671</v>
      </c>
    </row>
    <row r="8484" spans="7:7">
      <c r="G8484" t="s">
        <v>8672</v>
      </c>
    </row>
    <row r="8485" spans="7:7">
      <c r="G8485" t="s">
        <v>8673</v>
      </c>
    </row>
    <row r="8486" spans="7:7">
      <c r="G8486" t="s">
        <v>8674</v>
      </c>
    </row>
    <row r="8487" spans="7:7">
      <c r="G8487" t="s">
        <v>8675</v>
      </c>
    </row>
    <row r="8488" spans="7:7">
      <c r="G8488" t="s">
        <v>8676</v>
      </c>
    </row>
    <row r="8489" spans="7:7">
      <c r="G8489" t="s">
        <v>8677</v>
      </c>
    </row>
    <row r="8490" spans="7:7">
      <c r="G8490" t="s">
        <v>8678</v>
      </c>
    </row>
    <row r="8491" spans="7:7">
      <c r="G8491" t="s">
        <v>8679</v>
      </c>
    </row>
    <row r="8492" spans="7:7">
      <c r="G8492" t="s">
        <v>8680</v>
      </c>
    </row>
    <row r="8493" spans="7:7">
      <c r="G8493" t="s">
        <v>8681</v>
      </c>
    </row>
    <row r="8494" spans="7:7">
      <c r="G8494" t="s">
        <v>8682</v>
      </c>
    </row>
    <row r="8495" spans="7:7">
      <c r="G8495" t="s">
        <v>8683</v>
      </c>
    </row>
    <row r="8496" spans="7:7">
      <c r="G8496" t="s">
        <v>8684</v>
      </c>
    </row>
    <row r="8497" spans="7:7">
      <c r="G8497" t="s">
        <v>8685</v>
      </c>
    </row>
    <row r="8498" spans="7:7">
      <c r="G8498" t="s">
        <v>8686</v>
      </c>
    </row>
    <row r="8499" spans="7:7">
      <c r="G8499" t="s">
        <v>8687</v>
      </c>
    </row>
    <row r="8500" spans="7:7">
      <c r="G8500" t="s">
        <v>8688</v>
      </c>
    </row>
    <row r="8501" spans="7:7">
      <c r="G8501" t="s">
        <v>8689</v>
      </c>
    </row>
    <row r="8502" spans="7:7">
      <c r="G8502" t="s">
        <v>8690</v>
      </c>
    </row>
    <row r="8503" spans="7:7">
      <c r="G8503" t="s">
        <v>8691</v>
      </c>
    </row>
    <row r="8504" spans="7:7">
      <c r="G8504" t="s">
        <v>8692</v>
      </c>
    </row>
    <row r="8505" spans="7:7">
      <c r="G8505" t="s">
        <v>8693</v>
      </c>
    </row>
    <row r="8506" spans="7:7">
      <c r="G8506" t="s">
        <v>8694</v>
      </c>
    </row>
    <row r="8507" spans="7:7">
      <c r="G8507" t="s">
        <v>8695</v>
      </c>
    </row>
    <row r="8508" spans="7:7">
      <c r="G8508" t="s">
        <v>8696</v>
      </c>
    </row>
    <row r="8509" spans="7:7">
      <c r="G8509" t="s">
        <v>8697</v>
      </c>
    </row>
    <row r="8510" spans="7:7">
      <c r="G8510" t="s">
        <v>8698</v>
      </c>
    </row>
    <row r="8511" spans="7:7">
      <c r="G8511" t="s">
        <v>8699</v>
      </c>
    </row>
    <row r="8512" spans="7:7">
      <c r="G8512" t="s">
        <v>8700</v>
      </c>
    </row>
    <row r="8513" spans="7:7">
      <c r="G8513" t="s">
        <v>8701</v>
      </c>
    </row>
    <row r="8514" spans="7:7">
      <c r="G8514" t="s">
        <v>8702</v>
      </c>
    </row>
    <row r="8515" spans="7:7">
      <c r="G8515" t="s">
        <v>8703</v>
      </c>
    </row>
    <row r="8516" spans="7:7">
      <c r="G8516" t="s">
        <v>8704</v>
      </c>
    </row>
    <row r="8517" spans="7:7">
      <c r="G8517" t="s">
        <v>8705</v>
      </c>
    </row>
    <row r="8518" spans="7:7">
      <c r="G8518" t="s">
        <v>8706</v>
      </c>
    </row>
    <row r="8519" spans="7:7">
      <c r="G8519" t="s">
        <v>8707</v>
      </c>
    </row>
    <row r="8520" spans="7:7">
      <c r="G8520" t="s">
        <v>8708</v>
      </c>
    </row>
    <row r="8521" spans="7:7">
      <c r="G8521" t="s">
        <v>8709</v>
      </c>
    </row>
    <row r="8522" spans="7:7">
      <c r="G8522" t="s">
        <v>8710</v>
      </c>
    </row>
    <row r="8523" spans="7:7">
      <c r="G8523" t="s">
        <v>8711</v>
      </c>
    </row>
    <row r="8524" spans="7:7">
      <c r="G8524" t="s">
        <v>8712</v>
      </c>
    </row>
    <row r="8525" spans="7:7">
      <c r="G8525" t="s">
        <v>8713</v>
      </c>
    </row>
    <row r="8526" spans="7:7">
      <c r="G8526" t="s">
        <v>8714</v>
      </c>
    </row>
    <row r="8527" spans="7:7">
      <c r="G8527" t="s">
        <v>8715</v>
      </c>
    </row>
    <row r="8528" spans="7:7">
      <c r="G8528" t="s">
        <v>8716</v>
      </c>
    </row>
    <row r="8529" spans="7:7">
      <c r="G8529" t="s">
        <v>8717</v>
      </c>
    </row>
    <row r="8530" spans="7:7">
      <c r="G8530" t="s">
        <v>8718</v>
      </c>
    </row>
    <row r="8531" spans="7:7">
      <c r="G8531" t="s">
        <v>8719</v>
      </c>
    </row>
    <row r="8532" spans="7:7">
      <c r="G8532" t="s">
        <v>8720</v>
      </c>
    </row>
    <row r="8533" spans="7:7">
      <c r="G8533" t="s">
        <v>8721</v>
      </c>
    </row>
    <row r="8534" spans="7:7">
      <c r="G8534" t="s">
        <v>8722</v>
      </c>
    </row>
    <row r="8535" spans="7:7">
      <c r="G8535" t="s">
        <v>8723</v>
      </c>
    </row>
    <row r="8536" spans="7:7">
      <c r="G8536" t="s">
        <v>8724</v>
      </c>
    </row>
    <row r="8537" spans="7:7">
      <c r="G8537" t="s">
        <v>8725</v>
      </c>
    </row>
    <row r="8538" spans="7:7">
      <c r="G8538" t="s">
        <v>8726</v>
      </c>
    </row>
    <row r="8539" spans="7:7">
      <c r="G8539" t="s">
        <v>8727</v>
      </c>
    </row>
    <row r="8540" spans="7:7">
      <c r="G8540" t="s">
        <v>8728</v>
      </c>
    </row>
    <row r="8541" spans="7:7">
      <c r="G8541" t="s">
        <v>8729</v>
      </c>
    </row>
    <row r="8542" spans="7:7">
      <c r="G8542" t="s">
        <v>8730</v>
      </c>
    </row>
    <row r="8543" spans="7:7">
      <c r="G8543" t="s">
        <v>8731</v>
      </c>
    </row>
    <row r="8544" spans="7:7">
      <c r="G8544" t="s">
        <v>8732</v>
      </c>
    </row>
    <row r="8545" spans="7:7">
      <c r="G8545" t="s">
        <v>8733</v>
      </c>
    </row>
    <row r="8546" spans="7:7">
      <c r="G8546" t="s">
        <v>8734</v>
      </c>
    </row>
    <row r="8547" spans="7:7">
      <c r="G8547" t="s">
        <v>8735</v>
      </c>
    </row>
    <row r="8548" spans="7:7">
      <c r="G8548" t="s">
        <v>8736</v>
      </c>
    </row>
    <row r="8549" spans="7:7">
      <c r="G8549" t="s">
        <v>8737</v>
      </c>
    </row>
    <row r="8550" spans="7:7">
      <c r="G8550" t="s">
        <v>8738</v>
      </c>
    </row>
    <row r="8551" spans="7:7">
      <c r="G8551" t="s">
        <v>8739</v>
      </c>
    </row>
    <row r="8552" spans="7:7">
      <c r="G8552" t="s">
        <v>8740</v>
      </c>
    </row>
    <row r="8553" spans="7:7">
      <c r="G8553" t="s">
        <v>8741</v>
      </c>
    </row>
    <row r="8554" spans="7:7">
      <c r="G8554" t="s">
        <v>8742</v>
      </c>
    </row>
    <row r="8555" spans="7:7">
      <c r="G8555" t="s">
        <v>8743</v>
      </c>
    </row>
    <row r="8556" spans="7:7">
      <c r="G8556" t="s">
        <v>8744</v>
      </c>
    </row>
    <row r="8557" spans="7:7">
      <c r="G8557" t="s">
        <v>8745</v>
      </c>
    </row>
    <row r="8558" spans="7:7">
      <c r="G8558" t="s">
        <v>8746</v>
      </c>
    </row>
    <row r="8559" spans="7:7">
      <c r="G8559" t="s">
        <v>8747</v>
      </c>
    </row>
    <row r="8560" spans="7:7">
      <c r="G8560" t="s">
        <v>8748</v>
      </c>
    </row>
    <row r="8561" spans="7:7">
      <c r="G8561" t="s">
        <v>8749</v>
      </c>
    </row>
    <row r="8562" spans="7:7">
      <c r="G8562" t="s">
        <v>8750</v>
      </c>
    </row>
    <row r="8563" spans="7:7">
      <c r="G8563" t="s">
        <v>8751</v>
      </c>
    </row>
    <row r="8564" spans="7:7">
      <c r="G8564" t="s">
        <v>8752</v>
      </c>
    </row>
    <row r="8565" spans="7:7">
      <c r="G8565" t="s">
        <v>8753</v>
      </c>
    </row>
    <row r="8566" spans="7:7">
      <c r="G8566" t="s">
        <v>8754</v>
      </c>
    </row>
    <row r="8567" spans="7:7">
      <c r="G8567" t="s">
        <v>8755</v>
      </c>
    </row>
    <row r="8568" spans="7:7">
      <c r="G8568" t="s">
        <v>8756</v>
      </c>
    </row>
    <row r="8569" spans="7:7">
      <c r="G8569" t="s">
        <v>8757</v>
      </c>
    </row>
    <row r="8570" spans="7:7">
      <c r="G8570" t="s">
        <v>8758</v>
      </c>
    </row>
    <row r="8571" spans="7:7">
      <c r="G8571" t="s">
        <v>8759</v>
      </c>
    </row>
    <row r="8572" spans="7:7">
      <c r="G8572" t="s">
        <v>8760</v>
      </c>
    </row>
    <row r="8573" spans="7:7">
      <c r="G8573" t="s">
        <v>8761</v>
      </c>
    </row>
    <row r="8574" spans="7:7">
      <c r="G8574" t="s">
        <v>8762</v>
      </c>
    </row>
    <row r="8575" spans="7:7">
      <c r="G8575" t="s">
        <v>8763</v>
      </c>
    </row>
    <row r="8576" spans="7:7">
      <c r="G8576" t="s">
        <v>8764</v>
      </c>
    </row>
    <row r="8577" spans="7:7">
      <c r="G8577" t="s">
        <v>8765</v>
      </c>
    </row>
    <row r="8578" spans="7:7">
      <c r="G8578" t="s">
        <v>8766</v>
      </c>
    </row>
    <row r="8579" spans="7:7">
      <c r="G8579" t="s">
        <v>8767</v>
      </c>
    </row>
    <row r="8580" spans="7:7">
      <c r="G8580" t="s">
        <v>8768</v>
      </c>
    </row>
    <row r="8581" spans="7:7">
      <c r="G8581" t="s">
        <v>8769</v>
      </c>
    </row>
    <row r="8582" spans="7:7">
      <c r="G8582" t="s">
        <v>8770</v>
      </c>
    </row>
    <row r="8583" spans="7:7">
      <c r="G8583" t="s">
        <v>8771</v>
      </c>
    </row>
    <row r="8584" spans="7:7">
      <c r="G8584" t="s">
        <v>8772</v>
      </c>
    </row>
    <row r="8585" spans="7:7">
      <c r="G8585" t="s">
        <v>8773</v>
      </c>
    </row>
    <row r="8586" spans="7:7">
      <c r="G8586" t="s">
        <v>8774</v>
      </c>
    </row>
    <row r="8587" spans="7:7">
      <c r="G8587" t="s">
        <v>8775</v>
      </c>
    </row>
    <row r="8588" spans="7:7">
      <c r="G8588" t="s">
        <v>8776</v>
      </c>
    </row>
    <row r="8589" spans="7:7">
      <c r="G8589" t="s">
        <v>8777</v>
      </c>
    </row>
    <row r="8590" spans="7:7">
      <c r="G8590" t="s">
        <v>8778</v>
      </c>
    </row>
    <row r="8591" spans="7:7">
      <c r="G8591" t="s">
        <v>8779</v>
      </c>
    </row>
    <row r="8592" spans="7:7">
      <c r="G8592" t="s">
        <v>8780</v>
      </c>
    </row>
    <row r="8593" spans="7:7">
      <c r="G8593" t="s">
        <v>8781</v>
      </c>
    </row>
    <row r="8594" spans="7:7">
      <c r="G8594" t="s">
        <v>8782</v>
      </c>
    </row>
    <row r="8595" spans="7:7">
      <c r="G8595" t="s">
        <v>8783</v>
      </c>
    </row>
    <row r="8596" spans="7:7">
      <c r="G8596" t="s">
        <v>8784</v>
      </c>
    </row>
    <row r="8597" spans="7:7">
      <c r="G8597" t="s">
        <v>8785</v>
      </c>
    </row>
    <row r="8598" spans="7:7">
      <c r="G8598" t="s">
        <v>8786</v>
      </c>
    </row>
    <row r="8599" spans="7:7">
      <c r="G8599" t="s">
        <v>8787</v>
      </c>
    </row>
    <row r="8600" spans="7:7">
      <c r="G8600" t="s">
        <v>8788</v>
      </c>
    </row>
    <row r="8601" spans="7:7">
      <c r="G8601" t="s">
        <v>8789</v>
      </c>
    </row>
    <row r="8602" spans="7:7">
      <c r="G8602" t="s">
        <v>8790</v>
      </c>
    </row>
    <row r="8603" spans="7:7">
      <c r="G8603" t="s">
        <v>8791</v>
      </c>
    </row>
    <row r="8604" spans="7:7">
      <c r="G8604" t="s">
        <v>8792</v>
      </c>
    </row>
    <row r="8605" spans="7:7">
      <c r="G8605" t="s">
        <v>8793</v>
      </c>
    </row>
    <row r="8606" spans="7:7">
      <c r="G8606" t="s">
        <v>8794</v>
      </c>
    </row>
    <row r="8607" spans="7:7">
      <c r="G8607" t="s">
        <v>8795</v>
      </c>
    </row>
    <row r="8608" spans="7:7">
      <c r="G8608" t="s">
        <v>8796</v>
      </c>
    </row>
    <row r="8609" spans="7:7">
      <c r="G8609" t="s">
        <v>8797</v>
      </c>
    </row>
    <row r="8610" spans="7:7">
      <c r="G8610" t="s">
        <v>8798</v>
      </c>
    </row>
    <row r="8611" spans="7:7">
      <c r="G8611" t="s">
        <v>8799</v>
      </c>
    </row>
    <row r="8612" spans="7:7">
      <c r="G8612" t="s">
        <v>8800</v>
      </c>
    </row>
    <row r="8613" spans="7:7">
      <c r="G8613" t="s">
        <v>8801</v>
      </c>
    </row>
    <row r="8614" spans="7:7">
      <c r="G8614" t="s">
        <v>8802</v>
      </c>
    </row>
    <row r="8615" spans="7:7">
      <c r="G8615" t="s">
        <v>8803</v>
      </c>
    </row>
    <row r="8616" spans="7:7">
      <c r="G8616" t="s">
        <v>8804</v>
      </c>
    </row>
    <row r="8617" spans="7:7">
      <c r="G8617" t="s">
        <v>8805</v>
      </c>
    </row>
    <row r="8618" spans="7:7">
      <c r="G8618" t="s">
        <v>8806</v>
      </c>
    </row>
    <row r="8619" spans="7:7">
      <c r="G8619" t="s">
        <v>8807</v>
      </c>
    </row>
    <row r="8620" spans="7:7">
      <c r="G8620" t="s">
        <v>8808</v>
      </c>
    </row>
    <row r="8621" spans="7:7">
      <c r="G8621" t="s">
        <v>8809</v>
      </c>
    </row>
    <row r="8622" spans="7:7">
      <c r="G8622" t="s">
        <v>8810</v>
      </c>
    </row>
    <row r="8623" spans="7:7">
      <c r="G8623" t="s">
        <v>8811</v>
      </c>
    </row>
    <row r="8624" spans="7:7">
      <c r="G8624" t="s">
        <v>8812</v>
      </c>
    </row>
    <row r="8625" spans="7:7">
      <c r="G8625" t="s">
        <v>8813</v>
      </c>
    </row>
    <row r="8626" spans="7:7">
      <c r="G8626" t="s">
        <v>8814</v>
      </c>
    </row>
    <row r="8627" spans="7:7">
      <c r="G8627" t="s">
        <v>8815</v>
      </c>
    </row>
    <row r="8628" spans="7:7">
      <c r="G8628" t="s">
        <v>8816</v>
      </c>
    </row>
    <row r="8629" spans="7:7">
      <c r="G8629" t="s">
        <v>8817</v>
      </c>
    </row>
    <row r="8630" spans="7:7">
      <c r="G8630" t="s">
        <v>8818</v>
      </c>
    </row>
    <row r="8631" spans="7:7">
      <c r="G8631" t="s">
        <v>8819</v>
      </c>
    </row>
    <row r="8632" spans="7:7">
      <c r="G8632" t="s">
        <v>8820</v>
      </c>
    </row>
    <row r="8633" spans="7:7">
      <c r="G8633" t="s">
        <v>8821</v>
      </c>
    </row>
    <row r="8634" spans="7:7">
      <c r="G8634" t="s">
        <v>8822</v>
      </c>
    </row>
    <row r="8635" spans="7:7">
      <c r="G8635" t="s">
        <v>8823</v>
      </c>
    </row>
    <row r="8636" spans="7:7">
      <c r="G8636" t="s">
        <v>8824</v>
      </c>
    </row>
    <row r="8637" spans="7:7">
      <c r="G8637" t="s">
        <v>8825</v>
      </c>
    </row>
    <row r="8638" spans="7:7">
      <c r="G8638" t="s">
        <v>8826</v>
      </c>
    </row>
    <row r="8639" spans="7:7">
      <c r="G8639" t="s">
        <v>8827</v>
      </c>
    </row>
    <row r="8640" spans="7:7">
      <c r="G8640" t="s">
        <v>8828</v>
      </c>
    </row>
    <row r="8641" spans="7:7">
      <c r="G8641" t="s">
        <v>8829</v>
      </c>
    </row>
    <row r="8642" spans="7:7">
      <c r="G8642" t="s">
        <v>8830</v>
      </c>
    </row>
    <row r="8643" spans="7:7">
      <c r="G8643" t="s">
        <v>8831</v>
      </c>
    </row>
    <row r="8644" spans="7:7">
      <c r="G8644" t="s">
        <v>8832</v>
      </c>
    </row>
    <row r="8645" spans="7:7">
      <c r="G8645" t="s">
        <v>8833</v>
      </c>
    </row>
    <row r="8646" spans="7:7">
      <c r="G8646" t="s">
        <v>8834</v>
      </c>
    </row>
    <row r="8647" spans="7:7">
      <c r="G8647" t="s">
        <v>8835</v>
      </c>
    </row>
    <row r="8648" spans="7:7">
      <c r="G8648" t="s">
        <v>8836</v>
      </c>
    </row>
    <row r="8649" spans="7:7">
      <c r="G8649" t="s">
        <v>8837</v>
      </c>
    </row>
    <row r="8650" spans="7:7">
      <c r="G8650" t="s">
        <v>8838</v>
      </c>
    </row>
    <row r="8651" spans="7:7">
      <c r="G8651" t="s">
        <v>8839</v>
      </c>
    </row>
    <row r="8652" spans="7:7">
      <c r="G8652" t="s">
        <v>8840</v>
      </c>
    </row>
    <row r="8653" spans="7:7">
      <c r="G8653" t="s">
        <v>8841</v>
      </c>
    </row>
    <row r="8654" spans="7:7">
      <c r="G8654" t="s">
        <v>8842</v>
      </c>
    </row>
    <row r="8655" spans="7:7">
      <c r="G8655" t="s">
        <v>8843</v>
      </c>
    </row>
    <row r="8656" spans="7:7">
      <c r="G8656" t="s">
        <v>8844</v>
      </c>
    </row>
    <row r="8657" spans="7:7">
      <c r="G8657" t="s">
        <v>8845</v>
      </c>
    </row>
    <row r="8658" spans="7:7">
      <c r="G8658" t="s">
        <v>8846</v>
      </c>
    </row>
    <row r="8659" spans="7:7">
      <c r="G8659" t="s">
        <v>8847</v>
      </c>
    </row>
    <row r="8660" spans="7:7">
      <c r="G8660" t="s">
        <v>8848</v>
      </c>
    </row>
    <row r="8661" spans="7:7">
      <c r="G8661" t="s">
        <v>8849</v>
      </c>
    </row>
    <row r="8662" spans="7:7">
      <c r="G8662" t="s">
        <v>8850</v>
      </c>
    </row>
    <row r="8663" spans="7:7">
      <c r="G8663" t="s">
        <v>8851</v>
      </c>
    </row>
    <row r="8664" spans="7:7">
      <c r="G8664" t="s">
        <v>8852</v>
      </c>
    </row>
    <row r="8665" spans="7:7">
      <c r="G8665" t="s">
        <v>8853</v>
      </c>
    </row>
    <row r="8666" spans="7:7">
      <c r="G8666" t="s">
        <v>8854</v>
      </c>
    </row>
    <row r="8667" spans="7:7">
      <c r="G8667" t="s">
        <v>8855</v>
      </c>
    </row>
    <row r="8668" spans="7:7">
      <c r="G8668" t="s">
        <v>8856</v>
      </c>
    </row>
    <row r="8669" spans="7:7">
      <c r="G8669" t="s">
        <v>8857</v>
      </c>
    </row>
    <row r="8670" spans="7:7">
      <c r="G8670" t="s">
        <v>8858</v>
      </c>
    </row>
    <row r="8671" spans="7:7">
      <c r="G8671" t="s">
        <v>8859</v>
      </c>
    </row>
    <row r="8672" spans="7:7">
      <c r="G8672" t="s">
        <v>8860</v>
      </c>
    </row>
    <row r="8673" spans="7:7">
      <c r="G8673" t="s">
        <v>8861</v>
      </c>
    </row>
    <row r="8674" spans="7:7">
      <c r="G8674" t="s">
        <v>8862</v>
      </c>
    </row>
    <row r="8675" spans="7:7">
      <c r="G8675" t="s">
        <v>8863</v>
      </c>
    </row>
    <row r="8676" spans="7:7">
      <c r="G8676" t="s">
        <v>8864</v>
      </c>
    </row>
    <row r="8677" spans="7:7">
      <c r="G8677" t="s">
        <v>8865</v>
      </c>
    </row>
    <row r="8678" spans="7:7">
      <c r="G8678" t="s">
        <v>8866</v>
      </c>
    </row>
    <row r="8679" spans="7:7">
      <c r="G8679" t="s">
        <v>8867</v>
      </c>
    </row>
    <row r="8680" spans="7:7">
      <c r="G8680" t="s">
        <v>8868</v>
      </c>
    </row>
    <row r="8681" spans="7:7">
      <c r="G8681" t="s">
        <v>8869</v>
      </c>
    </row>
    <row r="8682" spans="7:7">
      <c r="G8682" t="s">
        <v>8870</v>
      </c>
    </row>
    <row r="8683" spans="7:7">
      <c r="G8683" t="s">
        <v>8871</v>
      </c>
    </row>
    <row r="8684" spans="7:7">
      <c r="G8684" t="s">
        <v>8872</v>
      </c>
    </row>
    <row r="8685" spans="7:7">
      <c r="G8685" t="s">
        <v>8873</v>
      </c>
    </row>
    <row r="8686" spans="7:7">
      <c r="G8686" t="s">
        <v>8874</v>
      </c>
    </row>
    <row r="8687" spans="7:7">
      <c r="G8687" t="s">
        <v>8875</v>
      </c>
    </row>
    <row r="8688" spans="7:7">
      <c r="G8688" t="s">
        <v>8876</v>
      </c>
    </row>
    <row r="8689" spans="7:7">
      <c r="G8689" t="s">
        <v>8877</v>
      </c>
    </row>
    <row r="8690" spans="7:7">
      <c r="G8690" t="s">
        <v>8878</v>
      </c>
    </row>
    <row r="8691" spans="7:7">
      <c r="G8691" t="s">
        <v>8879</v>
      </c>
    </row>
    <row r="8692" spans="7:7">
      <c r="G8692" t="s">
        <v>8880</v>
      </c>
    </row>
    <row r="8693" spans="7:7">
      <c r="G8693" t="s">
        <v>8881</v>
      </c>
    </row>
    <row r="8694" spans="7:7">
      <c r="G8694" t="s">
        <v>8882</v>
      </c>
    </row>
    <row r="8695" spans="7:7">
      <c r="G8695" t="s">
        <v>8883</v>
      </c>
    </row>
    <row r="8696" spans="7:7">
      <c r="G8696" t="s">
        <v>8884</v>
      </c>
    </row>
    <row r="8697" spans="7:7">
      <c r="G8697" t="s">
        <v>8885</v>
      </c>
    </row>
    <row r="8698" spans="7:7">
      <c r="G8698" t="s">
        <v>8886</v>
      </c>
    </row>
    <row r="8699" spans="7:7">
      <c r="G8699" t="s">
        <v>8887</v>
      </c>
    </row>
    <row r="8700" spans="7:7">
      <c r="G8700" t="s">
        <v>8888</v>
      </c>
    </row>
    <row r="8701" spans="7:7">
      <c r="G8701" t="s">
        <v>8889</v>
      </c>
    </row>
    <row r="8702" spans="7:7">
      <c r="G8702" t="s">
        <v>8890</v>
      </c>
    </row>
    <row r="8703" spans="7:7">
      <c r="G8703" t="s">
        <v>8891</v>
      </c>
    </row>
    <row r="8704" spans="7:7">
      <c r="G8704" t="s">
        <v>8892</v>
      </c>
    </row>
    <row r="8705" spans="7:7">
      <c r="G8705" t="s">
        <v>8893</v>
      </c>
    </row>
    <row r="8706" spans="7:7">
      <c r="G8706" t="s">
        <v>8894</v>
      </c>
    </row>
    <row r="8707" spans="7:7">
      <c r="G8707" t="s">
        <v>8895</v>
      </c>
    </row>
    <row r="8708" spans="7:7">
      <c r="G8708" t="s">
        <v>8896</v>
      </c>
    </row>
    <row r="8709" spans="7:7">
      <c r="G8709" t="s">
        <v>8897</v>
      </c>
    </row>
    <row r="8710" spans="7:7">
      <c r="G8710" t="s">
        <v>8898</v>
      </c>
    </row>
    <row r="8711" spans="7:7">
      <c r="G8711" t="s">
        <v>8899</v>
      </c>
    </row>
    <row r="8712" spans="7:7">
      <c r="G8712" t="s">
        <v>8900</v>
      </c>
    </row>
    <row r="8713" spans="7:7">
      <c r="G8713" t="s">
        <v>8901</v>
      </c>
    </row>
    <row r="8714" spans="7:7">
      <c r="G8714" t="s">
        <v>8902</v>
      </c>
    </row>
    <row r="8715" spans="7:7">
      <c r="G8715" t="s">
        <v>8903</v>
      </c>
    </row>
    <row r="8716" spans="7:7">
      <c r="G8716" t="s">
        <v>8904</v>
      </c>
    </row>
    <row r="8717" spans="7:7">
      <c r="G8717" t="s">
        <v>8905</v>
      </c>
    </row>
    <row r="8718" spans="7:7">
      <c r="G8718" t="s">
        <v>8906</v>
      </c>
    </row>
    <row r="8719" spans="7:7">
      <c r="G8719" t="s">
        <v>8907</v>
      </c>
    </row>
    <row r="8720" spans="7:7">
      <c r="G8720" t="s">
        <v>8908</v>
      </c>
    </row>
    <row r="8721" spans="7:7">
      <c r="G8721" t="s">
        <v>8909</v>
      </c>
    </row>
    <row r="8722" spans="7:7">
      <c r="G8722" t="s">
        <v>8910</v>
      </c>
    </row>
    <row r="8723" spans="7:7">
      <c r="G8723" t="s">
        <v>8911</v>
      </c>
    </row>
    <row r="8724" spans="7:7">
      <c r="G8724" t="s">
        <v>8912</v>
      </c>
    </row>
    <row r="8725" spans="7:7">
      <c r="G8725" t="s">
        <v>8913</v>
      </c>
    </row>
    <row r="8726" spans="7:7">
      <c r="G8726" t="s">
        <v>8914</v>
      </c>
    </row>
    <row r="8727" spans="7:7">
      <c r="G8727" t="s">
        <v>8915</v>
      </c>
    </row>
    <row r="8728" spans="7:7">
      <c r="G8728" t="s">
        <v>8916</v>
      </c>
    </row>
    <row r="8729" spans="7:7">
      <c r="G8729" t="s">
        <v>8917</v>
      </c>
    </row>
    <row r="8730" spans="7:7">
      <c r="G8730" t="s">
        <v>8918</v>
      </c>
    </row>
    <row r="8731" spans="7:7">
      <c r="G8731" t="s">
        <v>8919</v>
      </c>
    </row>
    <row r="8732" spans="7:7">
      <c r="G8732" t="s">
        <v>8920</v>
      </c>
    </row>
    <row r="8733" spans="7:7">
      <c r="G8733" t="s">
        <v>8921</v>
      </c>
    </row>
    <row r="8734" spans="7:7">
      <c r="G8734" t="s">
        <v>8922</v>
      </c>
    </row>
    <row r="8735" spans="7:7">
      <c r="G8735" t="s">
        <v>8923</v>
      </c>
    </row>
    <row r="8736" spans="7:7">
      <c r="G8736" t="s">
        <v>8924</v>
      </c>
    </row>
    <row r="8737" spans="7:7">
      <c r="G8737" t="s">
        <v>8925</v>
      </c>
    </row>
    <row r="8738" spans="7:7">
      <c r="G8738" t="s">
        <v>8926</v>
      </c>
    </row>
    <row r="8739" spans="7:7">
      <c r="G8739" t="s">
        <v>8927</v>
      </c>
    </row>
    <row r="8740" spans="7:7">
      <c r="G8740" t="s">
        <v>8928</v>
      </c>
    </row>
    <row r="8741" spans="7:7">
      <c r="G8741" t="s">
        <v>8929</v>
      </c>
    </row>
    <row r="8742" spans="7:7">
      <c r="G8742" t="s">
        <v>8930</v>
      </c>
    </row>
    <row r="8743" spans="7:7">
      <c r="G8743" t="s">
        <v>8931</v>
      </c>
    </row>
    <row r="8744" spans="7:7">
      <c r="G8744" t="s">
        <v>8932</v>
      </c>
    </row>
    <row r="8745" spans="7:7">
      <c r="G8745" t="s">
        <v>8933</v>
      </c>
    </row>
    <row r="8746" spans="7:7">
      <c r="G8746" t="s">
        <v>8934</v>
      </c>
    </row>
    <row r="8747" spans="7:7">
      <c r="G8747" t="s">
        <v>8935</v>
      </c>
    </row>
    <row r="8748" spans="7:7">
      <c r="G8748" t="s">
        <v>8936</v>
      </c>
    </row>
    <row r="8749" spans="7:7">
      <c r="G8749" t="s">
        <v>8937</v>
      </c>
    </row>
    <row r="8750" spans="7:7">
      <c r="G8750" t="s">
        <v>8938</v>
      </c>
    </row>
    <row r="8751" spans="7:7">
      <c r="G8751" t="s">
        <v>8939</v>
      </c>
    </row>
    <row r="8752" spans="7:7">
      <c r="G8752" t="s">
        <v>8940</v>
      </c>
    </row>
    <row r="8753" spans="7:7">
      <c r="G8753" t="s">
        <v>8941</v>
      </c>
    </row>
    <row r="8754" spans="7:7">
      <c r="G8754" t="s">
        <v>8942</v>
      </c>
    </row>
    <row r="8755" spans="7:7">
      <c r="G8755" t="s">
        <v>8943</v>
      </c>
    </row>
    <row r="8756" spans="7:7">
      <c r="G8756" t="s">
        <v>8944</v>
      </c>
    </row>
    <row r="8757" spans="7:7">
      <c r="G8757" t="s">
        <v>8945</v>
      </c>
    </row>
    <row r="8758" spans="7:7">
      <c r="G8758" t="s">
        <v>8946</v>
      </c>
    </row>
    <row r="8759" spans="7:7">
      <c r="G8759" t="s">
        <v>8947</v>
      </c>
    </row>
    <row r="8760" spans="7:7">
      <c r="G8760" t="s">
        <v>8948</v>
      </c>
    </row>
    <row r="8761" spans="7:7">
      <c r="G8761" t="s">
        <v>8949</v>
      </c>
    </row>
    <row r="8762" spans="7:7">
      <c r="G8762" t="s">
        <v>8950</v>
      </c>
    </row>
    <row r="8763" spans="7:7">
      <c r="G8763" t="s">
        <v>8951</v>
      </c>
    </row>
    <row r="8764" spans="7:7">
      <c r="G8764" t="s">
        <v>8952</v>
      </c>
    </row>
    <row r="8765" spans="7:7">
      <c r="G8765" t="s">
        <v>8953</v>
      </c>
    </row>
    <row r="8766" spans="7:7">
      <c r="G8766" t="s">
        <v>8954</v>
      </c>
    </row>
    <row r="8767" spans="7:7">
      <c r="G8767" t="s">
        <v>8955</v>
      </c>
    </row>
    <row r="8768" spans="7:7">
      <c r="G8768" t="s">
        <v>8956</v>
      </c>
    </row>
    <row r="8769" spans="7:7">
      <c r="G8769" t="s">
        <v>8957</v>
      </c>
    </row>
    <row r="8770" spans="7:7">
      <c r="G8770" t="s">
        <v>8958</v>
      </c>
    </row>
    <row r="8771" spans="7:7">
      <c r="G8771" t="s">
        <v>8959</v>
      </c>
    </row>
    <row r="8772" spans="7:7">
      <c r="G8772" t="s">
        <v>8960</v>
      </c>
    </row>
    <row r="8773" spans="7:7">
      <c r="G8773" t="s">
        <v>8961</v>
      </c>
    </row>
    <row r="8774" spans="7:7">
      <c r="G8774" t="s">
        <v>8962</v>
      </c>
    </row>
    <row r="8775" spans="7:7">
      <c r="G8775" t="s">
        <v>8963</v>
      </c>
    </row>
    <row r="8776" spans="7:7">
      <c r="G8776" t="s">
        <v>8964</v>
      </c>
    </row>
    <row r="8777" spans="7:7">
      <c r="G8777" t="s">
        <v>8965</v>
      </c>
    </row>
    <row r="8778" spans="7:7">
      <c r="G8778" t="s">
        <v>8966</v>
      </c>
    </row>
    <row r="8779" spans="7:7">
      <c r="G8779" t="s">
        <v>8967</v>
      </c>
    </row>
    <row r="8780" spans="7:7">
      <c r="G8780" t="s">
        <v>8968</v>
      </c>
    </row>
    <row r="8781" spans="7:7">
      <c r="G8781" t="s">
        <v>8969</v>
      </c>
    </row>
    <row r="8782" spans="7:7">
      <c r="G8782" t="s">
        <v>8970</v>
      </c>
    </row>
    <row r="8783" spans="7:7">
      <c r="G8783" t="s">
        <v>8971</v>
      </c>
    </row>
    <row r="8784" spans="7:7">
      <c r="G8784" t="s">
        <v>8972</v>
      </c>
    </row>
    <row r="8785" spans="7:7">
      <c r="G8785" t="s">
        <v>8973</v>
      </c>
    </row>
    <row r="8786" spans="7:7">
      <c r="G8786" t="s">
        <v>8974</v>
      </c>
    </row>
    <row r="8787" spans="7:7">
      <c r="G8787" t="s">
        <v>8975</v>
      </c>
    </row>
    <row r="8788" spans="7:7">
      <c r="G8788" t="s">
        <v>8976</v>
      </c>
    </row>
    <row r="8789" spans="7:7">
      <c r="G8789" t="s">
        <v>8977</v>
      </c>
    </row>
    <row r="8790" spans="7:7">
      <c r="G8790" t="s">
        <v>8978</v>
      </c>
    </row>
    <row r="8791" spans="7:7">
      <c r="G8791" t="s">
        <v>8979</v>
      </c>
    </row>
    <row r="8792" spans="7:7">
      <c r="G8792" t="s">
        <v>8980</v>
      </c>
    </row>
    <row r="8793" spans="7:7">
      <c r="G8793" t="s">
        <v>8981</v>
      </c>
    </row>
    <row r="8794" spans="7:7">
      <c r="G8794" t="s">
        <v>8982</v>
      </c>
    </row>
    <row r="8795" spans="7:7">
      <c r="G8795" t="s">
        <v>8983</v>
      </c>
    </row>
    <row r="8796" spans="7:7">
      <c r="G8796" t="s">
        <v>8984</v>
      </c>
    </row>
    <row r="8797" spans="7:7">
      <c r="G8797" t="s">
        <v>8985</v>
      </c>
    </row>
    <row r="8798" spans="7:7">
      <c r="G8798" t="s">
        <v>8986</v>
      </c>
    </row>
    <row r="8799" spans="7:7">
      <c r="G8799" t="s">
        <v>8987</v>
      </c>
    </row>
    <row r="8800" spans="7:7">
      <c r="G8800" t="s">
        <v>8988</v>
      </c>
    </row>
    <row r="8801" spans="7:7">
      <c r="G8801" t="s">
        <v>8989</v>
      </c>
    </row>
    <row r="8802" spans="7:7">
      <c r="G8802" t="s">
        <v>8990</v>
      </c>
    </row>
    <row r="8803" spans="7:7">
      <c r="G8803" t="s">
        <v>8991</v>
      </c>
    </row>
    <row r="8804" spans="7:7">
      <c r="G8804" t="s">
        <v>8992</v>
      </c>
    </row>
    <row r="8805" spans="7:7">
      <c r="G8805" t="s">
        <v>8993</v>
      </c>
    </row>
    <row r="8806" spans="7:7">
      <c r="G8806" t="s">
        <v>8994</v>
      </c>
    </row>
    <row r="8807" spans="7:7">
      <c r="G8807" t="s">
        <v>8995</v>
      </c>
    </row>
    <row r="8808" spans="7:7">
      <c r="G8808" t="s">
        <v>8996</v>
      </c>
    </row>
    <row r="8809" spans="7:7">
      <c r="G8809" t="s">
        <v>8997</v>
      </c>
    </row>
    <row r="8810" spans="7:7">
      <c r="G8810" t="s">
        <v>8998</v>
      </c>
    </row>
    <row r="8811" spans="7:7">
      <c r="G8811" t="s">
        <v>8999</v>
      </c>
    </row>
    <row r="8812" spans="7:7">
      <c r="G8812" t="s">
        <v>9000</v>
      </c>
    </row>
    <row r="8813" spans="7:7">
      <c r="G8813" t="s">
        <v>9001</v>
      </c>
    </row>
    <row r="8814" spans="7:7">
      <c r="G8814" t="s">
        <v>9002</v>
      </c>
    </row>
    <row r="8815" spans="7:7">
      <c r="G8815" t="s">
        <v>9003</v>
      </c>
    </row>
    <row r="8816" spans="7:7">
      <c r="G8816" t="s">
        <v>9004</v>
      </c>
    </row>
    <row r="8817" spans="7:7">
      <c r="G8817" t="s">
        <v>9005</v>
      </c>
    </row>
    <row r="8818" spans="7:7">
      <c r="G8818" t="s">
        <v>9006</v>
      </c>
    </row>
    <row r="8819" spans="7:7">
      <c r="G8819" t="s">
        <v>9007</v>
      </c>
    </row>
    <row r="8820" spans="7:7">
      <c r="G8820" t="s">
        <v>9008</v>
      </c>
    </row>
    <row r="8821" spans="7:7">
      <c r="G8821" t="s">
        <v>9009</v>
      </c>
    </row>
    <row r="8822" spans="7:7">
      <c r="G8822" t="s">
        <v>9010</v>
      </c>
    </row>
    <row r="8823" spans="7:7">
      <c r="G8823" t="s">
        <v>9011</v>
      </c>
    </row>
    <row r="8824" spans="7:7">
      <c r="G8824" t="s">
        <v>9012</v>
      </c>
    </row>
    <row r="8825" spans="7:7">
      <c r="G8825" t="s">
        <v>9013</v>
      </c>
    </row>
    <row r="8826" spans="7:7">
      <c r="G8826" t="s">
        <v>9014</v>
      </c>
    </row>
    <row r="8827" spans="7:7">
      <c r="G8827" t="s">
        <v>9015</v>
      </c>
    </row>
    <row r="8828" spans="7:7">
      <c r="G8828" t="s">
        <v>9016</v>
      </c>
    </row>
    <row r="8829" spans="7:7">
      <c r="G8829" t="s">
        <v>9017</v>
      </c>
    </row>
    <row r="8830" spans="7:7">
      <c r="G8830" t="s">
        <v>9018</v>
      </c>
    </row>
    <row r="8831" spans="7:7">
      <c r="G8831" t="s">
        <v>9019</v>
      </c>
    </row>
    <row r="8832" spans="7:7">
      <c r="G8832" t="s">
        <v>9020</v>
      </c>
    </row>
    <row r="8833" spans="7:7">
      <c r="G8833" t="s">
        <v>9021</v>
      </c>
    </row>
    <row r="8834" spans="7:7">
      <c r="G8834" t="s">
        <v>9022</v>
      </c>
    </row>
    <row r="8835" spans="7:7">
      <c r="G8835" t="s">
        <v>9023</v>
      </c>
    </row>
    <row r="8836" spans="7:7">
      <c r="G8836" t="s">
        <v>9024</v>
      </c>
    </row>
    <row r="8837" spans="7:7">
      <c r="G8837" t="s">
        <v>9025</v>
      </c>
    </row>
    <row r="8838" spans="7:7">
      <c r="G8838" t="s">
        <v>9026</v>
      </c>
    </row>
    <row r="8839" spans="7:7">
      <c r="G8839" t="s">
        <v>9027</v>
      </c>
    </row>
    <row r="8840" spans="7:7">
      <c r="G8840" t="s">
        <v>9028</v>
      </c>
    </row>
    <row r="8841" spans="7:7">
      <c r="G8841" t="s">
        <v>9029</v>
      </c>
    </row>
    <row r="8842" spans="7:7">
      <c r="G8842" t="s">
        <v>9030</v>
      </c>
    </row>
    <row r="8843" spans="7:7">
      <c r="G8843" t="s">
        <v>9031</v>
      </c>
    </row>
    <row r="8844" spans="7:7">
      <c r="G8844" t="s">
        <v>9032</v>
      </c>
    </row>
    <row r="8845" spans="7:7">
      <c r="G8845" t="s">
        <v>9033</v>
      </c>
    </row>
    <row r="8846" spans="7:7">
      <c r="G8846" t="s">
        <v>9034</v>
      </c>
    </row>
    <row r="8847" spans="7:7">
      <c r="G8847" t="s">
        <v>9035</v>
      </c>
    </row>
    <row r="8848" spans="7:7">
      <c r="G8848" t="s">
        <v>9036</v>
      </c>
    </row>
    <row r="8849" spans="7:7">
      <c r="G8849" t="s">
        <v>9037</v>
      </c>
    </row>
    <row r="8850" spans="7:7">
      <c r="G8850" t="s">
        <v>9038</v>
      </c>
    </row>
    <row r="8851" spans="7:7">
      <c r="G8851" t="s">
        <v>9039</v>
      </c>
    </row>
    <row r="8852" spans="7:7">
      <c r="G8852" t="s">
        <v>9040</v>
      </c>
    </row>
    <row r="8853" spans="7:7">
      <c r="G8853" t="s">
        <v>9041</v>
      </c>
    </row>
    <row r="8854" spans="7:7">
      <c r="G8854" t="s">
        <v>9042</v>
      </c>
    </row>
    <row r="8855" spans="7:7">
      <c r="G8855" t="s">
        <v>9043</v>
      </c>
    </row>
    <row r="8856" spans="7:7">
      <c r="G8856" t="s">
        <v>9044</v>
      </c>
    </row>
    <row r="8857" spans="7:7">
      <c r="G8857" t="s">
        <v>9045</v>
      </c>
    </row>
    <row r="8858" spans="7:7">
      <c r="G8858" t="s">
        <v>9046</v>
      </c>
    </row>
    <row r="8859" spans="7:7">
      <c r="G8859" t="s">
        <v>9047</v>
      </c>
    </row>
    <row r="8860" spans="7:7">
      <c r="G8860" t="s">
        <v>9048</v>
      </c>
    </row>
    <row r="8861" spans="7:7">
      <c r="G8861" t="s">
        <v>9049</v>
      </c>
    </row>
    <row r="8862" spans="7:7">
      <c r="G8862" t="s">
        <v>9050</v>
      </c>
    </row>
    <row r="8863" spans="7:7">
      <c r="G8863" t="s">
        <v>9051</v>
      </c>
    </row>
    <row r="8864" spans="7:7">
      <c r="G8864" t="s">
        <v>9052</v>
      </c>
    </row>
    <row r="8865" spans="7:7">
      <c r="G8865" t="s">
        <v>9053</v>
      </c>
    </row>
    <row r="8866" spans="7:7">
      <c r="G8866" t="s">
        <v>9054</v>
      </c>
    </row>
    <row r="8867" spans="7:7">
      <c r="G8867" t="s">
        <v>9055</v>
      </c>
    </row>
    <row r="8868" spans="7:7">
      <c r="G8868" t="s">
        <v>9056</v>
      </c>
    </row>
    <row r="8869" spans="7:7">
      <c r="G8869" t="s">
        <v>9057</v>
      </c>
    </row>
    <row r="8870" spans="7:7">
      <c r="G8870" t="s">
        <v>9058</v>
      </c>
    </row>
    <row r="8871" spans="7:7">
      <c r="G8871" t="s">
        <v>9059</v>
      </c>
    </row>
    <row r="8872" spans="7:7">
      <c r="G8872" t="s">
        <v>9060</v>
      </c>
    </row>
    <row r="8873" spans="7:7">
      <c r="G8873" t="s">
        <v>9061</v>
      </c>
    </row>
    <row r="8874" spans="7:7">
      <c r="G8874" t="s">
        <v>9062</v>
      </c>
    </row>
    <row r="8875" spans="7:7">
      <c r="G8875" t="s">
        <v>9063</v>
      </c>
    </row>
    <row r="8876" spans="7:7">
      <c r="G8876" t="s">
        <v>9064</v>
      </c>
    </row>
    <row r="8877" spans="7:7">
      <c r="G8877" t="s">
        <v>9065</v>
      </c>
    </row>
    <row r="8878" spans="7:7">
      <c r="G8878" t="s">
        <v>9066</v>
      </c>
    </row>
    <row r="8879" spans="7:7">
      <c r="G8879" t="s">
        <v>9067</v>
      </c>
    </row>
    <row r="8880" spans="7:7">
      <c r="G8880" t="s">
        <v>9068</v>
      </c>
    </row>
    <row r="8881" spans="7:7">
      <c r="G8881" t="s">
        <v>9069</v>
      </c>
    </row>
    <row r="8882" spans="7:7">
      <c r="G8882" t="s">
        <v>9070</v>
      </c>
    </row>
    <row r="8883" spans="7:7">
      <c r="G8883" t="s">
        <v>9071</v>
      </c>
    </row>
    <row r="8884" spans="7:7">
      <c r="G8884" t="s">
        <v>9072</v>
      </c>
    </row>
    <row r="8885" spans="7:7">
      <c r="G8885" t="s">
        <v>9073</v>
      </c>
    </row>
    <row r="8886" spans="7:7">
      <c r="G8886" t="s">
        <v>9074</v>
      </c>
    </row>
    <row r="8887" spans="7:7">
      <c r="G8887" t="s">
        <v>9075</v>
      </c>
    </row>
    <row r="8888" spans="7:7">
      <c r="G8888" t="s">
        <v>9076</v>
      </c>
    </row>
    <row r="8889" spans="7:7">
      <c r="G8889" t="s">
        <v>9077</v>
      </c>
    </row>
    <row r="8890" spans="7:7">
      <c r="G8890" t="s">
        <v>9078</v>
      </c>
    </row>
    <row r="8891" spans="7:7">
      <c r="G8891" t="s">
        <v>9079</v>
      </c>
    </row>
    <row r="8892" spans="7:7">
      <c r="G8892" t="s">
        <v>9080</v>
      </c>
    </row>
    <row r="8893" spans="7:7">
      <c r="G8893" t="s">
        <v>9081</v>
      </c>
    </row>
    <row r="8894" spans="7:7">
      <c r="G8894" t="s">
        <v>9082</v>
      </c>
    </row>
    <row r="8895" spans="7:7">
      <c r="G8895" t="s">
        <v>9083</v>
      </c>
    </row>
    <row r="8896" spans="7:7">
      <c r="G8896" t="s">
        <v>9084</v>
      </c>
    </row>
    <row r="8897" spans="7:7">
      <c r="G8897" t="s">
        <v>9085</v>
      </c>
    </row>
    <row r="8898" spans="7:7">
      <c r="G8898" t="s">
        <v>9086</v>
      </c>
    </row>
    <row r="8899" spans="7:7">
      <c r="G8899" t="s">
        <v>9087</v>
      </c>
    </row>
    <row r="8900" spans="7:7">
      <c r="G8900" t="s">
        <v>9088</v>
      </c>
    </row>
    <row r="8901" spans="7:7">
      <c r="G8901" t="s">
        <v>9089</v>
      </c>
    </row>
    <row r="8902" spans="7:7">
      <c r="G8902" t="s">
        <v>9090</v>
      </c>
    </row>
    <row r="8903" spans="7:7">
      <c r="G8903" t="s">
        <v>9091</v>
      </c>
    </row>
    <row r="8904" spans="7:7">
      <c r="G8904" t="s">
        <v>9092</v>
      </c>
    </row>
    <row r="8905" spans="7:7">
      <c r="G8905" t="s">
        <v>9093</v>
      </c>
    </row>
    <row r="8906" spans="7:7">
      <c r="G8906" t="s">
        <v>9094</v>
      </c>
    </row>
    <row r="8907" spans="7:7">
      <c r="G8907" t="s">
        <v>9095</v>
      </c>
    </row>
    <row r="8908" spans="7:7">
      <c r="G8908" t="s">
        <v>9096</v>
      </c>
    </row>
    <row r="8909" spans="7:7">
      <c r="G8909" t="s">
        <v>9097</v>
      </c>
    </row>
    <row r="8910" spans="7:7">
      <c r="G8910" t="s">
        <v>9098</v>
      </c>
    </row>
    <row r="8911" spans="7:7">
      <c r="G8911" t="s">
        <v>9099</v>
      </c>
    </row>
    <row r="8912" spans="7:7">
      <c r="G8912" t="s">
        <v>9100</v>
      </c>
    </row>
    <row r="8913" spans="7:7">
      <c r="G8913" t="s">
        <v>9101</v>
      </c>
    </row>
    <row r="8914" spans="7:7">
      <c r="G8914" t="s">
        <v>9102</v>
      </c>
    </row>
    <row r="8915" spans="7:7">
      <c r="G8915" t="s">
        <v>9103</v>
      </c>
    </row>
    <row r="8916" spans="7:7">
      <c r="G8916" t="s">
        <v>9104</v>
      </c>
    </row>
    <row r="8917" spans="7:7">
      <c r="G8917" t="s">
        <v>9105</v>
      </c>
    </row>
    <row r="8918" spans="7:7">
      <c r="G8918" t="s">
        <v>9106</v>
      </c>
    </row>
    <row r="8919" spans="7:7">
      <c r="G8919" t="s">
        <v>9107</v>
      </c>
    </row>
    <row r="8920" spans="7:7">
      <c r="G8920" t="s">
        <v>9108</v>
      </c>
    </row>
    <row r="8921" spans="7:7">
      <c r="G8921" t="s">
        <v>9109</v>
      </c>
    </row>
    <row r="8922" spans="7:7">
      <c r="G8922" t="s">
        <v>9110</v>
      </c>
    </row>
    <row r="8923" spans="7:7">
      <c r="G8923" t="s">
        <v>9111</v>
      </c>
    </row>
    <row r="8924" spans="7:7">
      <c r="G8924" t="s">
        <v>9112</v>
      </c>
    </row>
    <row r="8925" spans="7:7">
      <c r="G8925" t="s">
        <v>9113</v>
      </c>
    </row>
    <row r="8926" spans="7:7">
      <c r="G8926" t="s">
        <v>9114</v>
      </c>
    </row>
    <row r="8927" spans="7:7">
      <c r="G8927" t="s">
        <v>9115</v>
      </c>
    </row>
    <row r="8928" spans="7:7">
      <c r="G8928" t="s">
        <v>9116</v>
      </c>
    </row>
    <row r="8929" spans="7:7">
      <c r="G8929" t="s">
        <v>9117</v>
      </c>
    </row>
    <row r="8930" spans="7:7">
      <c r="G8930" t="s">
        <v>9118</v>
      </c>
    </row>
    <row r="8931" spans="7:7">
      <c r="G8931" t="s">
        <v>9119</v>
      </c>
    </row>
    <row r="8932" spans="7:7">
      <c r="G8932" t="s">
        <v>9120</v>
      </c>
    </row>
    <row r="8933" spans="7:7">
      <c r="G8933" t="s">
        <v>9121</v>
      </c>
    </row>
    <row r="8934" spans="7:7">
      <c r="G8934" t="s">
        <v>9122</v>
      </c>
    </row>
    <row r="8935" spans="7:7">
      <c r="G8935" t="s">
        <v>9123</v>
      </c>
    </row>
    <row r="8936" spans="7:7">
      <c r="G8936" t="s">
        <v>9124</v>
      </c>
    </row>
    <row r="8937" spans="7:7">
      <c r="G8937" t="s">
        <v>9125</v>
      </c>
    </row>
    <row r="8938" spans="7:7">
      <c r="G8938" t="s">
        <v>9126</v>
      </c>
    </row>
    <row r="8939" spans="7:7">
      <c r="G8939" t="s">
        <v>9127</v>
      </c>
    </row>
    <row r="8940" spans="7:7">
      <c r="G8940" t="s">
        <v>9128</v>
      </c>
    </row>
    <row r="8941" spans="7:7">
      <c r="G8941" t="s">
        <v>9129</v>
      </c>
    </row>
    <row r="8942" spans="7:7">
      <c r="G8942" t="s">
        <v>9130</v>
      </c>
    </row>
    <row r="8943" spans="7:7">
      <c r="G8943" t="s">
        <v>9131</v>
      </c>
    </row>
    <row r="8944" spans="7:7">
      <c r="G8944" t="s">
        <v>9132</v>
      </c>
    </row>
    <row r="8945" spans="7:7">
      <c r="G8945" t="s">
        <v>9133</v>
      </c>
    </row>
    <row r="8946" spans="7:7">
      <c r="G8946" t="s">
        <v>9134</v>
      </c>
    </row>
    <row r="8947" spans="7:7">
      <c r="G8947" t="s">
        <v>9135</v>
      </c>
    </row>
    <row r="8948" spans="7:7">
      <c r="G8948" t="s">
        <v>9136</v>
      </c>
    </row>
    <row r="8949" spans="7:7">
      <c r="G8949" t="s">
        <v>9137</v>
      </c>
    </row>
    <row r="8950" spans="7:7">
      <c r="G8950" t="s">
        <v>9138</v>
      </c>
    </row>
    <row r="8951" spans="7:7">
      <c r="G8951" t="s">
        <v>9139</v>
      </c>
    </row>
    <row r="8952" spans="7:7">
      <c r="G8952" t="s">
        <v>9140</v>
      </c>
    </row>
    <row r="8953" spans="7:7">
      <c r="G8953" t="s">
        <v>9141</v>
      </c>
    </row>
    <row r="8954" spans="7:7">
      <c r="G8954" t="s">
        <v>9142</v>
      </c>
    </row>
    <row r="8955" spans="7:7">
      <c r="G8955" t="s">
        <v>9143</v>
      </c>
    </row>
    <row r="8956" spans="7:7">
      <c r="G8956" t="s">
        <v>9144</v>
      </c>
    </row>
    <row r="8957" spans="7:7">
      <c r="G8957" t="s">
        <v>9145</v>
      </c>
    </row>
    <row r="8958" spans="7:7">
      <c r="G8958" t="s">
        <v>9146</v>
      </c>
    </row>
    <row r="8959" spans="7:7">
      <c r="G8959" t="s">
        <v>9147</v>
      </c>
    </row>
    <row r="8960" spans="7:7">
      <c r="G8960" t="s">
        <v>9148</v>
      </c>
    </row>
    <row r="8961" spans="7:7">
      <c r="G8961" t="s">
        <v>9149</v>
      </c>
    </row>
    <row r="8962" spans="7:7">
      <c r="G8962" t="s">
        <v>9150</v>
      </c>
    </row>
    <row r="8963" spans="7:7">
      <c r="G8963" t="s">
        <v>9151</v>
      </c>
    </row>
    <row r="8964" spans="7:7">
      <c r="G8964" t="s">
        <v>9152</v>
      </c>
    </row>
    <row r="8965" spans="7:7">
      <c r="G8965" t="s">
        <v>9153</v>
      </c>
    </row>
    <row r="8966" spans="7:7">
      <c r="G8966" t="s">
        <v>9154</v>
      </c>
    </row>
    <row r="8967" spans="7:7">
      <c r="G8967" t="s">
        <v>9155</v>
      </c>
    </row>
    <row r="8968" spans="7:7">
      <c r="G8968" t="s">
        <v>9156</v>
      </c>
    </row>
    <row r="8969" spans="7:7">
      <c r="G8969" t="s">
        <v>9157</v>
      </c>
    </row>
    <row r="8970" spans="7:7">
      <c r="G8970" t="s">
        <v>9158</v>
      </c>
    </row>
    <row r="8971" spans="7:7">
      <c r="G8971" t="s">
        <v>9159</v>
      </c>
    </row>
    <row r="8972" spans="7:7">
      <c r="G8972" t="s">
        <v>9160</v>
      </c>
    </row>
    <row r="8973" spans="7:7">
      <c r="G8973" t="s">
        <v>9161</v>
      </c>
    </row>
    <row r="8974" spans="7:7">
      <c r="G8974" t="s">
        <v>9162</v>
      </c>
    </row>
    <row r="8975" spans="7:7">
      <c r="G8975" t="s">
        <v>9163</v>
      </c>
    </row>
    <row r="8976" spans="7:7">
      <c r="G8976" t="s">
        <v>9164</v>
      </c>
    </row>
    <row r="8977" spans="7:7">
      <c r="G8977" t="s">
        <v>9165</v>
      </c>
    </row>
    <row r="8978" spans="7:7">
      <c r="G8978" t="s">
        <v>9166</v>
      </c>
    </row>
    <row r="8979" spans="7:7">
      <c r="G8979" t="s">
        <v>9167</v>
      </c>
    </row>
    <row r="8980" spans="7:7">
      <c r="G8980" t="s">
        <v>9168</v>
      </c>
    </row>
    <row r="8981" spans="7:7">
      <c r="G8981" t="s">
        <v>9169</v>
      </c>
    </row>
    <row r="8982" spans="7:7">
      <c r="G8982" t="s">
        <v>9170</v>
      </c>
    </row>
    <row r="8983" spans="7:7">
      <c r="G8983" t="s">
        <v>9171</v>
      </c>
    </row>
    <row r="8984" spans="7:7">
      <c r="G8984" t="s">
        <v>9172</v>
      </c>
    </row>
    <row r="8985" spans="7:7">
      <c r="G8985" t="s">
        <v>9173</v>
      </c>
    </row>
    <row r="8986" spans="7:7">
      <c r="G8986" t="s">
        <v>9174</v>
      </c>
    </row>
    <row r="8987" spans="7:7">
      <c r="G8987" t="s">
        <v>9175</v>
      </c>
    </row>
    <row r="8988" spans="7:7">
      <c r="G8988" t="s">
        <v>9176</v>
      </c>
    </row>
    <row r="8989" spans="7:7">
      <c r="G8989" t="s">
        <v>9177</v>
      </c>
    </row>
    <row r="8990" spans="7:7">
      <c r="G8990" t="s">
        <v>9178</v>
      </c>
    </row>
    <row r="8991" spans="7:7">
      <c r="G8991" t="s">
        <v>9179</v>
      </c>
    </row>
    <row r="8992" spans="7:7">
      <c r="G8992" t="s">
        <v>9180</v>
      </c>
    </row>
    <row r="8993" spans="7:7">
      <c r="G8993" t="s">
        <v>9181</v>
      </c>
    </row>
    <row r="8994" spans="7:7">
      <c r="G8994" t="s">
        <v>9182</v>
      </c>
    </row>
    <row r="8995" spans="7:7">
      <c r="G8995" t="s">
        <v>9183</v>
      </c>
    </row>
    <row r="8996" spans="7:7">
      <c r="G8996" t="s">
        <v>9184</v>
      </c>
    </row>
    <row r="8997" spans="7:7">
      <c r="G8997" t="s">
        <v>9185</v>
      </c>
    </row>
    <row r="8998" spans="7:7">
      <c r="G8998" t="s">
        <v>9186</v>
      </c>
    </row>
    <row r="8999" spans="7:7">
      <c r="G8999" t="s">
        <v>9187</v>
      </c>
    </row>
    <row r="9000" spans="7:7">
      <c r="G9000" t="s">
        <v>9188</v>
      </c>
    </row>
    <row r="9001" spans="7:7">
      <c r="G9001" t="s">
        <v>9189</v>
      </c>
    </row>
    <row r="9002" spans="7:7">
      <c r="G9002" t="s">
        <v>9190</v>
      </c>
    </row>
    <row r="9003" spans="7:7">
      <c r="G9003" t="s">
        <v>9191</v>
      </c>
    </row>
    <row r="9004" spans="7:7">
      <c r="G9004" t="s">
        <v>9192</v>
      </c>
    </row>
    <row r="9005" spans="7:7">
      <c r="G9005" t="s">
        <v>9193</v>
      </c>
    </row>
    <row r="9006" spans="7:7">
      <c r="G9006" t="s">
        <v>9194</v>
      </c>
    </row>
    <row r="9007" spans="7:7">
      <c r="G9007" t="s">
        <v>9195</v>
      </c>
    </row>
    <row r="9008" spans="7:7">
      <c r="G9008" t="s">
        <v>9196</v>
      </c>
    </row>
    <row r="9009" spans="7:7">
      <c r="G9009" t="s">
        <v>9197</v>
      </c>
    </row>
    <row r="9010" spans="7:7">
      <c r="G9010" t="s">
        <v>9198</v>
      </c>
    </row>
    <row r="9011" spans="7:7">
      <c r="G9011" t="s">
        <v>9199</v>
      </c>
    </row>
    <row r="9012" spans="7:7">
      <c r="G9012" t="s">
        <v>9200</v>
      </c>
    </row>
    <row r="9013" spans="7:7">
      <c r="G9013" t="s">
        <v>9201</v>
      </c>
    </row>
    <row r="9014" spans="7:7">
      <c r="G9014" t="s">
        <v>9202</v>
      </c>
    </row>
    <row r="9015" spans="7:7">
      <c r="G9015" t="s">
        <v>9203</v>
      </c>
    </row>
    <row r="9016" spans="7:7">
      <c r="G9016" t="s">
        <v>9204</v>
      </c>
    </row>
    <row r="9017" spans="7:7">
      <c r="G9017" t="s">
        <v>9205</v>
      </c>
    </row>
    <row r="9018" spans="7:7">
      <c r="G9018" t="s">
        <v>9206</v>
      </c>
    </row>
    <row r="9019" spans="7:7">
      <c r="G9019" t="s">
        <v>9207</v>
      </c>
    </row>
    <row r="9020" spans="7:7">
      <c r="G9020" t="s">
        <v>9208</v>
      </c>
    </row>
    <row r="9021" spans="7:7">
      <c r="G9021" t="s">
        <v>9209</v>
      </c>
    </row>
    <row r="9022" spans="7:7">
      <c r="G9022" t="s">
        <v>9210</v>
      </c>
    </row>
    <row r="9023" spans="7:7">
      <c r="G9023" t="s">
        <v>9211</v>
      </c>
    </row>
    <row r="9024" spans="7:7">
      <c r="G9024" t="s">
        <v>9212</v>
      </c>
    </row>
    <row r="9025" spans="7:7">
      <c r="G9025" t="s">
        <v>9213</v>
      </c>
    </row>
    <row r="9026" spans="7:7">
      <c r="G9026" t="s">
        <v>9214</v>
      </c>
    </row>
    <row r="9027" spans="7:7">
      <c r="G9027" t="s">
        <v>9215</v>
      </c>
    </row>
    <row r="9028" spans="7:7">
      <c r="G9028" t="s">
        <v>9216</v>
      </c>
    </row>
    <row r="9029" spans="7:7">
      <c r="G9029" t="s">
        <v>9217</v>
      </c>
    </row>
    <row r="9030" spans="7:7">
      <c r="G9030" t="s">
        <v>9218</v>
      </c>
    </row>
    <row r="9031" spans="7:7">
      <c r="G9031" t="s">
        <v>9219</v>
      </c>
    </row>
    <row r="9032" spans="7:7">
      <c r="G9032" t="s">
        <v>9220</v>
      </c>
    </row>
    <row r="9033" spans="7:7">
      <c r="G9033" t="s">
        <v>9221</v>
      </c>
    </row>
    <row r="9034" spans="7:7">
      <c r="G9034" t="s">
        <v>9222</v>
      </c>
    </row>
    <row r="9035" spans="7:7">
      <c r="G9035" t="s">
        <v>9223</v>
      </c>
    </row>
    <row r="9036" spans="7:7">
      <c r="G9036" t="s">
        <v>9224</v>
      </c>
    </row>
    <row r="9037" spans="7:7">
      <c r="G9037" t="s">
        <v>9225</v>
      </c>
    </row>
    <row r="9038" spans="7:7">
      <c r="G9038" t="s">
        <v>9226</v>
      </c>
    </row>
    <row r="9039" spans="7:7">
      <c r="G9039" t="s">
        <v>9227</v>
      </c>
    </row>
    <row r="9040" spans="7:7">
      <c r="G9040" t="s">
        <v>9228</v>
      </c>
    </row>
    <row r="9041" spans="7:7">
      <c r="G9041" t="s">
        <v>9229</v>
      </c>
    </row>
    <row r="9042" spans="7:7">
      <c r="G9042" t="s">
        <v>9230</v>
      </c>
    </row>
    <row r="9043" spans="7:7">
      <c r="G9043" t="s">
        <v>9231</v>
      </c>
    </row>
    <row r="9044" spans="7:7">
      <c r="G9044" t="s">
        <v>9232</v>
      </c>
    </row>
    <row r="9045" spans="7:7">
      <c r="G9045" t="s">
        <v>9233</v>
      </c>
    </row>
    <row r="9046" spans="7:7">
      <c r="G9046" t="s">
        <v>9234</v>
      </c>
    </row>
    <row r="9047" spans="7:7">
      <c r="G9047" t="s">
        <v>9235</v>
      </c>
    </row>
    <row r="9048" spans="7:7">
      <c r="G9048" t="s">
        <v>9236</v>
      </c>
    </row>
    <row r="9049" spans="7:7">
      <c r="G9049" t="s">
        <v>9237</v>
      </c>
    </row>
    <row r="9050" spans="7:7">
      <c r="G9050" t="s">
        <v>9238</v>
      </c>
    </row>
    <row r="9051" spans="7:7">
      <c r="G9051" t="s">
        <v>9239</v>
      </c>
    </row>
    <row r="9052" spans="7:7">
      <c r="G9052" t="s">
        <v>9240</v>
      </c>
    </row>
    <row r="9053" spans="7:7">
      <c r="G9053" t="s">
        <v>9241</v>
      </c>
    </row>
    <row r="9054" spans="7:7">
      <c r="G9054" t="s">
        <v>9242</v>
      </c>
    </row>
    <row r="9055" spans="7:7">
      <c r="G9055" t="s">
        <v>9243</v>
      </c>
    </row>
    <row r="9056" spans="7:7">
      <c r="G9056" t="s">
        <v>9244</v>
      </c>
    </row>
    <row r="9057" spans="7:7">
      <c r="G9057" t="s">
        <v>9245</v>
      </c>
    </row>
    <row r="9058" spans="7:7">
      <c r="G9058" t="s">
        <v>9246</v>
      </c>
    </row>
    <row r="9059" spans="7:7">
      <c r="G9059" t="s">
        <v>9247</v>
      </c>
    </row>
    <row r="9060" spans="7:7">
      <c r="G9060" t="s">
        <v>9248</v>
      </c>
    </row>
    <row r="9061" spans="7:7">
      <c r="G9061" t="s">
        <v>9249</v>
      </c>
    </row>
    <row r="9062" spans="7:7">
      <c r="G9062" t="s">
        <v>9250</v>
      </c>
    </row>
    <row r="9063" spans="7:7">
      <c r="G9063" t="s">
        <v>9251</v>
      </c>
    </row>
    <row r="9064" spans="7:7">
      <c r="G9064" t="s">
        <v>9252</v>
      </c>
    </row>
    <row r="9065" spans="7:7">
      <c r="G9065" t="s">
        <v>9253</v>
      </c>
    </row>
    <row r="9066" spans="7:7">
      <c r="G9066" t="s">
        <v>9254</v>
      </c>
    </row>
    <row r="9067" spans="7:7">
      <c r="G9067" t="s">
        <v>9255</v>
      </c>
    </row>
    <row r="9068" spans="7:7">
      <c r="G9068" t="s">
        <v>9256</v>
      </c>
    </row>
    <row r="9069" spans="7:7">
      <c r="G9069" t="s">
        <v>9257</v>
      </c>
    </row>
    <row r="9070" spans="7:7">
      <c r="G9070" t="s">
        <v>9258</v>
      </c>
    </row>
    <row r="9071" spans="7:7">
      <c r="G9071" t="s">
        <v>9259</v>
      </c>
    </row>
    <row r="9072" spans="7:7">
      <c r="G9072" t="s">
        <v>9260</v>
      </c>
    </row>
    <row r="9073" spans="7:7">
      <c r="G9073" t="s">
        <v>9261</v>
      </c>
    </row>
    <row r="9074" spans="7:7">
      <c r="G9074" t="s">
        <v>9262</v>
      </c>
    </row>
    <row r="9075" spans="7:7">
      <c r="G9075" t="s">
        <v>9263</v>
      </c>
    </row>
    <row r="9076" spans="7:7">
      <c r="G9076" t="s">
        <v>9264</v>
      </c>
    </row>
    <row r="9077" spans="7:7">
      <c r="G9077" t="s">
        <v>9265</v>
      </c>
    </row>
    <row r="9078" spans="7:7">
      <c r="G9078" t="s">
        <v>9266</v>
      </c>
    </row>
    <row r="9079" spans="7:7">
      <c r="G9079" t="s">
        <v>9267</v>
      </c>
    </row>
    <row r="9080" spans="7:7">
      <c r="G9080" t="s">
        <v>9268</v>
      </c>
    </row>
    <row r="9081" spans="7:7">
      <c r="G9081" t="s">
        <v>9269</v>
      </c>
    </row>
    <row r="9082" spans="7:7">
      <c r="G9082" t="s">
        <v>9270</v>
      </c>
    </row>
    <row r="9083" spans="7:7">
      <c r="G9083" t="s">
        <v>9271</v>
      </c>
    </row>
    <row r="9084" spans="7:7">
      <c r="G9084" t="s">
        <v>9272</v>
      </c>
    </row>
    <row r="9085" spans="7:7">
      <c r="G9085" t="s">
        <v>9273</v>
      </c>
    </row>
    <row r="9086" spans="7:7">
      <c r="G9086" t="s">
        <v>9274</v>
      </c>
    </row>
    <row r="9087" spans="7:7">
      <c r="G9087" t="s">
        <v>9275</v>
      </c>
    </row>
    <row r="9088" spans="7:7">
      <c r="G9088" t="s">
        <v>9276</v>
      </c>
    </row>
    <row r="9089" spans="7:7">
      <c r="G9089" t="s">
        <v>9277</v>
      </c>
    </row>
    <row r="9090" spans="7:7">
      <c r="G9090" t="s">
        <v>9278</v>
      </c>
    </row>
    <row r="9091" spans="7:7">
      <c r="G9091" t="s">
        <v>9279</v>
      </c>
    </row>
    <row r="9092" spans="7:7">
      <c r="G9092" t="s">
        <v>9280</v>
      </c>
    </row>
    <row r="9093" spans="7:7">
      <c r="G9093" t="s">
        <v>9281</v>
      </c>
    </row>
    <row r="9094" spans="7:7">
      <c r="G9094" t="s">
        <v>9282</v>
      </c>
    </row>
    <row r="9095" spans="7:7">
      <c r="G9095" t="s">
        <v>9283</v>
      </c>
    </row>
    <row r="9096" spans="7:7">
      <c r="G9096" t="s">
        <v>9284</v>
      </c>
    </row>
    <row r="9097" spans="7:7">
      <c r="G9097" t="s">
        <v>9285</v>
      </c>
    </row>
    <row r="9098" spans="7:7">
      <c r="G9098" t="s">
        <v>9286</v>
      </c>
    </row>
    <row r="9099" spans="7:7">
      <c r="G9099" t="s">
        <v>9287</v>
      </c>
    </row>
    <row r="9100" spans="7:7">
      <c r="G9100" t="s">
        <v>9288</v>
      </c>
    </row>
    <row r="9101" spans="7:7">
      <c r="G9101" t="s">
        <v>9289</v>
      </c>
    </row>
    <row r="9102" spans="7:7">
      <c r="G9102" t="s">
        <v>9290</v>
      </c>
    </row>
    <row r="9103" spans="7:7">
      <c r="G9103" t="s">
        <v>9291</v>
      </c>
    </row>
    <row r="9104" spans="7:7">
      <c r="G9104" t="s">
        <v>9292</v>
      </c>
    </row>
    <row r="9105" spans="7:7">
      <c r="G9105" t="s">
        <v>9293</v>
      </c>
    </row>
    <row r="9106" spans="7:7">
      <c r="G9106" t="s">
        <v>9294</v>
      </c>
    </row>
    <row r="9107" spans="7:7">
      <c r="G9107" t="s">
        <v>9295</v>
      </c>
    </row>
    <row r="9108" spans="7:7">
      <c r="G9108" t="s">
        <v>9296</v>
      </c>
    </row>
    <row r="9109" spans="7:7">
      <c r="G9109" t="s">
        <v>9297</v>
      </c>
    </row>
    <row r="9110" spans="7:7">
      <c r="G9110" t="s">
        <v>9298</v>
      </c>
    </row>
    <row r="9111" spans="7:7">
      <c r="G9111" t="s">
        <v>9299</v>
      </c>
    </row>
    <row r="9112" spans="7:7">
      <c r="G9112" t="s">
        <v>9300</v>
      </c>
    </row>
    <row r="9113" spans="7:7">
      <c r="G9113" t="s">
        <v>9301</v>
      </c>
    </row>
    <row r="9114" spans="7:7">
      <c r="G9114" t="s">
        <v>9302</v>
      </c>
    </row>
    <row r="9115" spans="7:7">
      <c r="G9115" t="s">
        <v>9303</v>
      </c>
    </row>
    <row r="9116" spans="7:7">
      <c r="G9116" t="s">
        <v>9304</v>
      </c>
    </row>
    <row r="9117" spans="7:7">
      <c r="G9117" t="s">
        <v>9305</v>
      </c>
    </row>
    <row r="9118" spans="7:7">
      <c r="G9118" t="s">
        <v>9306</v>
      </c>
    </row>
    <row r="9119" spans="7:7">
      <c r="G9119" t="s">
        <v>9307</v>
      </c>
    </row>
    <row r="9120" spans="7:7">
      <c r="G9120" t="s">
        <v>9308</v>
      </c>
    </row>
    <row r="9121" spans="7:7">
      <c r="G9121" t="s">
        <v>9309</v>
      </c>
    </row>
    <row r="9122" spans="7:7">
      <c r="G9122" t="s">
        <v>9310</v>
      </c>
    </row>
    <row r="9123" spans="7:7">
      <c r="G9123" t="s">
        <v>9311</v>
      </c>
    </row>
    <row r="9124" spans="7:7">
      <c r="G9124" t="s">
        <v>9312</v>
      </c>
    </row>
    <row r="9125" spans="7:7">
      <c r="G9125" t="s">
        <v>9313</v>
      </c>
    </row>
    <row r="9126" spans="7:7">
      <c r="G9126" t="s">
        <v>9314</v>
      </c>
    </row>
    <row r="9127" spans="7:7">
      <c r="G9127" t="s">
        <v>9315</v>
      </c>
    </row>
    <row r="9128" spans="7:7">
      <c r="G9128" t="s">
        <v>9316</v>
      </c>
    </row>
    <row r="9129" spans="7:7">
      <c r="G9129" t="s">
        <v>9317</v>
      </c>
    </row>
    <row r="9130" spans="7:7">
      <c r="G9130" t="s">
        <v>9318</v>
      </c>
    </row>
    <row r="9131" spans="7:7">
      <c r="G9131" t="s">
        <v>9319</v>
      </c>
    </row>
    <row r="9132" spans="7:7">
      <c r="G9132" t="s">
        <v>9320</v>
      </c>
    </row>
    <row r="9133" spans="7:7">
      <c r="G9133" t="s">
        <v>9321</v>
      </c>
    </row>
    <row r="9134" spans="7:7">
      <c r="G9134" t="s">
        <v>9322</v>
      </c>
    </row>
    <row r="9135" spans="7:7">
      <c r="G9135" t="s">
        <v>9323</v>
      </c>
    </row>
    <row r="9136" spans="7:7">
      <c r="G9136" t="s">
        <v>9324</v>
      </c>
    </row>
    <row r="9137" spans="7:7">
      <c r="G9137" t="s">
        <v>9325</v>
      </c>
    </row>
    <row r="9138" spans="7:7">
      <c r="G9138" t="s">
        <v>9326</v>
      </c>
    </row>
    <row r="9139" spans="7:7">
      <c r="G9139" t="s">
        <v>9327</v>
      </c>
    </row>
    <row r="9140" spans="7:7">
      <c r="G9140" t="s">
        <v>9328</v>
      </c>
    </row>
    <row r="9141" spans="7:7">
      <c r="G9141" t="s">
        <v>9329</v>
      </c>
    </row>
    <row r="9142" spans="7:7">
      <c r="G9142" t="s">
        <v>9330</v>
      </c>
    </row>
    <row r="9143" spans="7:7">
      <c r="G9143" t="s">
        <v>9331</v>
      </c>
    </row>
    <row r="9144" spans="7:7">
      <c r="G9144" t="s">
        <v>9332</v>
      </c>
    </row>
    <row r="9145" spans="7:7">
      <c r="G9145" t="s">
        <v>9333</v>
      </c>
    </row>
    <row r="9146" spans="7:7">
      <c r="G9146" t="s">
        <v>9334</v>
      </c>
    </row>
    <row r="9147" spans="7:7">
      <c r="G9147" t="s">
        <v>9335</v>
      </c>
    </row>
    <row r="9148" spans="7:7">
      <c r="G9148" t="s">
        <v>9336</v>
      </c>
    </row>
    <row r="9149" spans="7:7">
      <c r="G9149" t="s">
        <v>9337</v>
      </c>
    </row>
    <row r="9150" spans="7:7">
      <c r="G9150" t="s">
        <v>9338</v>
      </c>
    </row>
    <row r="9151" spans="7:7">
      <c r="G9151" t="s">
        <v>9339</v>
      </c>
    </row>
    <row r="9152" spans="7:7">
      <c r="G9152" t="s">
        <v>9340</v>
      </c>
    </row>
    <row r="9153" spans="7:7">
      <c r="G9153" t="s">
        <v>9341</v>
      </c>
    </row>
    <row r="9154" spans="7:7">
      <c r="G9154" t="s">
        <v>9342</v>
      </c>
    </row>
    <row r="9155" spans="7:7">
      <c r="G9155" t="s">
        <v>9343</v>
      </c>
    </row>
    <row r="9156" spans="7:7">
      <c r="G9156" t="s">
        <v>9344</v>
      </c>
    </row>
    <row r="9157" spans="7:7">
      <c r="G9157" t="s">
        <v>9345</v>
      </c>
    </row>
    <row r="9158" spans="7:7">
      <c r="G9158" t="s">
        <v>9346</v>
      </c>
    </row>
    <row r="9159" spans="7:7">
      <c r="G9159" t="s">
        <v>9347</v>
      </c>
    </row>
    <row r="9160" spans="7:7">
      <c r="G9160" t="s">
        <v>9348</v>
      </c>
    </row>
    <row r="9161" spans="7:7">
      <c r="G9161" t="s">
        <v>9349</v>
      </c>
    </row>
    <row r="9162" spans="7:7">
      <c r="G9162" t="s">
        <v>9350</v>
      </c>
    </row>
    <row r="9163" spans="7:7">
      <c r="G9163" t="s">
        <v>9351</v>
      </c>
    </row>
    <row r="9164" spans="7:7">
      <c r="G9164" t="s">
        <v>9352</v>
      </c>
    </row>
    <row r="9165" spans="7:7">
      <c r="G9165" t="s">
        <v>9353</v>
      </c>
    </row>
    <row r="9166" spans="7:7">
      <c r="G9166" t="s">
        <v>9354</v>
      </c>
    </row>
    <row r="9167" spans="7:7">
      <c r="G9167" t="s">
        <v>9355</v>
      </c>
    </row>
    <row r="9168" spans="7:7">
      <c r="G9168" t="s">
        <v>9356</v>
      </c>
    </row>
    <row r="9169" spans="7:7">
      <c r="G9169" t="s">
        <v>9357</v>
      </c>
    </row>
    <row r="9170" spans="7:7">
      <c r="G9170" t="s">
        <v>9358</v>
      </c>
    </row>
    <row r="9171" spans="7:7">
      <c r="G9171" t="s">
        <v>9359</v>
      </c>
    </row>
    <row r="9172" spans="7:7">
      <c r="G9172" t="s">
        <v>9360</v>
      </c>
    </row>
    <row r="9173" spans="7:7">
      <c r="G9173" t="s">
        <v>9361</v>
      </c>
    </row>
    <row r="9174" spans="7:7">
      <c r="G9174" t="s">
        <v>9362</v>
      </c>
    </row>
    <row r="9175" spans="7:7">
      <c r="G9175" t="s">
        <v>9363</v>
      </c>
    </row>
    <row r="9176" spans="7:7">
      <c r="G9176" t="s">
        <v>9364</v>
      </c>
    </row>
    <row r="9177" spans="7:7">
      <c r="G9177" t="s">
        <v>9365</v>
      </c>
    </row>
    <row r="9178" spans="7:7">
      <c r="G9178" t="s">
        <v>9366</v>
      </c>
    </row>
    <row r="9179" spans="7:7">
      <c r="G9179" t="s">
        <v>9367</v>
      </c>
    </row>
    <row r="9180" spans="7:7">
      <c r="G9180" t="s">
        <v>9368</v>
      </c>
    </row>
    <row r="9181" spans="7:7">
      <c r="G9181" t="s">
        <v>9369</v>
      </c>
    </row>
    <row r="9182" spans="7:7">
      <c r="G9182" t="s">
        <v>9370</v>
      </c>
    </row>
    <row r="9183" spans="7:7">
      <c r="G9183" t="s">
        <v>9371</v>
      </c>
    </row>
    <row r="9184" spans="7:7">
      <c r="G9184" t="s">
        <v>9372</v>
      </c>
    </row>
    <row r="9185" spans="7:7">
      <c r="G9185" t="s">
        <v>9373</v>
      </c>
    </row>
    <row r="9186" spans="7:7">
      <c r="G9186" t="s">
        <v>9374</v>
      </c>
    </row>
    <row r="9187" spans="7:7">
      <c r="G9187" t="s">
        <v>9375</v>
      </c>
    </row>
    <row r="9188" spans="7:7">
      <c r="G9188" t="s">
        <v>9376</v>
      </c>
    </row>
    <row r="9189" spans="7:7">
      <c r="G9189" t="s">
        <v>9377</v>
      </c>
    </row>
    <row r="9190" spans="7:7">
      <c r="G9190" t="s">
        <v>9378</v>
      </c>
    </row>
    <row r="9191" spans="7:7">
      <c r="G9191" t="s">
        <v>9379</v>
      </c>
    </row>
    <row r="9192" spans="7:7">
      <c r="G9192" t="s">
        <v>9380</v>
      </c>
    </row>
    <row r="9193" spans="7:7">
      <c r="G9193" t="s">
        <v>9381</v>
      </c>
    </row>
    <row r="9194" spans="7:7">
      <c r="G9194" t="s">
        <v>9382</v>
      </c>
    </row>
    <row r="9195" spans="7:7">
      <c r="G9195" t="s">
        <v>9383</v>
      </c>
    </row>
    <row r="9196" spans="7:7">
      <c r="G9196" t="s">
        <v>9384</v>
      </c>
    </row>
    <row r="9197" spans="7:7">
      <c r="G9197" t="s">
        <v>9385</v>
      </c>
    </row>
    <row r="9198" spans="7:7">
      <c r="G9198" t="s">
        <v>9386</v>
      </c>
    </row>
    <row r="9199" spans="7:7">
      <c r="G9199" t="s">
        <v>9387</v>
      </c>
    </row>
    <row r="9200" spans="7:7">
      <c r="G9200" t="s">
        <v>9388</v>
      </c>
    </row>
    <row r="9201" spans="7:7">
      <c r="G9201" t="s">
        <v>9389</v>
      </c>
    </row>
    <row r="9202" spans="7:7">
      <c r="G9202" t="s">
        <v>9390</v>
      </c>
    </row>
    <row r="9203" spans="7:7">
      <c r="G9203" t="s">
        <v>9391</v>
      </c>
    </row>
    <row r="9204" spans="7:7">
      <c r="G9204" t="s">
        <v>9392</v>
      </c>
    </row>
    <row r="9205" spans="7:7">
      <c r="G9205" t="s">
        <v>9393</v>
      </c>
    </row>
    <row r="9206" spans="7:7">
      <c r="G9206" t="s">
        <v>9394</v>
      </c>
    </row>
    <row r="9207" spans="7:7">
      <c r="G9207" t="s">
        <v>9395</v>
      </c>
    </row>
    <row r="9208" spans="7:7">
      <c r="G9208" t="s">
        <v>9396</v>
      </c>
    </row>
    <row r="9209" spans="7:7">
      <c r="G9209" t="s">
        <v>9397</v>
      </c>
    </row>
    <row r="9210" spans="7:7">
      <c r="G9210" t="s">
        <v>9398</v>
      </c>
    </row>
    <row r="9211" spans="7:7">
      <c r="G9211" t="s">
        <v>9399</v>
      </c>
    </row>
    <row r="9212" spans="7:7">
      <c r="G9212" t="s">
        <v>9400</v>
      </c>
    </row>
    <row r="9213" spans="7:7">
      <c r="G9213" t="s">
        <v>9401</v>
      </c>
    </row>
    <row r="9214" spans="7:7">
      <c r="G9214" t="s">
        <v>9402</v>
      </c>
    </row>
    <row r="9215" spans="7:7">
      <c r="G9215" t="s">
        <v>9403</v>
      </c>
    </row>
    <row r="9216" spans="7:7">
      <c r="G9216" t="s">
        <v>9404</v>
      </c>
    </row>
    <row r="9217" spans="7:7">
      <c r="G9217" t="s">
        <v>9405</v>
      </c>
    </row>
    <row r="9218" spans="7:7">
      <c r="G9218" t="s">
        <v>9406</v>
      </c>
    </row>
    <row r="9219" spans="7:7">
      <c r="G9219" t="s">
        <v>9407</v>
      </c>
    </row>
    <row r="9220" spans="7:7">
      <c r="G9220" t="s">
        <v>9408</v>
      </c>
    </row>
    <row r="9221" spans="7:7">
      <c r="G9221" t="s">
        <v>9409</v>
      </c>
    </row>
    <row r="9222" spans="7:7">
      <c r="G9222" t="s">
        <v>9410</v>
      </c>
    </row>
    <row r="9223" spans="7:7">
      <c r="G9223" t="s">
        <v>9411</v>
      </c>
    </row>
    <row r="9224" spans="7:7">
      <c r="G9224" t="s">
        <v>9412</v>
      </c>
    </row>
    <row r="9225" spans="7:7">
      <c r="G9225" t="s">
        <v>9413</v>
      </c>
    </row>
    <row r="9226" spans="7:7">
      <c r="G9226" t="s">
        <v>9414</v>
      </c>
    </row>
    <row r="9227" spans="7:7">
      <c r="G9227" t="s">
        <v>9415</v>
      </c>
    </row>
    <row r="9228" spans="7:7">
      <c r="G9228" t="s">
        <v>9416</v>
      </c>
    </row>
    <row r="9229" spans="7:7">
      <c r="G9229" t="s">
        <v>9417</v>
      </c>
    </row>
    <row r="9230" spans="7:7">
      <c r="G9230" t="s">
        <v>9418</v>
      </c>
    </row>
    <row r="9231" spans="7:7">
      <c r="G9231" t="s">
        <v>9419</v>
      </c>
    </row>
    <row r="9232" spans="7:7">
      <c r="G9232" t="s">
        <v>9420</v>
      </c>
    </row>
    <row r="9233" spans="7:7">
      <c r="G9233" t="s">
        <v>9421</v>
      </c>
    </row>
    <row r="9234" spans="7:7">
      <c r="G9234" t="s">
        <v>9422</v>
      </c>
    </row>
    <row r="9235" spans="7:7">
      <c r="G9235" t="s">
        <v>9423</v>
      </c>
    </row>
    <row r="9236" spans="7:7">
      <c r="G9236" t="s">
        <v>9424</v>
      </c>
    </row>
    <row r="9237" spans="7:7">
      <c r="G9237" t="s">
        <v>9425</v>
      </c>
    </row>
    <row r="9238" spans="7:7">
      <c r="G9238" t="s">
        <v>9426</v>
      </c>
    </row>
    <row r="9239" spans="7:7">
      <c r="G9239" t="s">
        <v>9427</v>
      </c>
    </row>
    <row r="9240" spans="7:7">
      <c r="G9240" t="s">
        <v>9428</v>
      </c>
    </row>
    <row r="9241" spans="7:7">
      <c r="G9241" t="s">
        <v>9429</v>
      </c>
    </row>
    <row r="9242" spans="7:7">
      <c r="G9242" t="s">
        <v>9430</v>
      </c>
    </row>
    <row r="9243" spans="7:7">
      <c r="G9243" t="s">
        <v>9431</v>
      </c>
    </row>
    <row r="9244" spans="7:7">
      <c r="G9244" t="s">
        <v>9432</v>
      </c>
    </row>
    <row r="9245" spans="7:7">
      <c r="G9245" t="s">
        <v>9433</v>
      </c>
    </row>
    <row r="9246" spans="7:7">
      <c r="G9246" t="s">
        <v>9434</v>
      </c>
    </row>
    <row r="9247" spans="7:7">
      <c r="G9247" t="s">
        <v>9435</v>
      </c>
    </row>
    <row r="9248" spans="7:7">
      <c r="G9248" t="s">
        <v>9436</v>
      </c>
    </row>
    <row r="9249" spans="7:7">
      <c r="G9249" t="s">
        <v>9437</v>
      </c>
    </row>
    <row r="9250" spans="7:7">
      <c r="G9250" t="s">
        <v>9438</v>
      </c>
    </row>
    <row r="9251" spans="7:7">
      <c r="G9251" t="s">
        <v>9439</v>
      </c>
    </row>
    <row r="9252" spans="7:7">
      <c r="G9252" t="s">
        <v>9440</v>
      </c>
    </row>
    <row r="9253" spans="7:7">
      <c r="G9253" t="s">
        <v>9441</v>
      </c>
    </row>
    <row r="9254" spans="7:7">
      <c r="G9254" t="s">
        <v>9442</v>
      </c>
    </row>
    <row r="9255" spans="7:7">
      <c r="G9255" t="s">
        <v>9443</v>
      </c>
    </row>
    <row r="9256" spans="7:7">
      <c r="G9256" t="s">
        <v>9444</v>
      </c>
    </row>
    <row r="9257" spans="7:7">
      <c r="G9257" t="s">
        <v>9445</v>
      </c>
    </row>
    <row r="9258" spans="7:7">
      <c r="G9258" t="s">
        <v>9446</v>
      </c>
    </row>
    <row r="9259" spans="7:7">
      <c r="G9259" t="s">
        <v>9447</v>
      </c>
    </row>
    <row r="9260" spans="7:7">
      <c r="G9260" t="s">
        <v>9448</v>
      </c>
    </row>
    <row r="9261" spans="7:7">
      <c r="G9261" t="s">
        <v>9449</v>
      </c>
    </row>
    <row r="9262" spans="7:7">
      <c r="G9262" t="s">
        <v>9450</v>
      </c>
    </row>
    <row r="9263" spans="7:7">
      <c r="G9263" t="s">
        <v>9451</v>
      </c>
    </row>
    <row r="9264" spans="7:7">
      <c r="G9264" t="s">
        <v>9452</v>
      </c>
    </row>
    <row r="9265" spans="7:7">
      <c r="G9265" t="s">
        <v>9453</v>
      </c>
    </row>
    <row r="9266" spans="7:7">
      <c r="G9266" t="s">
        <v>9454</v>
      </c>
    </row>
    <row r="9267" spans="7:7">
      <c r="G9267" t="s">
        <v>9455</v>
      </c>
    </row>
    <row r="9268" spans="7:7">
      <c r="G9268" t="s">
        <v>9456</v>
      </c>
    </row>
    <row r="9269" spans="7:7">
      <c r="G9269" t="s">
        <v>9457</v>
      </c>
    </row>
    <row r="9270" spans="7:7">
      <c r="G9270" t="s">
        <v>9458</v>
      </c>
    </row>
    <row r="9271" spans="7:7">
      <c r="G9271" t="s">
        <v>9459</v>
      </c>
    </row>
    <row r="9272" spans="7:7">
      <c r="G9272" t="s">
        <v>9460</v>
      </c>
    </row>
    <row r="9273" spans="7:7">
      <c r="G9273" t="s">
        <v>9461</v>
      </c>
    </row>
    <row r="9274" spans="7:7">
      <c r="G9274" t="s">
        <v>9462</v>
      </c>
    </row>
    <row r="9275" spans="7:7">
      <c r="G9275" t="s">
        <v>9463</v>
      </c>
    </row>
    <row r="9276" spans="7:7">
      <c r="G9276" t="s">
        <v>9464</v>
      </c>
    </row>
    <row r="9277" spans="7:7">
      <c r="G9277" t="s">
        <v>9465</v>
      </c>
    </row>
    <row r="9278" spans="7:7">
      <c r="G9278" t="s">
        <v>9466</v>
      </c>
    </row>
    <row r="9279" spans="7:7">
      <c r="G9279" t="s">
        <v>9467</v>
      </c>
    </row>
    <row r="9280" spans="7:7">
      <c r="G9280" t="s">
        <v>9468</v>
      </c>
    </row>
    <row r="9281" spans="7:7">
      <c r="G9281" t="s">
        <v>9469</v>
      </c>
    </row>
    <row r="9282" spans="7:7">
      <c r="G9282" t="s">
        <v>9470</v>
      </c>
    </row>
    <row r="9283" spans="7:7">
      <c r="G9283" t="s">
        <v>9471</v>
      </c>
    </row>
    <row r="9284" spans="7:7">
      <c r="G9284" t="s">
        <v>9472</v>
      </c>
    </row>
    <row r="9285" spans="7:7">
      <c r="G9285" t="s">
        <v>9473</v>
      </c>
    </row>
    <row r="9286" spans="7:7">
      <c r="G9286" t="s">
        <v>9474</v>
      </c>
    </row>
    <row r="9287" spans="7:7">
      <c r="G9287" t="s">
        <v>9475</v>
      </c>
    </row>
    <row r="9288" spans="7:7">
      <c r="G9288" t="s">
        <v>9476</v>
      </c>
    </row>
    <row r="9289" spans="7:7">
      <c r="G9289" t="s">
        <v>9477</v>
      </c>
    </row>
    <row r="9290" spans="7:7">
      <c r="G9290" t="s">
        <v>9478</v>
      </c>
    </row>
    <row r="9291" spans="7:7">
      <c r="G9291" t="s">
        <v>9479</v>
      </c>
    </row>
    <row r="9292" spans="7:7">
      <c r="G9292" t="s">
        <v>9480</v>
      </c>
    </row>
    <row r="9293" spans="7:7">
      <c r="G9293" t="s">
        <v>9481</v>
      </c>
    </row>
    <row r="9294" spans="7:7">
      <c r="G9294" t="s">
        <v>9482</v>
      </c>
    </row>
    <row r="9295" spans="7:7">
      <c r="G9295" t="s">
        <v>9483</v>
      </c>
    </row>
    <row r="9296" spans="7:7">
      <c r="G9296" t="s">
        <v>9484</v>
      </c>
    </row>
    <row r="9297" spans="7:7">
      <c r="G9297" t="s">
        <v>9485</v>
      </c>
    </row>
    <row r="9298" spans="7:7">
      <c r="G9298" t="s">
        <v>9486</v>
      </c>
    </row>
    <row r="9299" spans="7:7">
      <c r="G9299" t="s">
        <v>9487</v>
      </c>
    </row>
    <row r="9300" spans="7:7">
      <c r="G9300" t="s">
        <v>9488</v>
      </c>
    </row>
    <row r="9301" spans="7:7">
      <c r="G9301" t="s">
        <v>9489</v>
      </c>
    </row>
    <row r="9302" spans="7:7">
      <c r="G9302" t="s">
        <v>9490</v>
      </c>
    </row>
    <row r="9303" spans="7:7">
      <c r="G9303" t="s">
        <v>9491</v>
      </c>
    </row>
    <row r="9304" spans="7:7">
      <c r="G9304" t="s">
        <v>9492</v>
      </c>
    </row>
    <row r="9305" spans="7:7">
      <c r="G9305" t="s">
        <v>9493</v>
      </c>
    </row>
    <row r="9306" spans="7:7">
      <c r="G9306" t="s">
        <v>9494</v>
      </c>
    </row>
    <row r="9307" spans="7:7">
      <c r="G9307" t="s">
        <v>9495</v>
      </c>
    </row>
    <row r="9308" spans="7:7">
      <c r="G9308" t="s">
        <v>9496</v>
      </c>
    </row>
    <row r="9309" spans="7:7">
      <c r="G9309" t="s">
        <v>9497</v>
      </c>
    </row>
    <row r="9310" spans="7:7">
      <c r="G9310" t="s">
        <v>9498</v>
      </c>
    </row>
    <row r="9311" spans="7:7">
      <c r="G9311" t="s">
        <v>9499</v>
      </c>
    </row>
    <row r="9312" spans="7:7">
      <c r="G9312" t="s">
        <v>9500</v>
      </c>
    </row>
    <row r="9313" spans="7:7">
      <c r="G9313" t="s">
        <v>9501</v>
      </c>
    </row>
    <row r="9314" spans="7:7">
      <c r="G9314" t="s">
        <v>9502</v>
      </c>
    </row>
    <row r="9315" spans="7:7">
      <c r="G9315" t="s">
        <v>9503</v>
      </c>
    </row>
    <row r="9316" spans="7:7">
      <c r="G9316" t="s">
        <v>9504</v>
      </c>
    </row>
    <row r="9317" spans="7:7">
      <c r="G9317" t="s">
        <v>9505</v>
      </c>
    </row>
    <row r="9318" spans="7:7">
      <c r="G9318" t="s">
        <v>9506</v>
      </c>
    </row>
    <row r="9319" spans="7:7">
      <c r="G9319" t="s">
        <v>9507</v>
      </c>
    </row>
    <row r="9320" spans="7:7">
      <c r="G9320" t="s">
        <v>9508</v>
      </c>
    </row>
    <row r="9321" spans="7:7">
      <c r="G9321" t="s">
        <v>9509</v>
      </c>
    </row>
    <row r="9322" spans="7:7">
      <c r="G9322" t="s">
        <v>9510</v>
      </c>
    </row>
    <row r="9323" spans="7:7">
      <c r="G9323" t="s">
        <v>9511</v>
      </c>
    </row>
    <row r="9324" spans="7:7">
      <c r="G9324" t="s">
        <v>9512</v>
      </c>
    </row>
    <row r="9325" spans="7:7">
      <c r="G9325" t="s">
        <v>9513</v>
      </c>
    </row>
    <row r="9326" spans="7:7">
      <c r="G9326" t="s">
        <v>9514</v>
      </c>
    </row>
    <row r="9327" spans="7:7">
      <c r="G9327" t="s">
        <v>9515</v>
      </c>
    </row>
    <row r="9328" spans="7:7">
      <c r="G9328" t="s">
        <v>9516</v>
      </c>
    </row>
    <row r="9329" spans="7:7">
      <c r="G9329" t="s">
        <v>9517</v>
      </c>
    </row>
    <row r="9330" spans="7:7">
      <c r="G9330" t="s">
        <v>9518</v>
      </c>
    </row>
    <row r="9331" spans="7:7">
      <c r="G9331" t="s">
        <v>9519</v>
      </c>
    </row>
    <row r="9332" spans="7:7">
      <c r="G9332" t="s">
        <v>9520</v>
      </c>
    </row>
    <row r="9333" spans="7:7">
      <c r="G9333" t="s">
        <v>9521</v>
      </c>
    </row>
    <row r="9334" spans="7:7">
      <c r="G9334" t="s">
        <v>9522</v>
      </c>
    </row>
    <row r="9335" spans="7:7">
      <c r="G9335" t="s">
        <v>9523</v>
      </c>
    </row>
    <row r="9336" spans="7:7">
      <c r="G9336" t="s">
        <v>9524</v>
      </c>
    </row>
    <row r="9337" spans="7:7">
      <c r="G9337" t="s">
        <v>9525</v>
      </c>
    </row>
    <row r="9338" spans="7:7">
      <c r="G9338" t="s">
        <v>9526</v>
      </c>
    </row>
    <row r="9339" spans="7:7">
      <c r="G9339" t="s">
        <v>9527</v>
      </c>
    </row>
    <row r="9340" spans="7:7">
      <c r="G9340" t="s">
        <v>9528</v>
      </c>
    </row>
    <row r="9341" spans="7:7">
      <c r="G9341" t="s">
        <v>9529</v>
      </c>
    </row>
    <row r="9342" spans="7:7">
      <c r="G9342" t="s">
        <v>9530</v>
      </c>
    </row>
    <row r="9343" spans="7:7">
      <c r="G9343" t="s">
        <v>9531</v>
      </c>
    </row>
    <row r="9344" spans="7:7">
      <c r="G9344" t="s">
        <v>9532</v>
      </c>
    </row>
    <row r="9345" spans="7:7">
      <c r="G9345" t="s">
        <v>9533</v>
      </c>
    </row>
    <row r="9346" spans="7:7">
      <c r="G9346" t="s">
        <v>9534</v>
      </c>
    </row>
    <row r="9347" spans="7:7">
      <c r="G9347" t="s">
        <v>9535</v>
      </c>
    </row>
    <row r="9348" spans="7:7">
      <c r="G9348" t="s">
        <v>9536</v>
      </c>
    </row>
    <row r="9349" spans="7:7">
      <c r="G9349" t="s">
        <v>9537</v>
      </c>
    </row>
    <row r="9350" spans="7:7">
      <c r="G9350" t="s">
        <v>9538</v>
      </c>
    </row>
    <row r="9351" spans="7:7">
      <c r="G9351" t="s">
        <v>9539</v>
      </c>
    </row>
    <row r="9352" spans="7:7">
      <c r="G9352" t="s">
        <v>9540</v>
      </c>
    </row>
    <row r="9353" spans="7:7">
      <c r="G9353" t="s">
        <v>9541</v>
      </c>
    </row>
    <row r="9354" spans="7:7">
      <c r="G9354" t="s">
        <v>9542</v>
      </c>
    </row>
    <row r="9355" spans="7:7">
      <c r="G9355" t="s">
        <v>9543</v>
      </c>
    </row>
    <row r="9356" spans="7:7">
      <c r="G9356" t="s">
        <v>9544</v>
      </c>
    </row>
    <row r="9357" spans="7:7">
      <c r="G9357" t="s">
        <v>9545</v>
      </c>
    </row>
    <row r="9358" spans="7:7">
      <c r="G9358" t="s">
        <v>9546</v>
      </c>
    </row>
    <row r="9359" spans="7:7">
      <c r="G9359" t="s">
        <v>9547</v>
      </c>
    </row>
    <row r="9360" spans="7:7">
      <c r="G9360" t="s">
        <v>9548</v>
      </c>
    </row>
    <row r="9361" spans="7:7">
      <c r="G9361" t="s">
        <v>9549</v>
      </c>
    </row>
    <row r="9362" spans="7:7">
      <c r="G9362" t="s">
        <v>9550</v>
      </c>
    </row>
    <row r="9363" spans="7:7">
      <c r="G9363" t="s">
        <v>9551</v>
      </c>
    </row>
    <row r="9364" spans="7:7">
      <c r="G9364" t="s">
        <v>9552</v>
      </c>
    </row>
    <row r="9365" spans="7:7">
      <c r="G9365" t="s">
        <v>9553</v>
      </c>
    </row>
    <row r="9366" spans="7:7">
      <c r="G9366" t="s">
        <v>9554</v>
      </c>
    </row>
    <row r="9367" spans="7:7">
      <c r="G9367" t="s">
        <v>9555</v>
      </c>
    </row>
    <row r="9368" spans="7:7">
      <c r="G9368" t="s">
        <v>9556</v>
      </c>
    </row>
    <row r="9369" spans="7:7">
      <c r="G9369" t="s">
        <v>9557</v>
      </c>
    </row>
    <row r="9370" spans="7:7">
      <c r="G9370" t="s">
        <v>9558</v>
      </c>
    </row>
    <row r="9371" spans="7:7">
      <c r="G9371" t="s">
        <v>9559</v>
      </c>
    </row>
    <row r="9372" spans="7:7">
      <c r="G9372" t="s">
        <v>9560</v>
      </c>
    </row>
    <row r="9373" spans="7:7">
      <c r="G9373" t="s">
        <v>9561</v>
      </c>
    </row>
    <row r="9374" spans="7:7">
      <c r="G9374" t="s">
        <v>9562</v>
      </c>
    </row>
    <row r="9375" spans="7:7">
      <c r="G9375" t="s">
        <v>9563</v>
      </c>
    </row>
    <row r="9376" spans="7:7">
      <c r="G9376" t="s">
        <v>9564</v>
      </c>
    </row>
    <row r="9377" spans="7:7">
      <c r="G9377" t="s">
        <v>9565</v>
      </c>
    </row>
    <row r="9378" spans="7:7">
      <c r="G9378" t="s">
        <v>9566</v>
      </c>
    </row>
    <row r="9379" spans="7:7">
      <c r="G9379" t="s">
        <v>9567</v>
      </c>
    </row>
    <row r="9380" spans="7:7">
      <c r="G9380" t="s">
        <v>9568</v>
      </c>
    </row>
    <row r="9381" spans="7:7">
      <c r="G9381" t="s">
        <v>9569</v>
      </c>
    </row>
    <row r="9382" spans="7:7">
      <c r="G9382" t="s">
        <v>9570</v>
      </c>
    </row>
    <row r="9383" spans="7:7">
      <c r="G9383" t="s">
        <v>9571</v>
      </c>
    </row>
    <row r="9384" spans="7:7">
      <c r="G9384" t="s">
        <v>9572</v>
      </c>
    </row>
    <row r="9385" spans="7:7">
      <c r="G9385" t="s">
        <v>9573</v>
      </c>
    </row>
    <row r="9386" spans="7:7">
      <c r="G9386" t="s">
        <v>9574</v>
      </c>
    </row>
    <row r="9387" spans="7:7">
      <c r="G9387" t="s">
        <v>9575</v>
      </c>
    </row>
    <row r="9388" spans="7:7">
      <c r="G9388" t="s">
        <v>9576</v>
      </c>
    </row>
    <row r="9389" spans="7:7">
      <c r="G9389" t="s">
        <v>9577</v>
      </c>
    </row>
    <row r="9390" spans="7:7">
      <c r="G9390" t="s">
        <v>9578</v>
      </c>
    </row>
    <row r="9391" spans="7:7">
      <c r="G9391" t="s">
        <v>9579</v>
      </c>
    </row>
    <row r="9392" spans="7:7">
      <c r="G9392" t="s">
        <v>9580</v>
      </c>
    </row>
    <row r="9393" spans="7:7">
      <c r="G9393" t="s">
        <v>9581</v>
      </c>
    </row>
    <row r="9394" spans="7:7">
      <c r="G9394" t="s">
        <v>9582</v>
      </c>
    </row>
    <row r="9395" spans="7:7">
      <c r="G9395" t="s">
        <v>9583</v>
      </c>
    </row>
    <row r="9396" spans="7:7">
      <c r="G9396" t="s">
        <v>9584</v>
      </c>
    </row>
    <row r="9397" spans="7:7">
      <c r="G9397" t="s">
        <v>9585</v>
      </c>
    </row>
    <row r="9398" spans="7:7">
      <c r="G9398" t="s">
        <v>9586</v>
      </c>
    </row>
    <row r="9399" spans="7:7">
      <c r="G9399" t="s">
        <v>9587</v>
      </c>
    </row>
    <row r="9400" spans="7:7">
      <c r="G9400" t="s">
        <v>9588</v>
      </c>
    </row>
    <row r="9401" spans="7:7">
      <c r="G9401" t="s">
        <v>9589</v>
      </c>
    </row>
    <row r="9402" spans="7:7">
      <c r="G9402" t="s">
        <v>9590</v>
      </c>
    </row>
    <row r="9403" spans="7:7">
      <c r="G9403" t="s">
        <v>9591</v>
      </c>
    </row>
    <row r="9404" spans="7:7">
      <c r="G9404" t="s">
        <v>9592</v>
      </c>
    </row>
    <row r="9405" spans="7:7">
      <c r="G9405" t="s">
        <v>9593</v>
      </c>
    </row>
    <row r="9406" spans="7:7">
      <c r="G9406" t="s">
        <v>9594</v>
      </c>
    </row>
    <row r="9407" spans="7:7">
      <c r="G9407" t="s">
        <v>9595</v>
      </c>
    </row>
    <row r="9408" spans="7:7">
      <c r="G9408" t="s">
        <v>9596</v>
      </c>
    </row>
    <row r="9409" spans="7:7">
      <c r="G9409" t="s">
        <v>9597</v>
      </c>
    </row>
    <row r="9410" spans="7:7">
      <c r="G9410" t="s">
        <v>9598</v>
      </c>
    </row>
    <row r="9411" spans="7:7">
      <c r="G9411" t="s">
        <v>9599</v>
      </c>
    </row>
    <row r="9412" spans="7:7">
      <c r="G9412" t="s">
        <v>9600</v>
      </c>
    </row>
    <row r="9413" spans="7:7">
      <c r="G9413" t="s">
        <v>9601</v>
      </c>
    </row>
    <row r="9414" spans="7:7">
      <c r="G9414" t="s">
        <v>9602</v>
      </c>
    </row>
    <row r="9415" spans="7:7">
      <c r="G9415" t="s">
        <v>9603</v>
      </c>
    </row>
    <row r="9416" spans="7:7">
      <c r="G9416" t="s">
        <v>9604</v>
      </c>
    </row>
    <row r="9417" spans="7:7">
      <c r="G9417" t="s">
        <v>9605</v>
      </c>
    </row>
    <row r="9418" spans="7:7">
      <c r="G9418" t="s">
        <v>9606</v>
      </c>
    </row>
    <row r="9419" spans="7:7">
      <c r="G9419" t="s">
        <v>9607</v>
      </c>
    </row>
    <row r="9420" spans="7:7">
      <c r="G9420" t="s">
        <v>9608</v>
      </c>
    </row>
    <row r="9421" spans="7:7">
      <c r="G9421" t="s">
        <v>9609</v>
      </c>
    </row>
    <row r="9422" spans="7:7">
      <c r="G9422" t="s">
        <v>9610</v>
      </c>
    </row>
    <row r="9423" spans="7:7">
      <c r="G9423" t="s">
        <v>9611</v>
      </c>
    </row>
    <row r="9424" spans="7:7">
      <c r="G9424" t="s">
        <v>9612</v>
      </c>
    </row>
    <row r="9425" spans="7:7">
      <c r="G9425" t="s">
        <v>9613</v>
      </c>
    </row>
    <row r="9426" spans="7:7">
      <c r="G9426" t="s">
        <v>9614</v>
      </c>
    </row>
    <row r="9427" spans="7:7">
      <c r="G9427" t="s">
        <v>9615</v>
      </c>
    </row>
    <row r="9428" spans="7:7">
      <c r="G9428" t="s">
        <v>9616</v>
      </c>
    </row>
    <row r="9429" spans="7:7">
      <c r="G9429" t="s">
        <v>9617</v>
      </c>
    </row>
    <row r="9430" spans="7:7">
      <c r="G9430" t="s">
        <v>9618</v>
      </c>
    </row>
    <row r="9431" spans="7:7">
      <c r="G9431" t="s">
        <v>9619</v>
      </c>
    </row>
    <row r="9432" spans="7:7">
      <c r="G9432" t="s">
        <v>9620</v>
      </c>
    </row>
    <row r="9433" spans="7:7">
      <c r="G9433" t="s">
        <v>9621</v>
      </c>
    </row>
    <row r="9434" spans="7:7">
      <c r="G9434" t="s">
        <v>9622</v>
      </c>
    </row>
    <row r="9435" spans="7:7">
      <c r="G9435" t="s">
        <v>9623</v>
      </c>
    </row>
    <row r="9436" spans="7:7">
      <c r="G9436" t="s">
        <v>9624</v>
      </c>
    </row>
    <row r="9437" spans="7:7">
      <c r="G9437" t="s">
        <v>9625</v>
      </c>
    </row>
    <row r="9438" spans="7:7">
      <c r="G9438" t="s">
        <v>9626</v>
      </c>
    </row>
    <row r="9439" spans="7:7">
      <c r="G9439" t="s">
        <v>9627</v>
      </c>
    </row>
    <row r="9440" spans="7:7">
      <c r="G9440" t="s">
        <v>9628</v>
      </c>
    </row>
    <row r="9441" spans="7:7">
      <c r="G9441" t="s">
        <v>9629</v>
      </c>
    </row>
    <row r="9442" spans="7:7">
      <c r="G9442" t="s">
        <v>9630</v>
      </c>
    </row>
    <row r="9443" spans="7:7">
      <c r="G9443" t="s">
        <v>9631</v>
      </c>
    </row>
    <row r="9444" spans="7:7">
      <c r="G9444" t="s">
        <v>9632</v>
      </c>
    </row>
    <row r="9445" spans="7:7">
      <c r="G9445" t="s">
        <v>9633</v>
      </c>
    </row>
    <row r="9446" spans="7:7">
      <c r="G9446" t="s">
        <v>9634</v>
      </c>
    </row>
    <row r="9447" spans="7:7">
      <c r="G9447" t="s">
        <v>9635</v>
      </c>
    </row>
    <row r="9448" spans="7:7">
      <c r="G9448" t="s">
        <v>9636</v>
      </c>
    </row>
    <row r="9449" spans="7:7">
      <c r="G9449" t="s">
        <v>9637</v>
      </c>
    </row>
    <row r="9450" spans="7:7">
      <c r="G9450" t="s">
        <v>9638</v>
      </c>
    </row>
    <row r="9451" spans="7:7">
      <c r="G9451" t="s">
        <v>9639</v>
      </c>
    </row>
    <row r="9452" spans="7:7">
      <c r="G9452" t="s">
        <v>9640</v>
      </c>
    </row>
    <row r="9453" spans="7:7">
      <c r="G9453" t="s">
        <v>9641</v>
      </c>
    </row>
    <row r="9454" spans="7:7">
      <c r="G9454" t="s">
        <v>9642</v>
      </c>
    </row>
    <row r="9455" spans="7:7">
      <c r="G9455" t="s">
        <v>9643</v>
      </c>
    </row>
    <row r="9456" spans="7:7">
      <c r="G9456" t="s">
        <v>9644</v>
      </c>
    </row>
    <row r="9457" spans="7:7">
      <c r="G9457" t="s">
        <v>9645</v>
      </c>
    </row>
    <row r="9458" spans="7:7">
      <c r="G9458" t="s">
        <v>9646</v>
      </c>
    </row>
    <row r="9459" spans="7:7">
      <c r="G9459" t="s">
        <v>9647</v>
      </c>
    </row>
    <row r="9460" spans="7:7">
      <c r="G9460" t="s">
        <v>9648</v>
      </c>
    </row>
    <row r="9461" spans="7:7">
      <c r="G9461" t="s">
        <v>9649</v>
      </c>
    </row>
    <row r="9462" spans="7:7">
      <c r="G9462" t="s">
        <v>9650</v>
      </c>
    </row>
    <row r="9463" spans="7:7">
      <c r="G9463" t="s">
        <v>9651</v>
      </c>
    </row>
    <row r="9464" spans="7:7">
      <c r="G9464" t="s">
        <v>9652</v>
      </c>
    </row>
    <row r="9465" spans="7:7">
      <c r="G9465" t="s">
        <v>9653</v>
      </c>
    </row>
    <row r="9466" spans="7:7">
      <c r="G9466" t="s">
        <v>9654</v>
      </c>
    </row>
    <row r="9467" spans="7:7">
      <c r="G9467" t="s">
        <v>9655</v>
      </c>
    </row>
    <row r="9468" spans="7:7">
      <c r="G9468" t="s">
        <v>9656</v>
      </c>
    </row>
    <row r="9469" spans="7:7">
      <c r="G9469" t="s">
        <v>9657</v>
      </c>
    </row>
    <row r="9470" spans="7:7">
      <c r="G9470" t="s">
        <v>9658</v>
      </c>
    </row>
    <row r="9471" spans="7:7">
      <c r="G9471" t="s">
        <v>9659</v>
      </c>
    </row>
    <row r="9472" spans="7:7">
      <c r="G9472" t="s">
        <v>9660</v>
      </c>
    </row>
    <row r="9473" spans="7:7">
      <c r="G9473" t="s">
        <v>9661</v>
      </c>
    </row>
    <row r="9474" spans="7:7">
      <c r="G9474" t="s">
        <v>9662</v>
      </c>
    </row>
    <row r="9475" spans="7:7">
      <c r="G9475" t="s">
        <v>9663</v>
      </c>
    </row>
    <row r="9476" spans="7:7">
      <c r="G9476" t="s">
        <v>9664</v>
      </c>
    </row>
    <row r="9477" spans="7:7">
      <c r="G9477" t="s">
        <v>9665</v>
      </c>
    </row>
    <row r="9478" spans="7:7">
      <c r="G9478" t="s">
        <v>9666</v>
      </c>
    </row>
    <row r="9479" spans="7:7">
      <c r="G9479" t="s">
        <v>9667</v>
      </c>
    </row>
    <row r="9480" spans="7:7">
      <c r="G9480" t="s">
        <v>9668</v>
      </c>
    </row>
    <row r="9481" spans="7:7">
      <c r="G9481" t="s">
        <v>9669</v>
      </c>
    </row>
    <row r="9482" spans="7:7">
      <c r="G9482" t="s">
        <v>9670</v>
      </c>
    </row>
    <row r="9483" spans="7:7">
      <c r="G9483" t="s">
        <v>9671</v>
      </c>
    </row>
    <row r="9484" spans="7:7">
      <c r="G9484" t="s">
        <v>9672</v>
      </c>
    </row>
    <row r="9485" spans="7:7">
      <c r="G9485" t="s">
        <v>9673</v>
      </c>
    </row>
    <row r="9486" spans="7:7">
      <c r="G9486" t="s">
        <v>9674</v>
      </c>
    </row>
    <row r="9487" spans="7:7">
      <c r="G9487" t="s">
        <v>9675</v>
      </c>
    </row>
    <row r="9488" spans="7:7">
      <c r="G9488" t="s">
        <v>9676</v>
      </c>
    </row>
    <row r="9489" spans="7:7">
      <c r="G9489" t="s">
        <v>9677</v>
      </c>
    </row>
    <row r="9490" spans="7:7">
      <c r="G9490" t="s">
        <v>9678</v>
      </c>
    </row>
    <row r="9491" spans="7:7">
      <c r="G9491" t="s">
        <v>9679</v>
      </c>
    </row>
    <row r="9492" spans="7:7">
      <c r="G9492" t="s">
        <v>9680</v>
      </c>
    </row>
    <row r="9493" spans="7:7">
      <c r="G9493" t="s">
        <v>9681</v>
      </c>
    </row>
    <row r="9494" spans="7:7">
      <c r="G9494" t="s">
        <v>9682</v>
      </c>
    </row>
    <row r="9495" spans="7:7">
      <c r="G9495" t="s">
        <v>9683</v>
      </c>
    </row>
    <row r="9496" spans="7:7">
      <c r="G9496" t="s">
        <v>9684</v>
      </c>
    </row>
    <row r="9497" spans="7:7">
      <c r="G9497" t="s">
        <v>9685</v>
      </c>
    </row>
    <row r="9498" spans="7:7">
      <c r="G9498" t="s">
        <v>9686</v>
      </c>
    </row>
    <row r="9499" spans="7:7">
      <c r="G9499" t="s">
        <v>9687</v>
      </c>
    </row>
    <row r="9500" spans="7:7">
      <c r="G9500" t="s">
        <v>9688</v>
      </c>
    </row>
    <row r="9501" spans="7:7">
      <c r="G9501" t="s">
        <v>9689</v>
      </c>
    </row>
    <row r="9502" spans="7:7">
      <c r="G9502" t="s">
        <v>9690</v>
      </c>
    </row>
    <row r="9503" spans="7:7">
      <c r="G9503" t="s">
        <v>9691</v>
      </c>
    </row>
    <row r="9504" spans="7:7">
      <c r="G9504" t="s">
        <v>9692</v>
      </c>
    </row>
    <row r="9505" spans="7:7">
      <c r="G9505" t="s">
        <v>9693</v>
      </c>
    </row>
    <row r="9506" spans="7:7">
      <c r="G9506" t="s">
        <v>9694</v>
      </c>
    </row>
    <row r="9507" spans="7:7">
      <c r="G9507" t="s">
        <v>9695</v>
      </c>
    </row>
    <row r="9508" spans="7:7">
      <c r="G9508" t="s">
        <v>9696</v>
      </c>
    </row>
    <row r="9509" spans="7:7">
      <c r="G9509" t="s">
        <v>9697</v>
      </c>
    </row>
    <row r="9510" spans="7:7">
      <c r="G9510" t="s">
        <v>9698</v>
      </c>
    </row>
    <row r="9511" spans="7:7">
      <c r="G9511" t="s">
        <v>9699</v>
      </c>
    </row>
    <row r="9512" spans="7:7">
      <c r="G9512" t="s">
        <v>9700</v>
      </c>
    </row>
    <row r="9513" spans="7:7">
      <c r="G9513" t="s">
        <v>9701</v>
      </c>
    </row>
    <row r="9514" spans="7:7">
      <c r="G9514" t="s">
        <v>9702</v>
      </c>
    </row>
    <row r="9515" spans="7:7">
      <c r="G9515" t="s">
        <v>9703</v>
      </c>
    </row>
    <row r="9516" spans="7:7">
      <c r="G9516" t="s">
        <v>9704</v>
      </c>
    </row>
    <row r="9517" spans="7:7">
      <c r="G9517" t="s">
        <v>9705</v>
      </c>
    </row>
    <row r="9518" spans="7:7">
      <c r="G9518" t="s">
        <v>9706</v>
      </c>
    </row>
    <row r="9519" spans="7:7">
      <c r="G9519" t="s">
        <v>9707</v>
      </c>
    </row>
    <row r="9520" spans="7:7">
      <c r="G9520" t="s">
        <v>9708</v>
      </c>
    </row>
    <row r="9521" spans="7:7">
      <c r="G9521" t="s">
        <v>9709</v>
      </c>
    </row>
    <row r="9522" spans="7:7">
      <c r="G9522" t="s">
        <v>9710</v>
      </c>
    </row>
    <row r="9523" spans="7:7">
      <c r="G9523" t="s">
        <v>9711</v>
      </c>
    </row>
    <row r="9524" spans="7:7">
      <c r="G9524" t="s">
        <v>9712</v>
      </c>
    </row>
    <row r="9525" spans="7:7">
      <c r="G9525" t="s">
        <v>9713</v>
      </c>
    </row>
    <row r="9526" spans="7:7">
      <c r="G9526" t="s">
        <v>9714</v>
      </c>
    </row>
    <row r="9527" spans="7:7">
      <c r="G9527" t="s">
        <v>9715</v>
      </c>
    </row>
    <row r="9528" spans="7:7">
      <c r="G9528" t="s">
        <v>9716</v>
      </c>
    </row>
    <row r="9529" spans="7:7">
      <c r="G9529" t="s">
        <v>9717</v>
      </c>
    </row>
    <row r="9530" spans="7:7">
      <c r="G9530" t="s">
        <v>9718</v>
      </c>
    </row>
    <row r="9531" spans="7:7">
      <c r="G9531" t="s">
        <v>9719</v>
      </c>
    </row>
    <row r="9532" spans="7:7">
      <c r="G9532" t="s">
        <v>9720</v>
      </c>
    </row>
    <row r="9533" spans="7:7">
      <c r="G9533" t="s">
        <v>9721</v>
      </c>
    </row>
    <row r="9534" spans="7:7">
      <c r="G9534" t="s">
        <v>9722</v>
      </c>
    </row>
    <row r="9535" spans="7:7">
      <c r="G9535" t="s">
        <v>9723</v>
      </c>
    </row>
    <row r="9536" spans="7:7">
      <c r="G9536" t="s">
        <v>9724</v>
      </c>
    </row>
    <row r="9537" spans="7:7">
      <c r="G9537" t="s">
        <v>9725</v>
      </c>
    </row>
    <row r="9538" spans="7:7">
      <c r="G9538" t="s">
        <v>9726</v>
      </c>
    </row>
    <row r="9539" spans="7:7">
      <c r="G9539" t="s">
        <v>9727</v>
      </c>
    </row>
    <row r="9540" spans="7:7">
      <c r="G9540" t="s">
        <v>9728</v>
      </c>
    </row>
    <row r="9541" spans="7:7">
      <c r="G9541" t="s">
        <v>9729</v>
      </c>
    </row>
    <row r="9542" spans="7:7">
      <c r="G9542" t="s">
        <v>9730</v>
      </c>
    </row>
    <row r="9543" spans="7:7">
      <c r="G9543" t="s">
        <v>9731</v>
      </c>
    </row>
    <row r="9544" spans="7:7">
      <c r="G9544" t="s">
        <v>9732</v>
      </c>
    </row>
    <row r="9545" spans="7:7">
      <c r="G9545" t="s">
        <v>9733</v>
      </c>
    </row>
    <row r="9546" spans="7:7">
      <c r="G9546" t="s">
        <v>9734</v>
      </c>
    </row>
    <row r="9547" spans="7:7">
      <c r="G9547" t="s">
        <v>9735</v>
      </c>
    </row>
    <row r="9548" spans="7:7">
      <c r="G9548" t="s">
        <v>9736</v>
      </c>
    </row>
    <row r="9549" spans="7:7">
      <c r="G9549" t="s">
        <v>9737</v>
      </c>
    </row>
    <row r="9550" spans="7:7">
      <c r="G9550" t="s">
        <v>9738</v>
      </c>
    </row>
    <row r="9551" spans="7:7">
      <c r="G9551" t="s">
        <v>9739</v>
      </c>
    </row>
    <row r="9552" spans="7:7">
      <c r="G9552" t="s">
        <v>9740</v>
      </c>
    </row>
    <row r="9553" spans="7:7">
      <c r="G9553" t="s">
        <v>9741</v>
      </c>
    </row>
    <row r="9554" spans="7:7">
      <c r="G9554" t="s">
        <v>9742</v>
      </c>
    </row>
    <row r="9555" spans="7:7">
      <c r="G9555" t="s">
        <v>9743</v>
      </c>
    </row>
    <row r="9556" spans="7:7">
      <c r="G9556" t="s">
        <v>9744</v>
      </c>
    </row>
    <row r="9557" spans="7:7">
      <c r="G9557" t="s">
        <v>9745</v>
      </c>
    </row>
    <row r="9558" spans="7:7">
      <c r="G9558" t="s">
        <v>9746</v>
      </c>
    </row>
    <row r="9559" spans="7:7">
      <c r="G9559" t="s">
        <v>9747</v>
      </c>
    </row>
    <row r="9560" spans="7:7">
      <c r="G9560" t="s">
        <v>9748</v>
      </c>
    </row>
    <row r="9561" spans="7:7">
      <c r="G9561" t="s">
        <v>9749</v>
      </c>
    </row>
    <row r="9562" spans="7:7">
      <c r="G9562" t="s">
        <v>9750</v>
      </c>
    </row>
    <row r="9563" spans="7:7">
      <c r="G9563" t="s">
        <v>9751</v>
      </c>
    </row>
    <row r="9564" spans="7:7">
      <c r="G9564" t="s">
        <v>9752</v>
      </c>
    </row>
    <row r="9565" spans="7:7">
      <c r="G9565" t="s">
        <v>9753</v>
      </c>
    </row>
    <row r="9566" spans="7:7">
      <c r="G9566" t="s">
        <v>9754</v>
      </c>
    </row>
    <row r="9567" spans="7:7">
      <c r="G9567" t="s">
        <v>9755</v>
      </c>
    </row>
    <row r="9568" spans="7:7">
      <c r="G9568" t="s">
        <v>9756</v>
      </c>
    </row>
    <row r="9569" spans="7:7">
      <c r="G9569" t="s">
        <v>9757</v>
      </c>
    </row>
    <row r="9570" spans="7:7">
      <c r="G9570" t="s">
        <v>9758</v>
      </c>
    </row>
    <row r="9571" spans="7:7">
      <c r="G9571" t="s">
        <v>9759</v>
      </c>
    </row>
    <row r="9572" spans="7:7">
      <c r="G9572" t="s">
        <v>9760</v>
      </c>
    </row>
    <row r="9573" spans="7:7">
      <c r="G9573" t="s">
        <v>9761</v>
      </c>
    </row>
    <row r="9574" spans="7:7">
      <c r="G9574" t="s">
        <v>9762</v>
      </c>
    </row>
    <row r="9575" spans="7:7">
      <c r="G9575" t="s">
        <v>9763</v>
      </c>
    </row>
    <row r="9576" spans="7:7">
      <c r="G9576" t="s">
        <v>9764</v>
      </c>
    </row>
    <row r="9577" spans="7:7">
      <c r="G9577" t="s">
        <v>9765</v>
      </c>
    </row>
    <row r="9578" spans="7:7">
      <c r="G9578" t="s">
        <v>9766</v>
      </c>
    </row>
    <row r="9579" spans="7:7">
      <c r="G9579" t="s">
        <v>9767</v>
      </c>
    </row>
    <row r="9580" spans="7:7">
      <c r="G9580" t="s">
        <v>9768</v>
      </c>
    </row>
    <row r="9581" spans="7:7">
      <c r="G9581" t="s">
        <v>9769</v>
      </c>
    </row>
    <row r="9582" spans="7:7">
      <c r="G9582" t="s">
        <v>9770</v>
      </c>
    </row>
    <row r="9583" spans="7:7">
      <c r="G9583" t="s">
        <v>9771</v>
      </c>
    </row>
    <row r="9584" spans="7:7">
      <c r="G9584" t="s">
        <v>9772</v>
      </c>
    </row>
    <row r="9585" spans="7:7">
      <c r="G9585" t="s">
        <v>9773</v>
      </c>
    </row>
    <row r="9586" spans="7:7">
      <c r="G9586" t="s">
        <v>9774</v>
      </c>
    </row>
    <row r="9587" spans="7:7">
      <c r="G9587" t="s">
        <v>9775</v>
      </c>
    </row>
    <row r="9588" spans="7:7">
      <c r="G9588" t="s">
        <v>9776</v>
      </c>
    </row>
    <row r="9589" spans="7:7">
      <c r="G9589" t="s">
        <v>9777</v>
      </c>
    </row>
    <row r="9590" spans="7:7">
      <c r="G9590" t="s">
        <v>9778</v>
      </c>
    </row>
    <row r="9591" spans="7:7">
      <c r="G9591" t="s">
        <v>9779</v>
      </c>
    </row>
    <row r="9592" spans="7:7">
      <c r="G9592" t="s">
        <v>9780</v>
      </c>
    </row>
    <row r="9593" spans="7:7">
      <c r="G9593" t="s">
        <v>9781</v>
      </c>
    </row>
    <row r="9594" spans="7:7">
      <c r="G9594" t="s">
        <v>9782</v>
      </c>
    </row>
    <row r="9595" spans="7:7">
      <c r="G9595" t="s">
        <v>9783</v>
      </c>
    </row>
    <row r="9596" spans="7:7">
      <c r="G9596" t="s">
        <v>9784</v>
      </c>
    </row>
    <row r="9597" spans="7:7">
      <c r="G9597" t="s">
        <v>9785</v>
      </c>
    </row>
    <row r="9598" spans="7:7">
      <c r="G9598" t="s">
        <v>9786</v>
      </c>
    </row>
    <row r="9599" spans="7:7">
      <c r="G9599" t="s">
        <v>9787</v>
      </c>
    </row>
    <row r="9600" spans="7:7">
      <c r="G9600" t="s">
        <v>9788</v>
      </c>
    </row>
    <row r="9601" spans="7:7">
      <c r="G9601" t="s">
        <v>9789</v>
      </c>
    </row>
    <row r="9602" spans="7:7">
      <c r="G9602" t="s">
        <v>9790</v>
      </c>
    </row>
    <row r="9603" spans="7:7">
      <c r="G9603" t="s">
        <v>9791</v>
      </c>
    </row>
    <row r="9604" spans="7:7">
      <c r="G9604" t="s">
        <v>9792</v>
      </c>
    </row>
    <row r="9605" spans="7:7">
      <c r="G9605" t="s">
        <v>9793</v>
      </c>
    </row>
    <row r="9606" spans="7:7">
      <c r="G9606" t="s">
        <v>9794</v>
      </c>
    </row>
    <row r="9607" spans="7:7">
      <c r="G9607" t="s">
        <v>9795</v>
      </c>
    </row>
    <row r="9608" spans="7:7">
      <c r="G9608" t="s">
        <v>9796</v>
      </c>
    </row>
    <row r="9609" spans="7:7">
      <c r="G9609" t="s">
        <v>9797</v>
      </c>
    </row>
    <row r="9610" spans="7:7">
      <c r="G9610" t="s">
        <v>9798</v>
      </c>
    </row>
    <row r="9611" spans="7:7">
      <c r="G9611" t="s">
        <v>9799</v>
      </c>
    </row>
    <row r="9612" spans="7:7">
      <c r="G9612" t="s">
        <v>9800</v>
      </c>
    </row>
    <row r="9613" spans="7:7">
      <c r="G9613" t="s">
        <v>9801</v>
      </c>
    </row>
    <row r="9614" spans="7:7">
      <c r="G9614" t="s">
        <v>9802</v>
      </c>
    </row>
    <row r="9615" spans="7:7">
      <c r="G9615" t="s">
        <v>9803</v>
      </c>
    </row>
    <row r="9616" spans="7:7">
      <c r="G9616" t="s">
        <v>9804</v>
      </c>
    </row>
    <row r="9617" spans="7:7">
      <c r="G9617" t="s">
        <v>9805</v>
      </c>
    </row>
    <row r="9618" spans="7:7">
      <c r="G9618" t="s">
        <v>9806</v>
      </c>
    </row>
    <row r="9619" spans="7:7">
      <c r="G9619" t="s">
        <v>9807</v>
      </c>
    </row>
    <row r="9620" spans="7:7">
      <c r="G9620" t="s">
        <v>9808</v>
      </c>
    </row>
    <row r="9621" spans="7:7">
      <c r="G9621" t="s">
        <v>9809</v>
      </c>
    </row>
    <row r="9622" spans="7:7">
      <c r="G9622" t="s">
        <v>9810</v>
      </c>
    </row>
    <row r="9623" spans="7:7">
      <c r="G9623" t="s">
        <v>9811</v>
      </c>
    </row>
    <row r="9624" spans="7:7">
      <c r="G9624" t="s">
        <v>9812</v>
      </c>
    </row>
    <row r="9625" spans="7:7">
      <c r="G9625" t="s">
        <v>9813</v>
      </c>
    </row>
    <row r="9626" spans="7:7">
      <c r="G9626" t="s">
        <v>9814</v>
      </c>
    </row>
    <row r="9627" spans="7:7">
      <c r="G9627" t="s">
        <v>9815</v>
      </c>
    </row>
    <row r="9628" spans="7:7">
      <c r="G9628" t="s">
        <v>9816</v>
      </c>
    </row>
    <row r="9629" spans="7:7">
      <c r="G9629" t="s">
        <v>9817</v>
      </c>
    </row>
    <row r="9630" spans="7:7">
      <c r="G9630" t="s">
        <v>9818</v>
      </c>
    </row>
    <row r="9631" spans="7:7">
      <c r="G9631" t="s">
        <v>9819</v>
      </c>
    </row>
    <row r="9632" spans="7:7">
      <c r="G9632" t="s">
        <v>9820</v>
      </c>
    </row>
    <row r="9633" spans="7:7">
      <c r="G9633" t="s">
        <v>9821</v>
      </c>
    </row>
    <row r="9634" spans="7:7">
      <c r="G9634" t="s">
        <v>9822</v>
      </c>
    </row>
    <row r="9635" spans="7:7">
      <c r="G9635" t="s">
        <v>9823</v>
      </c>
    </row>
    <row r="9636" spans="7:7">
      <c r="G9636" t="s">
        <v>9824</v>
      </c>
    </row>
    <row r="9637" spans="7:7">
      <c r="G9637" t="s">
        <v>9825</v>
      </c>
    </row>
    <row r="9638" spans="7:7">
      <c r="G9638" t="s">
        <v>9826</v>
      </c>
    </row>
    <row r="9639" spans="7:7">
      <c r="G9639" t="s">
        <v>9827</v>
      </c>
    </row>
    <row r="9640" spans="7:7">
      <c r="G9640" t="s">
        <v>9828</v>
      </c>
    </row>
    <row r="9641" spans="7:7">
      <c r="G9641" t="s">
        <v>9829</v>
      </c>
    </row>
    <row r="9642" spans="7:7">
      <c r="G9642" t="s">
        <v>9830</v>
      </c>
    </row>
    <row r="9643" spans="7:7">
      <c r="G9643" t="s">
        <v>9831</v>
      </c>
    </row>
    <row r="9644" spans="7:7">
      <c r="G9644" t="s">
        <v>9832</v>
      </c>
    </row>
    <row r="9645" spans="7:7">
      <c r="G9645" t="s">
        <v>9833</v>
      </c>
    </row>
    <row r="9646" spans="7:7">
      <c r="G9646" t="s">
        <v>9834</v>
      </c>
    </row>
    <row r="9647" spans="7:7">
      <c r="G9647" t="s">
        <v>9835</v>
      </c>
    </row>
    <row r="9648" spans="7:7">
      <c r="G9648" t="s">
        <v>9836</v>
      </c>
    </row>
    <row r="9649" spans="7:7">
      <c r="G9649" t="s">
        <v>9837</v>
      </c>
    </row>
    <row r="9650" spans="7:7">
      <c r="G9650" t="s">
        <v>9838</v>
      </c>
    </row>
    <row r="9651" spans="7:7">
      <c r="G9651" t="s">
        <v>9839</v>
      </c>
    </row>
    <row r="9652" spans="7:7">
      <c r="G9652" t="s">
        <v>9840</v>
      </c>
    </row>
    <row r="9653" spans="7:7">
      <c r="G9653" t="s">
        <v>9841</v>
      </c>
    </row>
    <row r="9654" spans="7:7">
      <c r="G9654" t="s">
        <v>9842</v>
      </c>
    </row>
    <row r="9655" spans="7:7">
      <c r="G9655" t="s">
        <v>9843</v>
      </c>
    </row>
    <row r="9656" spans="7:7">
      <c r="G9656" t="s">
        <v>9844</v>
      </c>
    </row>
    <row r="9657" spans="7:7">
      <c r="G9657" t="s">
        <v>9845</v>
      </c>
    </row>
    <row r="9658" spans="7:7">
      <c r="G9658" t="s">
        <v>9846</v>
      </c>
    </row>
    <row r="9659" spans="7:7">
      <c r="G9659" t="s">
        <v>9847</v>
      </c>
    </row>
    <row r="9660" spans="7:7">
      <c r="G9660" t="s">
        <v>9848</v>
      </c>
    </row>
    <row r="9661" spans="7:7">
      <c r="G9661" t="s">
        <v>9849</v>
      </c>
    </row>
    <row r="9662" spans="7:7">
      <c r="G9662" t="s">
        <v>9850</v>
      </c>
    </row>
    <row r="9663" spans="7:7">
      <c r="G9663" t="s">
        <v>9851</v>
      </c>
    </row>
    <row r="9664" spans="7:7">
      <c r="G9664" t="s">
        <v>9852</v>
      </c>
    </row>
    <row r="9665" spans="7:7">
      <c r="G9665" t="s">
        <v>9853</v>
      </c>
    </row>
    <row r="9666" spans="7:7">
      <c r="G9666" t="s">
        <v>9854</v>
      </c>
    </row>
    <row r="9667" spans="7:7">
      <c r="G9667" t="s">
        <v>9855</v>
      </c>
    </row>
    <row r="9668" spans="7:7">
      <c r="G9668" t="s">
        <v>9856</v>
      </c>
    </row>
    <row r="9669" spans="7:7">
      <c r="G9669" t="s">
        <v>9857</v>
      </c>
    </row>
    <row r="9670" spans="7:7">
      <c r="G9670" t="s">
        <v>9858</v>
      </c>
    </row>
    <row r="9671" spans="7:7">
      <c r="G9671" t="s">
        <v>9859</v>
      </c>
    </row>
    <row r="9672" spans="7:7">
      <c r="G9672" t="s">
        <v>9860</v>
      </c>
    </row>
    <row r="9673" spans="7:7">
      <c r="G9673" t="s">
        <v>9861</v>
      </c>
    </row>
    <row r="9674" spans="7:7">
      <c r="G9674" t="s">
        <v>9862</v>
      </c>
    </row>
    <row r="9675" spans="7:7">
      <c r="G9675" t="s">
        <v>9863</v>
      </c>
    </row>
    <row r="9676" spans="7:7">
      <c r="G9676" t="s">
        <v>9864</v>
      </c>
    </row>
    <row r="9677" spans="7:7">
      <c r="G9677" t="s">
        <v>9865</v>
      </c>
    </row>
    <row r="9678" spans="7:7">
      <c r="G9678" t="s">
        <v>9866</v>
      </c>
    </row>
    <row r="9679" spans="7:7">
      <c r="G9679" t="s">
        <v>9867</v>
      </c>
    </row>
    <row r="9680" spans="7:7">
      <c r="G9680" t="s">
        <v>9868</v>
      </c>
    </row>
    <row r="9681" spans="7:7">
      <c r="G9681" t="s">
        <v>9869</v>
      </c>
    </row>
    <row r="9682" spans="7:7">
      <c r="G9682" t="s">
        <v>9870</v>
      </c>
    </row>
    <row r="9683" spans="7:7">
      <c r="G9683" t="s">
        <v>9871</v>
      </c>
    </row>
    <row r="9684" spans="7:7">
      <c r="G9684" t="s">
        <v>9872</v>
      </c>
    </row>
    <row r="9685" spans="7:7">
      <c r="G9685" t="s">
        <v>9873</v>
      </c>
    </row>
    <row r="9686" spans="7:7">
      <c r="G9686" t="s">
        <v>9874</v>
      </c>
    </row>
    <row r="9687" spans="7:7">
      <c r="G9687" t="s">
        <v>9875</v>
      </c>
    </row>
    <row r="9688" spans="7:7">
      <c r="G9688" t="s">
        <v>9876</v>
      </c>
    </row>
    <row r="9689" spans="7:7">
      <c r="G9689" t="s">
        <v>9877</v>
      </c>
    </row>
    <row r="9690" spans="7:7">
      <c r="G9690" t="s">
        <v>9878</v>
      </c>
    </row>
    <row r="9691" spans="7:7">
      <c r="G9691" t="s">
        <v>9879</v>
      </c>
    </row>
    <row r="9692" spans="7:7">
      <c r="G9692" t="s">
        <v>9880</v>
      </c>
    </row>
    <row r="9693" spans="7:7">
      <c r="G9693" t="s">
        <v>9881</v>
      </c>
    </row>
    <row r="9694" spans="7:7">
      <c r="G9694" t="s">
        <v>9882</v>
      </c>
    </row>
    <row r="9695" spans="7:7">
      <c r="G9695" t="s">
        <v>9883</v>
      </c>
    </row>
    <row r="9696" spans="7:7">
      <c r="G9696" t="s">
        <v>9884</v>
      </c>
    </row>
    <row r="9697" spans="7:7">
      <c r="G9697" t="s">
        <v>9885</v>
      </c>
    </row>
    <row r="9698" spans="7:7">
      <c r="G9698" t="s">
        <v>9886</v>
      </c>
    </row>
    <row r="9699" spans="7:7">
      <c r="G9699" t="s">
        <v>9887</v>
      </c>
    </row>
    <row r="9700" spans="7:7">
      <c r="G9700" t="s">
        <v>9888</v>
      </c>
    </row>
    <row r="9701" spans="7:7">
      <c r="G9701" t="s">
        <v>9889</v>
      </c>
    </row>
    <row r="9702" spans="7:7">
      <c r="G9702" t="s">
        <v>9890</v>
      </c>
    </row>
    <row r="9703" spans="7:7">
      <c r="G9703" t="s">
        <v>9891</v>
      </c>
    </row>
    <row r="9704" spans="7:7">
      <c r="G9704" t="s">
        <v>9892</v>
      </c>
    </row>
    <row r="9705" spans="7:7">
      <c r="G9705" t="s">
        <v>9893</v>
      </c>
    </row>
    <row r="9706" spans="7:7">
      <c r="G9706" t="s">
        <v>9894</v>
      </c>
    </row>
    <row r="9707" spans="7:7">
      <c r="G9707" t="s">
        <v>9895</v>
      </c>
    </row>
    <row r="9708" spans="7:7">
      <c r="G9708" t="s">
        <v>9896</v>
      </c>
    </row>
    <row r="9709" spans="7:7">
      <c r="G9709" t="s">
        <v>9897</v>
      </c>
    </row>
    <row r="9710" spans="7:7">
      <c r="G9710" t="s">
        <v>9898</v>
      </c>
    </row>
    <row r="9711" spans="7:7">
      <c r="G9711" t="s">
        <v>9899</v>
      </c>
    </row>
    <row r="9712" spans="7:7">
      <c r="G9712" t="s">
        <v>9900</v>
      </c>
    </row>
    <row r="9713" spans="7:7">
      <c r="G9713" t="s">
        <v>9901</v>
      </c>
    </row>
    <row r="9714" spans="7:7">
      <c r="G9714" t="s">
        <v>9902</v>
      </c>
    </row>
    <row r="9715" spans="7:7">
      <c r="G9715" t="s">
        <v>9903</v>
      </c>
    </row>
    <row r="9716" spans="7:7">
      <c r="G9716" t="s">
        <v>9904</v>
      </c>
    </row>
    <row r="9717" spans="7:7">
      <c r="G9717" t="s">
        <v>9905</v>
      </c>
    </row>
    <row r="9718" spans="7:7">
      <c r="G9718" t="s">
        <v>9906</v>
      </c>
    </row>
    <row r="9719" spans="7:7">
      <c r="G9719" t="s">
        <v>9907</v>
      </c>
    </row>
    <row r="9720" spans="7:7">
      <c r="G9720" t="s">
        <v>9908</v>
      </c>
    </row>
    <row r="9721" spans="7:7">
      <c r="G9721" t="s">
        <v>9909</v>
      </c>
    </row>
    <row r="9722" spans="7:7">
      <c r="G9722" t="s">
        <v>9910</v>
      </c>
    </row>
    <row r="9723" spans="7:7">
      <c r="G9723" t="s">
        <v>9911</v>
      </c>
    </row>
    <row r="9724" spans="7:7">
      <c r="G9724" t="s">
        <v>9912</v>
      </c>
    </row>
    <row r="9725" spans="7:7">
      <c r="G9725" t="s">
        <v>9913</v>
      </c>
    </row>
    <row r="9726" spans="7:7">
      <c r="G9726" t="s">
        <v>9914</v>
      </c>
    </row>
    <row r="9727" spans="7:7">
      <c r="G9727" t="s">
        <v>9915</v>
      </c>
    </row>
    <row r="9728" spans="7:7">
      <c r="G9728" t="s">
        <v>9916</v>
      </c>
    </row>
    <row r="9729" spans="7:7">
      <c r="G9729" t="s">
        <v>9917</v>
      </c>
    </row>
    <row r="9730" spans="7:7">
      <c r="G9730" t="s">
        <v>9918</v>
      </c>
    </row>
    <row r="9731" spans="7:7">
      <c r="G9731" t="s">
        <v>9919</v>
      </c>
    </row>
    <row r="9732" spans="7:7">
      <c r="G9732" t="s">
        <v>9920</v>
      </c>
    </row>
    <row r="9733" spans="7:7">
      <c r="G9733" t="s">
        <v>9921</v>
      </c>
    </row>
    <row r="9734" spans="7:7">
      <c r="G9734" t="s">
        <v>9922</v>
      </c>
    </row>
    <row r="9735" spans="7:7">
      <c r="G9735" t="s">
        <v>9923</v>
      </c>
    </row>
    <row r="9736" spans="7:7">
      <c r="G9736" t="s">
        <v>9924</v>
      </c>
    </row>
    <row r="9737" spans="7:7">
      <c r="G9737" t="s">
        <v>9925</v>
      </c>
    </row>
    <row r="9738" spans="7:7">
      <c r="G9738" t="s">
        <v>9926</v>
      </c>
    </row>
    <row r="9739" spans="7:7">
      <c r="G9739" t="s">
        <v>9927</v>
      </c>
    </row>
    <row r="9740" spans="7:7">
      <c r="G9740" t="s">
        <v>9928</v>
      </c>
    </row>
    <row r="9741" spans="7:7">
      <c r="G9741" t="s">
        <v>9929</v>
      </c>
    </row>
    <row r="9742" spans="7:7">
      <c r="G9742" t="s">
        <v>9930</v>
      </c>
    </row>
    <row r="9743" spans="7:7">
      <c r="G9743" t="s">
        <v>9931</v>
      </c>
    </row>
    <row r="9744" spans="7:7">
      <c r="G9744" t="s">
        <v>9932</v>
      </c>
    </row>
    <row r="9745" spans="7:7">
      <c r="G9745" t="s">
        <v>9933</v>
      </c>
    </row>
    <row r="9746" spans="7:7">
      <c r="G9746" t="s">
        <v>9934</v>
      </c>
    </row>
    <row r="9747" spans="7:7">
      <c r="G9747" t="s">
        <v>9935</v>
      </c>
    </row>
    <row r="9748" spans="7:7">
      <c r="G9748" t="s">
        <v>9936</v>
      </c>
    </row>
    <row r="9749" spans="7:7">
      <c r="G9749" t="s">
        <v>9937</v>
      </c>
    </row>
    <row r="9750" spans="7:7">
      <c r="G9750" t="s">
        <v>9938</v>
      </c>
    </row>
    <row r="9751" spans="7:7">
      <c r="G9751" t="s">
        <v>9939</v>
      </c>
    </row>
    <row r="9752" spans="7:7">
      <c r="G9752" t="s">
        <v>9940</v>
      </c>
    </row>
    <row r="9753" spans="7:7">
      <c r="G9753" t="s">
        <v>9941</v>
      </c>
    </row>
    <row r="9754" spans="7:7">
      <c r="G9754" t="s">
        <v>9942</v>
      </c>
    </row>
    <row r="9755" spans="7:7">
      <c r="G9755" t="s">
        <v>9943</v>
      </c>
    </row>
    <row r="9756" spans="7:7">
      <c r="G9756" t="s">
        <v>9944</v>
      </c>
    </row>
    <row r="9757" spans="7:7">
      <c r="G9757" t="s">
        <v>9945</v>
      </c>
    </row>
    <row r="9758" spans="7:7">
      <c r="G9758" t="s">
        <v>9946</v>
      </c>
    </row>
    <row r="9759" spans="7:7">
      <c r="G9759" t="s">
        <v>9947</v>
      </c>
    </row>
    <row r="9760" spans="7:7">
      <c r="G9760" t="s">
        <v>9948</v>
      </c>
    </row>
    <row r="9761" spans="7:7">
      <c r="G9761" t="s">
        <v>9949</v>
      </c>
    </row>
    <row r="9762" spans="7:7">
      <c r="G9762" t="s">
        <v>9950</v>
      </c>
    </row>
    <row r="9763" spans="7:7">
      <c r="G9763" t="s">
        <v>9951</v>
      </c>
    </row>
    <row r="9764" spans="7:7">
      <c r="G9764" t="s">
        <v>9952</v>
      </c>
    </row>
    <row r="9765" spans="7:7">
      <c r="G9765" t="s">
        <v>9953</v>
      </c>
    </row>
    <row r="9766" spans="7:7">
      <c r="G9766" t="s">
        <v>9954</v>
      </c>
    </row>
    <row r="9767" spans="7:7">
      <c r="G9767" t="s">
        <v>9955</v>
      </c>
    </row>
    <row r="9768" spans="7:7">
      <c r="G9768" t="s">
        <v>9956</v>
      </c>
    </row>
    <row r="9769" spans="7:7">
      <c r="G9769" t="s">
        <v>9957</v>
      </c>
    </row>
    <row r="9770" spans="7:7">
      <c r="G9770" t="s">
        <v>9958</v>
      </c>
    </row>
    <row r="9771" spans="7:7">
      <c r="G9771" t="s">
        <v>9959</v>
      </c>
    </row>
    <row r="9772" spans="7:7">
      <c r="G9772" t="s">
        <v>9960</v>
      </c>
    </row>
    <row r="9773" spans="7:7">
      <c r="G9773" t="s">
        <v>9961</v>
      </c>
    </row>
    <row r="9774" spans="7:7">
      <c r="G9774" t="s">
        <v>9962</v>
      </c>
    </row>
    <row r="9775" spans="7:7">
      <c r="G9775" t="s">
        <v>9963</v>
      </c>
    </row>
    <row r="9776" spans="7:7">
      <c r="G9776" t="s">
        <v>9964</v>
      </c>
    </row>
    <row r="9777" spans="7:7">
      <c r="G9777" t="s">
        <v>9965</v>
      </c>
    </row>
    <row r="9778" spans="7:7">
      <c r="G9778" t="s">
        <v>9966</v>
      </c>
    </row>
    <row r="9779" spans="7:7">
      <c r="G9779" t="s">
        <v>9967</v>
      </c>
    </row>
    <row r="9780" spans="7:7">
      <c r="G9780" t="s">
        <v>9968</v>
      </c>
    </row>
    <row r="9781" spans="7:7">
      <c r="G9781" t="s">
        <v>9969</v>
      </c>
    </row>
    <row r="9782" spans="7:7">
      <c r="G9782" t="s">
        <v>9970</v>
      </c>
    </row>
    <row r="9783" spans="7:7">
      <c r="G9783" t="s">
        <v>9971</v>
      </c>
    </row>
    <row r="9784" spans="7:7">
      <c r="G9784" t="s">
        <v>9972</v>
      </c>
    </row>
    <row r="9785" spans="7:7">
      <c r="G9785" t="s">
        <v>9973</v>
      </c>
    </row>
    <row r="9786" spans="7:7">
      <c r="G9786" t="s">
        <v>9974</v>
      </c>
    </row>
    <row r="9787" spans="7:7">
      <c r="G9787" t="s">
        <v>9975</v>
      </c>
    </row>
    <row r="9788" spans="7:7">
      <c r="G9788" t="s">
        <v>9976</v>
      </c>
    </row>
    <row r="9789" spans="7:7">
      <c r="G9789" t="s">
        <v>9977</v>
      </c>
    </row>
    <row r="9790" spans="7:7">
      <c r="G9790" t="s">
        <v>9978</v>
      </c>
    </row>
    <row r="9791" spans="7:7">
      <c r="G9791" t="s">
        <v>9979</v>
      </c>
    </row>
    <row r="9792" spans="7:7">
      <c r="G9792" t="s">
        <v>9980</v>
      </c>
    </row>
    <row r="9793" spans="7:7">
      <c r="G9793" t="s">
        <v>9981</v>
      </c>
    </row>
    <row r="9794" spans="7:7">
      <c r="G9794" t="s">
        <v>9982</v>
      </c>
    </row>
    <row r="9795" spans="7:7">
      <c r="G9795" t="s">
        <v>9983</v>
      </c>
    </row>
    <row r="9796" spans="7:7">
      <c r="G9796" t="s">
        <v>9984</v>
      </c>
    </row>
    <row r="9797" spans="7:7">
      <c r="G9797" t="s">
        <v>9985</v>
      </c>
    </row>
    <row r="9798" spans="7:7">
      <c r="G9798" t="s">
        <v>9986</v>
      </c>
    </row>
    <row r="9799" spans="7:7">
      <c r="G9799" t="s">
        <v>9987</v>
      </c>
    </row>
    <row r="9800" spans="7:7">
      <c r="G9800" t="s">
        <v>9988</v>
      </c>
    </row>
    <row r="9801" spans="7:7">
      <c r="G9801" t="s">
        <v>9989</v>
      </c>
    </row>
    <row r="9802" spans="7:7">
      <c r="G9802" t="s">
        <v>9990</v>
      </c>
    </row>
    <row r="9803" spans="7:7">
      <c r="G9803" t="s">
        <v>9991</v>
      </c>
    </row>
    <row r="9804" spans="7:7">
      <c r="G9804" t="s">
        <v>9992</v>
      </c>
    </row>
    <row r="9805" spans="7:7">
      <c r="G9805" t="s">
        <v>9993</v>
      </c>
    </row>
    <row r="9806" spans="7:7">
      <c r="G9806" t="s">
        <v>9994</v>
      </c>
    </row>
    <row r="9807" spans="7:7">
      <c r="G9807" t="s">
        <v>9995</v>
      </c>
    </row>
    <row r="9808" spans="7:7">
      <c r="G9808" t="s">
        <v>9996</v>
      </c>
    </row>
    <row r="9809" spans="7:7">
      <c r="G9809" t="s">
        <v>9997</v>
      </c>
    </row>
    <row r="9810" spans="7:7">
      <c r="G9810" t="s">
        <v>9998</v>
      </c>
    </row>
    <row r="9811" spans="7:7">
      <c r="G9811" t="s">
        <v>9999</v>
      </c>
    </row>
    <row r="9812" spans="7:7">
      <c r="G9812" t="s">
        <v>10000</v>
      </c>
    </row>
    <row r="9813" spans="7:7">
      <c r="G9813" t="s">
        <v>10001</v>
      </c>
    </row>
    <row r="9814" spans="7:7">
      <c r="G9814" t="s">
        <v>10002</v>
      </c>
    </row>
    <row r="9815" spans="7:7">
      <c r="G9815" t="s">
        <v>10003</v>
      </c>
    </row>
    <row r="9816" spans="7:7">
      <c r="G9816" t="s">
        <v>10004</v>
      </c>
    </row>
    <row r="9817" spans="7:7">
      <c r="G9817" t="s">
        <v>10005</v>
      </c>
    </row>
    <row r="9818" spans="7:7">
      <c r="G9818" t="s">
        <v>10006</v>
      </c>
    </row>
    <row r="9819" spans="7:7">
      <c r="G9819" t="s">
        <v>10007</v>
      </c>
    </row>
    <row r="9820" spans="7:7">
      <c r="G9820" t="s">
        <v>10008</v>
      </c>
    </row>
    <row r="9821" spans="7:7">
      <c r="G9821" t="s">
        <v>10009</v>
      </c>
    </row>
    <row r="9822" spans="7:7">
      <c r="G9822" t="s">
        <v>10010</v>
      </c>
    </row>
    <row r="9823" spans="7:7">
      <c r="G9823" t="s">
        <v>10011</v>
      </c>
    </row>
    <row r="9824" spans="7:7">
      <c r="G9824" t="s">
        <v>10012</v>
      </c>
    </row>
    <row r="9825" spans="7:7">
      <c r="G9825" t="s">
        <v>10013</v>
      </c>
    </row>
    <row r="9826" spans="7:7">
      <c r="G9826" t="s">
        <v>10014</v>
      </c>
    </row>
    <row r="9827" spans="7:7">
      <c r="G9827" t="s">
        <v>10015</v>
      </c>
    </row>
    <row r="9828" spans="7:7">
      <c r="G9828" t="s">
        <v>10016</v>
      </c>
    </row>
    <row r="9829" spans="7:7">
      <c r="G9829" t="s">
        <v>10017</v>
      </c>
    </row>
    <row r="9830" spans="7:7">
      <c r="G9830" t="s">
        <v>10018</v>
      </c>
    </row>
    <row r="9831" spans="7:7">
      <c r="G9831" t="s">
        <v>10019</v>
      </c>
    </row>
    <row r="9832" spans="7:7">
      <c r="G9832" t="s">
        <v>10020</v>
      </c>
    </row>
    <row r="9833" spans="7:7">
      <c r="G9833" t="s">
        <v>10021</v>
      </c>
    </row>
    <row r="9834" spans="7:7">
      <c r="G9834" t="s">
        <v>10022</v>
      </c>
    </row>
    <row r="9835" spans="7:7">
      <c r="G9835" t="s">
        <v>10023</v>
      </c>
    </row>
    <row r="9836" spans="7:7">
      <c r="G9836" t="s">
        <v>10024</v>
      </c>
    </row>
    <row r="9837" spans="7:7">
      <c r="G9837" t="s">
        <v>10025</v>
      </c>
    </row>
    <row r="9838" spans="7:7">
      <c r="G9838" t="s">
        <v>10026</v>
      </c>
    </row>
    <row r="9839" spans="7:7">
      <c r="G9839" t="s">
        <v>10027</v>
      </c>
    </row>
    <row r="9840" spans="7:7">
      <c r="G9840" t="s">
        <v>10028</v>
      </c>
    </row>
    <row r="9841" spans="7:7">
      <c r="G9841" t="s">
        <v>10029</v>
      </c>
    </row>
    <row r="9842" spans="7:7">
      <c r="G9842" t="s">
        <v>10030</v>
      </c>
    </row>
    <row r="9843" spans="7:7">
      <c r="G9843" t="s">
        <v>10031</v>
      </c>
    </row>
    <row r="9844" spans="7:7">
      <c r="G9844" t="s">
        <v>10032</v>
      </c>
    </row>
    <row r="9845" spans="7:7">
      <c r="G9845" t="s">
        <v>10033</v>
      </c>
    </row>
    <row r="9846" spans="7:7">
      <c r="G9846" t="s">
        <v>10034</v>
      </c>
    </row>
    <row r="9847" spans="7:7">
      <c r="G9847" t="s">
        <v>10035</v>
      </c>
    </row>
    <row r="9848" spans="7:7">
      <c r="G9848" t="s">
        <v>10036</v>
      </c>
    </row>
    <row r="9849" spans="7:7">
      <c r="G9849" t="s">
        <v>10037</v>
      </c>
    </row>
    <row r="9850" spans="7:7">
      <c r="G9850" t="s">
        <v>10038</v>
      </c>
    </row>
    <row r="9851" spans="7:7">
      <c r="G9851" t="s">
        <v>10039</v>
      </c>
    </row>
    <row r="9852" spans="7:7">
      <c r="G9852" t="s">
        <v>10040</v>
      </c>
    </row>
    <row r="9853" spans="7:7">
      <c r="G9853" t="s">
        <v>10041</v>
      </c>
    </row>
    <row r="9854" spans="7:7">
      <c r="G9854" t="s">
        <v>10042</v>
      </c>
    </row>
    <row r="9855" spans="7:7">
      <c r="G9855" t="s">
        <v>10043</v>
      </c>
    </row>
    <row r="9856" spans="7:7">
      <c r="G9856" t="s">
        <v>10044</v>
      </c>
    </row>
    <row r="9857" spans="7:7">
      <c r="G9857" t="s">
        <v>10045</v>
      </c>
    </row>
    <row r="9858" spans="7:7">
      <c r="G9858" t="s">
        <v>10046</v>
      </c>
    </row>
    <row r="9859" spans="7:7">
      <c r="G9859" t="s">
        <v>10047</v>
      </c>
    </row>
    <row r="9860" spans="7:7">
      <c r="G9860" t="s">
        <v>10048</v>
      </c>
    </row>
    <row r="9861" spans="7:7">
      <c r="G9861" t="s">
        <v>10049</v>
      </c>
    </row>
    <row r="9862" spans="7:7">
      <c r="G9862" t="s">
        <v>10050</v>
      </c>
    </row>
    <row r="9863" spans="7:7">
      <c r="G9863" t="s">
        <v>10051</v>
      </c>
    </row>
    <row r="9864" spans="7:7">
      <c r="G9864" t="s">
        <v>10052</v>
      </c>
    </row>
    <row r="9865" spans="7:7">
      <c r="G9865" t="s">
        <v>10053</v>
      </c>
    </row>
    <row r="9866" spans="7:7">
      <c r="G9866" t="s">
        <v>10054</v>
      </c>
    </row>
    <row r="9867" spans="7:7">
      <c r="G9867" t="s">
        <v>10055</v>
      </c>
    </row>
    <row r="9868" spans="7:7">
      <c r="G9868" t="s">
        <v>10056</v>
      </c>
    </row>
    <row r="9869" spans="7:7">
      <c r="G9869" t="s">
        <v>10057</v>
      </c>
    </row>
    <row r="9870" spans="7:7">
      <c r="G9870" t="s">
        <v>10058</v>
      </c>
    </row>
    <row r="9871" spans="7:7">
      <c r="G9871" t="s">
        <v>10059</v>
      </c>
    </row>
    <row r="9872" spans="7:7">
      <c r="G9872" t="s">
        <v>10060</v>
      </c>
    </row>
    <row r="9873" spans="7:7">
      <c r="G9873" t="s">
        <v>10061</v>
      </c>
    </row>
    <row r="9874" spans="7:7">
      <c r="G9874" t="s">
        <v>10062</v>
      </c>
    </row>
    <row r="9875" spans="7:7">
      <c r="G9875" t="s">
        <v>10063</v>
      </c>
    </row>
    <row r="9876" spans="7:7">
      <c r="G9876" t="s">
        <v>10064</v>
      </c>
    </row>
    <row r="9877" spans="7:7">
      <c r="G9877" t="s">
        <v>10065</v>
      </c>
    </row>
    <row r="9878" spans="7:7">
      <c r="G9878" t="s">
        <v>10066</v>
      </c>
    </row>
    <row r="9879" spans="7:7">
      <c r="G9879" t="s">
        <v>10067</v>
      </c>
    </row>
    <row r="9880" spans="7:7">
      <c r="G9880" t="s">
        <v>10068</v>
      </c>
    </row>
    <row r="9881" spans="7:7">
      <c r="G9881" t="s">
        <v>10069</v>
      </c>
    </row>
    <row r="9882" spans="7:7">
      <c r="G9882" t="s">
        <v>10070</v>
      </c>
    </row>
    <row r="9883" spans="7:7">
      <c r="G9883" t="s">
        <v>10071</v>
      </c>
    </row>
    <row r="9884" spans="7:7">
      <c r="G9884" t="s">
        <v>10072</v>
      </c>
    </row>
    <row r="9885" spans="7:7">
      <c r="G9885" t="s">
        <v>10073</v>
      </c>
    </row>
    <row r="9886" spans="7:7">
      <c r="G9886" t="s">
        <v>10074</v>
      </c>
    </row>
    <row r="9887" spans="7:7">
      <c r="G9887" t="s">
        <v>10075</v>
      </c>
    </row>
    <row r="9888" spans="7:7">
      <c r="G9888" t="s">
        <v>10076</v>
      </c>
    </row>
    <row r="9889" spans="7:7">
      <c r="G9889" t="s">
        <v>10077</v>
      </c>
    </row>
    <row r="9890" spans="7:7">
      <c r="G9890" t="s">
        <v>10078</v>
      </c>
    </row>
    <row r="9891" spans="7:7">
      <c r="G9891" t="s">
        <v>10079</v>
      </c>
    </row>
    <row r="9892" spans="7:7">
      <c r="G9892" t="s">
        <v>10080</v>
      </c>
    </row>
    <row r="9893" spans="7:7">
      <c r="G9893" t="s">
        <v>10081</v>
      </c>
    </row>
    <row r="9894" spans="7:7">
      <c r="G9894" t="s">
        <v>10082</v>
      </c>
    </row>
    <row r="9895" spans="7:7">
      <c r="G9895" t="s">
        <v>10083</v>
      </c>
    </row>
    <row r="9896" spans="7:7">
      <c r="G9896" t="s">
        <v>10084</v>
      </c>
    </row>
    <row r="9897" spans="7:7">
      <c r="G9897" t="s">
        <v>10085</v>
      </c>
    </row>
    <row r="9898" spans="7:7">
      <c r="G9898" t="s">
        <v>10086</v>
      </c>
    </row>
    <row r="9899" spans="7:7">
      <c r="G9899" t="s">
        <v>10087</v>
      </c>
    </row>
    <row r="9900" spans="7:7">
      <c r="G9900" t="s">
        <v>10088</v>
      </c>
    </row>
    <row r="9901" spans="7:7">
      <c r="G9901" t="s">
        <v>10089</v>
      </c>
    </row>
    <row r="9902" spans="7:7">
      <c r="G9902" t="s">
        <v>10090</v>
      </c>
    </row>
    <row r="9903" spans="7:7">
      <c r="G9903" t="s">
        <v>10091</v>
      </c>
    </row>
    <row r="9904" spans="7:7">
      <c r="G9904" t="s">
        <v>10092</v>
      </c>
    </row>
    <row r="9905" spans="7:7">
      <c r="G9905" t="s">
        <v>10093</v>
      </c>
    </row>
    <row r="9906" spans="7:7">
      <c r="G9906" t="s">
        <v>10094</v>
      </c>
    </row>
    <row r="9907" spans="7:7">
      <c r="G9907" t="s">
        <v>10095</v>
      </c>
    </row>
    <row r="9908" spans="7:7">
      <c r="G9908" t="s">
        <v>10096</v>
      </c>
    </row>
    <row r="9909" spans="7:7">
      <c r="G9909" t="s">
        <v>10097</v>
      </c>
    </row>
    <row r="9910" spans="7:7">
      <c r="G9910" t="s">
        <v>10098</v>
      </c>
    </row>
    <row r="9911" spans="7:7">
      <c r="G9911" t="s">
        <v>10099</v>
      </c>
    </row>
    <row r="9912" spans="7:7">
      <c r="G9912" t="s">
        <v>10100</v>
      </c>
    </row>
    <row r="9913" spans="7:7">
      <c r="G9913" t="s">
        <v>10101</v>
      </c>
    </row>
    <row r="9914" spans="7:7">
      <c r="G9914" t="s">
        <v>10102</v>
      </c>
    </row>
    <row r="9915" spans="7:7">
      <c r="G9915" t="s">
        <v>10103</v>
      </c>
    </row>
    <row r="9916" spans="7:7">
      <c r="G9916" t="s">
        <v>10104</v>
      </c>
    </row>
    <row r="9917" spans="7:7">
      <c r="G9917" t="s">
        <v>10105</v>
      </c>
    </row>
    <row r="9918" spans="7:7">
      <c r="G9918" t="s">
        <v>10106</v>
      </c>
    </row>
    <row r="9919" spans="7:7">
      <c r="G9919" t="s">
        <v>10107</v>
      </c>
    </row>
    <row r="9920" spans="7:7">
      <c r="G9920" t="s">
        <v>10108</v>
      </c>
    </row>
    <row r="9921" spans="7:7">
      <c r="G9921" t="s">
        <v>10109</v>
      </c>
    </row>
    <row r="9922" spans="7:7">
      <c r="G9922" t="s">
        <v>10110</v>
      </c>
    </row>
    <row r="9923" spans="7:7">
      <c r="G9923" t="s">
        <v>10111</v>
      </c>
    </row>
    <row r="9924" spans="7:7">
      <c r="G9924" t="s">
        <v>10112</v>
      </c>
    </row>
    <row r="9925" spans="7:7">
      <c r="G9925" t="s">
        <v>10113</v>
      </c>
    </row>
    <row r="9926" spans="7:7">
      <c r="G9926" t="s">
        <v>10114</v>
      </c>
    </row>
    <row r="9927" spans="7:7">
      <c r="G9927" t="s">
        <v>10115</v>
      </c>
    </row>
    <row r="9928" spans="7:7">
      <c r="G9928" t="s">
        <v>10116</v>
      </c>
    </row>
    <row r="9929" spans="7:7">
      <c r="G9929" t="s">
        <v>10117</v>
      </c>
    </row>
    <row r="9930" spans="7:7">
      <c r="G9930" t="s">
        <v>10118</v>
      </c>
    </row>
    <row r="9931" spans="7:7">
      <c r="G9931" t="s">
        <v>10119</v>
      </c>
    </row>
    <row r="9932" spans="7:7">
      <c r="G9932" t="s">
        <v>10120</v>
      </c>
    </row>
    <row r="9933" spans="7:7">
      <c r="G9933" t="s">
        <v>10121</v>
      </c>
    </row>
    <row r="9934" spans="7:7">
      <c r="G9934" t="s">
        <v>10122</v>
      </c>
    </row>
    <row r="9935" spans="7:7">
      <c r="G9935" t="s">
        <v>10123</v>
      </c>
    </row>
    <row r="9936" spans="7:7">
      <c r="G9936" t="s">
        <v>10124</v>
      </c>
    </row>
    <row r="9937" spans="7:7">
      <c r="G9937" t="s">
        <v>10125</v>
      </c>
    </row>
    <row r="9938" spans="7:7">
      <c r="G9938" t="s">
        <v>10126</v>
      </c>
    </row>
    <row r="9939" spans="7:7">
      <c r="G9939" t="s">
        <v>10127</v>
      </c>
    </row>
    <row r="9940" spans="7:7">
      <c r="G9940" t="s">
        <v>10128</v>
      </c>
    </row>
    <row r="9941" spans="7:7">
      <c r="G9941" t="s">
        <v>10129</v>
      </c>
    </row>
    <row r="9942" spans="7:7">
      <c r="G9942" t="s">
        <v>10130</v>
      </c>
    </row>
    <row r="9943" spans="7:7">
      <c r="G9943" t="s">
        <v>10131</v>
      </c>
    </row>
    <row r="9944" spans="7:7">
      <c r="G9944" t="s">
        <v>10132</v>
      </c>
    </row>
    <row r="9945" spans="7:7">
      <c r="G9945" t="s">
        <v>10133</v>
      </c>
    </row>
    <row r="9946" spans="7:7">
      <c r="G9946" t="s">
        <v>10134</v>
      </c>
    </row>
    <row r="9947" spans="7:7">
      <c r="G9947" t="s">
        <v>10135</v>
      </c>
    </row>
    <row r="9948" spans="7:7">
      <c r="G9948" t="s">
        <v>10136</v>
      </c>
    </row>
    <row r="9949" spans="7:7">
      <c r="G9949" t="s">
        <v>10137</v>
      </c>
    </row>
    <row r="9950" spans="7:7">
      <c r="G9950" t="s">
        <v>10138</v>
      </c>
    </row>
    <row r="9951" spans="7:7">
      <c r="G9951" t="s">
        <v>10139</v>
      </c>
    </row>
    <row r="9952" spans="7:7">
      <c r="G9952" t="s">
        <v>10140</v>
      </c>
    </row>
    <row r="9953" spans="7:7">
      <c r="G9953" t="s">
        <v>10141</v>
      </c>
    </row>
    <row r="9954" spans="7:7">
      <c r="G9954" t="s">
        <v>10142</v>
      </c>
    </row>
    <row r="9955" spans="7:7">
      <c r="G9955" t="s">
        <v>10143</v>
      </c>
    </row>
    <row r="9956" spans="7:7">
      <c r="G9956" t="s">
        <v>10144</v>
      </c>
    </row>
    <row r="9957" spans="7:7">
      <c r="G9957" t="s">
        <v>10145</v>
      </c>
    </row>
    <row r="9958" spans="7:7">
      <c r="G9958" t="s">
        <v>10146</v>
      </c>
    </row>
    <row r="9959" spans="7:7">
      <c r="G9959" t="s">
        <v>10147</v>
      </c>
    </row>
    <row r="9960" spans="7:7">
      <c r="G9960" t="s">
        <v>10148</v>
      </c>
    </row>
    <row r="9961" spans="7:7">
      <c r="G9961" t="s">
        <v>10149</v>
      </c>
    </row>
    <row r="9962" spans="7:7">
      <c r="G9962" t="s">
        <v>10150</v>
      </c>
    </row>
    <row r="9963" spans="7:7">
      <c r="G9963" t="s">
        <v>10151</v>
      </c>
    </row>
    <row r="9964" spans="7:7">
      <c r="G9964" t="s">
        <v>10152</v>
      </c>
    </row>
    <row r="9965" spans="7:7">
      <c r="G9965" t="s">
        <v>10153</v>
      </c>
    </row>
    <row r="9966" spans="7:7">
      <c r="G9966" t="s">
        <v>10154</v>
      </c>
    </row>
    <row r="9967" spans="7:7">
      <c r="G9967" t="s">
        <v>10155</v>
      </c>
    </row>
    <row r="9968" spans="7:7">
      <c r="G9968" t="s">
        <v>10156</v>
      </c>
    </row>
    <row r="9969" spans="7:7">
      <c r="G9969" t="s">
        <v>10157</v>
      </c>
    </row>
    <row r="9970" spans="7:7">
      <c r="G9970" t="s">
        <v>10158</v>
      </c>
    </row>
    <row r="9971" spans="7:7">
      <c r="G9971" t="s">
        <v>10159</v>
      </c>
    </row>
    <row r="9972" spans="7:7">
      <c r="G9972" t="s">
        <v>10160</v>
      </c>
    </row>
    <row r="9973" spans="7:7">
      <c r="G9973" t="s">
        <v>10161</v>
      </c>
    </row>
    <row r="9974" spans="7:7">
      <c r="G9974" t="s">
        <v>10162</v>
      </c>
    </row>
    <row r="9975" spans="7:7">
      <c r="G9975" t="s">
        <v>10163</v>
      </c>
    </row>
    <row r="9976" spans="7:7">
      <c r="G9976" t="s">
        <v>10164</v>
      </c>
    </row>
    <row r="9977" spans="7:7">
      <c r="G9977" t="s">
        <v>10165</v>
      </c>
    </row>
    <row r="9978" spans="7:7">
      <c r="G9978" t="s">
        <v>10166</v>
      </c>
    </row>
    <row r="9979" spans="7:7">
      <c r="G9979" t="s">
        <v>10167</v>
      </c>
    </row>
    <row r="9980" spans="7:7">
      <c r="G9980" t="s">
        <v>10168</v>
      </c>
    </row>
    <row r="9981" spans="7:7">
      <c r="G9981" t="s">
        <v>10169</v>
      </c>
    </row>
    <row r="9982" spans="7:7">
      <c r="G9982" t="s">
        <v>10170</v>
      </c>
    </row>
    <row r="9983" spans="7:7">
      <c r="G9983" t="s">
        <v>10171</v>
      </c>
    </row>
    <row r="9984" spans="7:7">
      <c r="G9984" t="s">
        <v>10172</v>
      </c>
    </row>
    <row r="9985" spans="7:7">
      <c r="G9985" t="s">
        <v>10173</v>
      </c>
    </row>
    <row r="9986" spans="7:7">
      <c r="G9986" t="s">
        <v>10174</v>
      </c>
    </row>
    <row r="9987" spans="7:7">
      <c r="G9987" t="s">
        <v>10175</v>
      </c>
    </row>
    <row r="9988" spans="7:7">
      <c r="G9988" t="s">
        <v>10176</v>
      </c>
    </row>
    <row r="9989" spans="7:7">
      <c r="G9989" t="s">
        <v>10177</v>
      </c>
    </row>
    <row r="9990" spans="7:7">
      <c r="G9990" t="s">
        <v>10178</v>
      </c>
    </row>
    <row r="9991" spans="7:7">
      <c r="G9991" t="s">
        <v>10179</v>
      </c>
    </row>
    <row r="9992" spans="7:7">
      <c r="G9992" t="s">
        <v>10180</v>
      </c>
    </row>
    <row r="9993" spans="7:7">
      <c r="G9993" t="s">
        <v>10181</v>
      </c>
    </row>
    <row r="9994" spans="7:7">
      <c r="G9994" t="s">
        <v>10182</v>
      </c>
    </row>
    <row r="9995" spans="7:7">
      <c r="G9995" t="s">
        <v>10183</v>
      </c>
    </row>
    <row r="9996" spans="7:7">
      <c r="G9996" t="s">
        <v>10184</v>
      </c>
    </row>
    <row r="9997" spans="7:7">
      <c r="G9997" t="s">
        <v>10185</v>
      </c>
    </row>
    <row r="9998" spans="7:7">
      <c r="G9998" t="s">
        <v>10186</v>
      </c>
    </row>
    <row r="9999" spans="7:7">
      <c r="G9999" t="s">
        <v>10187</v>
      </c>
    </row>
    <row r="10000" spans="7:7">
      <c r="G10000" t="s">
        <v>10188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4"/>
  <sheetViews>
    <sheetView showGridLines="0" workbookViewId="0"/>
  </sheetViews>
  <sheetFormatPr defaultRowHeight="14"/>
  <cols>
    <col min="1" max="1" width="8.75" customWidth="1"/>
    <col min="2" max="2" width="18.83203125" customWidth="1"/>
    <col min="3" max="3" width="11.6640625" customWidth="1"/>
    <col min="4" max="4" width="22.1640625" customWidth="1"/>
    <col min="5" max="5" width="12.08203125" customWidth="1"/>
    <col min="6" max="6" width="10.33203125" customWidth="1"/>
    <col min="7" max="7" width="9" customWidth="1"/>
    <col min="8" max="8" width="11.1640625" customWidth="1"/>
    <col min="9" max="9" width="11.6640625" customWidth="1"/>
    <col min="10" max="10" width="16.1640625" customWidth="1"/>
    <col min="11" max="11" width="18.1640625" customWidth="1"/>
    <col min="12" max="13" width="22.1640625" customWidth="1"/>
    <col min="14" max="14" width="11.6640625" customWidth="1"/>
    <col min="15" max="15" width="8.75" customWidth="1"/>
    <col min="16" max="16" width="9" customWidth="1"/>
    <col min="17" max="18" width="10.33203125" customWidth="1"/>
    <col min="19" max="19" width="7.1640625" customWidth="1"/>
    <col min="20" max="20" width="23.58203125" customWidth="1"/>
    <col min="21" max="21" width="35.6640625" customWidth="1"/>
    <col min="22" max="22" width="11.6640625" customWidth="1"/>
    <col min="23" max="23" width="11.1640625" customWidth="1"/>
    <col min="24" max="24" width="8.203125E-2" customWidth="1"/>
  </cols>
  <sheetData>
    <row r="1" spans="1:23" ht="25.5" customHeight="1">
      <c r="A1" s="66" t="s">
        <v>10189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ht="14.5" customHeight="1">
      <c r="A2" s="65" t="s">
        <v>10190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4" spans="1:23" ht="31.5" customHeight="1">
      <c r="A4" s="47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48" t="s">
        <v>9</v>
      </c>
      <c r="H4" s="48" t="s">
        <v>10</v>
      </c>
      <c r="I4" s="48" t="s">
        <v>11</v>
      </c>
      <c r="J4" s="48" t="s">
        <v>12</v>
      </c>
      <c r="K4" s="48" t="s">
        <v>13</v>
      </c>
      <c r="L4" s="48" t="s">
        <v>14</v>
      </c>
      <c r="M4" s="48" t="s">
        <v>15</v>
      </c>
      <c r="N4" s="48" t="s">
        <v>16</v>
      </c>
      <c r="O4" s="48" t="s">
        <v>17</v>
      </c>
      <c r="P4" s="48" t="s">
        <v>18</v>
      </c>
      <c r="Q4" s="48" t="s">
        <v>19</v>
      </c>
      <c r="R4" s="48" t="s">
        <v>20</v>
      </c>
      <c r="S4" s="48" t="s">
        <v>21</v>
      </c>
      <c r="T4" s="48" t="s">
        <v>22</v>
      </c>
      <c r="U4" s="48" t="s">
        <v>23</v>
      </c>
      <c r="V4" s="48" t="s">
        <v>24</v>
      </c>
      <c r="W4" s="49" t="s">
        <v>25</v>
      </c>
    </row>
    <row r="5" spans="1:23" ht="24" customHeight="1">
      <c r="A5" s="55">
        <f>IF(COUNTIF(ERP导入清单!$X$5:$X$204,1)=0,"",INDEX(ERP导入清单!A:A,IFERROR(MATCH(1,ERP导入清单!$X$5:$X$204,0)+4,"")))</f>
        <v>1</v>
      </c>
      <c r="B5" s="37" t="str">
        <f>IF(COUNTIF(ERP导入清单!$X$5:$X$204,1)=0,"",INDEX(ERP导入清单!B:B,IFERROR(MATCH(1,ERP导入清单!$X$5:$X$204,0)+4,"")))</f>
        <v>RSD-20260510-001</v>
      </c>
      <c r="C5" s="38">
        <f>IF(COUNTIF(ERP导入清单!$X$5:$X$204,1)=0,"",INDEX(ERP导入清单!C:C,IFERROR(MATCH(1,ERP导入清单!$X$5:$X$204,0)+4,"")))</f>
        <v>46126</v>
      </c>
      <c r="D5" s="37" t="str">
        <f>IF(COUNTIF(ERP导入清单!$X$5:$X$204,1)=0,"",INDEX(ERP导入清单!D:D,IFERROR(MATCH(1,ERP导入清单!$X$5:$X$204,0)+4,"")))</f>
        <v>合肥荣事达太阳能有限公司</v>
      </c>
      <c r="E5" s="37" t="str">
        <f>IF(COUNTIF(ERP导入清单!$X$5:$X$204,1)=0,"",INDEX(ERP导入清单!E:E,IFERROR(MATCH(1,ERP导入清单!$X$5:$X$204,0)+4,"")))</f>
        <v>C型15P</v>
      </c>
      <c r="F5" s="37" t="str">
        <f>IF(COUNTIF(ERP导入清单!$X$5:$X$204,1)=0,"",INDEX(ERP导入清单!F:F,IFERROR(MATCH(1,ERP导入清单!$X$5:$X$204,0)+4,"")))</f>
        <v>零件</v>
      </c>
      <c r="G5" s="57">
        <f>IF(COUNTIF(ERP导入清单!$X$5:$X$204,1)=0,"",INDEX(ERP导入清单!G:G,IFERROR(MATCH(1,ERP导入清单!$X$5:$X$204,0)+4,"")))</f>
        <v>1</v>
      </c>
      <c r="H5" s="37" t="str">
        <f>IF(COUNTIF(ERP导入清单!$X$5:$X$204,1)=0,"",INDEX(ERP导入清单!H:H,IFERROR(MATCH(1,ERP导入清单!$X$5:$X$204,0)+4,"")))</f>
        <v>通用件</v>
      </c>
      <c r="I5" s="57" t="str">
        <f>IF(COUNTIF(ERP导入清单!$X$5:$X$204,1)=0,"",INDEX(ERP导入清单!I:I,IFERROR(MATCH(1,ERP导入清单!$X$5:$X$204,0)+4,"")))</f>
        <v/>
      </c>
      <c r="J5" s="57" t="str">
        <f>IF(COUNTIF(ERP导入清单!$X$5:$X$204,1)=0,"",INDEX(ERP导入清单!J:J,IFERROR(MATCH(1,ERP导入清单!$X$5:$X$204,0)+4,"")))</f>
        <v/>
      </c>
      <c r="K5" s="37" t="str">
        <f>IF(COUNTIF(ERP导入清单!$X$5:$X$204,1)=0,"",INDEX(ERP导入清单!K:K,IFERROR(MATCH(1,ERP导入清单!$X$5:$X$204,0)+4,"")))</f>
        <v>RS10703010033</v>
      </c>
      <c r="L5" s="37" t="str">
        <f>IF(COUNTIF(ERP导入清单!$X$5:$X$204,1)=0,"",INDEX(ERP导入清单!L:L,IFERROR(MATCH(1,ERP导入清单!$X$5:$X$204,0)+4,"")))</f>
        <v>RBKS-300DBII-10-50-01</v>
      </c>
      <c r="M5" s="37" t="str">
        <f>IF(COUNTIF(ERP导入清单!$X$5:$X$204,1)=0,"",INDEX(ERP导入清单!M:M,IFERROR(MATCH(1,ERP导入清单!$X$5:$X$204,0)+4,"")))</f>
        <v>顶盖</v>
      </c>
      <c r="N5" s="37">
        <f>IF(COUNTIF(ERP导入清单!$X$5:$X$204,1)=0,"",INDEX(ERP导入清单!N:N,IFERROR(MATCH(1,ERP导入清单!$X$5:$X$204,0)+4,"")))</f>
        <v>0</v>
      </c>
      <c r="O5" s="37" t="str">
        <f>IF(COUNTIF(ERP导入清单!$X$5:$X$204,1)=0,"",INDEX(ERP导入清单!O:O,IFERROR(MATCH(1,ERP导入清单!$X$5:$X$204,0)+4,"")))</f>
        <v>1mm</v>
      </c>
      <c r="P5" s="39">
        <f>IF(COUNTIF(ERP导入清单!$X$5:$X$204,1)=0,"",INDEX(ERP导入清单!P:P,IFERROR(MATCH(1,ERP导入清单!$X$5:$X$204,0)+4,"")))</f>
        <v>16</v>
      </c>
      <c r="Q5" s="39">
        <f>IF(COUNTIF(ERP导入清单!$X$5:$X$204,1)=0,"",INDEX(ERP导入清单!Q:Q,IFERROR(MATCH(1,ERP导入清单!$X$5:$X$204,0)+4,"")))</f>
        <v>0</v>
      </c>
      <c r="R5" s="59">
        <f>IF(COUNTIF(ERP导入清单!$X$5:$X$204,1)=0,"",INDEX(ERP导入清单!R:R,IFERROR(MATCH(1,ERP导入清单!$X$5:$X$204,0)+4,"")))</f>
        <v>16</v>
      </c>
      <c r="S5" s="37" t="str">
        <f>IF(COUNTIF(ERP导入清单!$X$5:$X$204,1)=0,"",INDEX(ERP导入清单!S:S,IFERROR(MATCH(1,ERP导入清单!$X$5:$X$204,0)+4,"")))</f>
        <v>件</v>
      </c>
      <c r="T5" s="37">
        <f>IF(COUNTIF(ERP导入清单!$X$5:$X$204,1)=0,"",INDEX(ERP导入清单!T:T,IFERROR(MATCH(1,ERP导入清单!$X$5:$X$204,0)+4,"")))</f>
        <v>0</v>
      </c>
      <c r="U5" s="37" t="str">
        <f>IF(COUNTIF(ERP导入清单!$X$5:$X$204,1)=0,"",INDEX(ERP导入清单!U:U,IFERROR(MATCH(1,ERP导入清单!$X$5:$X$204,0)+4,"")))</f>
        <v>百胜样机款</v>
      </c>
      <c r="V5" s="38">
        <f>IF(COUNTIF(ERP导入清单!$X$5:$X$204,1)=0,"",INDEX(ERP导入清单!V:V,IFERROR(MATCH(1,ERP导入清单!$X$5:$X$204,0)+4,"")))</f>
        <v>0</v>
      </c>
      <c r="W5" s="50" t="str">
        <f>IF(COUNTIF(ERP导入清单!$X$5:$X$204,1)=0,"",INDEX(ERP导入清单!W:W,IFERROR(MATCH(1,ERP导入清单!$X$5:$X$204,0)+4,"")))</f>
        <v>旧图</v>
      </c>
    </row>
    <row r="6" spans="1:23" ht="24" customHeight="1">
      <c r="A6" s="55">
        <f>IF(COUNTIF(ERP导入清单!$X$5:$X$204,2)=0,"",INDEX(ERP导入清单!A:A,IFERROR(MATCH(2,ERP导入清单!$X$5:$X$204,0)+4,"")))</f>
        <v>1</v>
      </c>
      <c r="B6" s="37" t="str">
        <f>IF(COUNTIF(ERP导入清单!$X$5:$X$204,2)=0,"",INDEX(ERP导入清单!B:B,IFERROR(MATCH(2,ERP导入清单!$X$5:$X$204,0)+4,"")))</f>
        <v>RSD-20260510-001</v>
      </c>
      <c r="C6" s="38">
        <f>IF(COUNTIF(ERP导入清单!$X$5:$X$204,2)=0,"",INDEX(ERP导入清单!C:C,IFERROR(MATCH(2,ERP导入清单!$X$5:$X$204,0)+4,"")))</f>
        <v>46126</v>
      </c>
      <c r="D6" s="37" t="str">
        <f>IF(COUNTIF(ERP导入清单!$X$5:$X$204,2)=0,"",INDEX(ERP导入清单!D:D,IFERROR(MATCH(2,ERP导入清单!$X$5:$X$204,0)+4,"")))</f>
        <v>合肥荣事达太阳能有限公司</v>
      </c>
      <c r="E6" s="37" t="str">
        <f>IF(COUNTIF(ERP导入清单!$X$5:$X$204,2)=0,"",INDEX(ERP导入清单!E:E,IFERROR(MATCH(2,ERP导入清单!$X$5:$X$204,0)+4,"")))</f>
        <v>C型15P</v>
      </c>
      <c r="F6" s="37" t="str">
        <f>IF(COUNTIF(ERP导入清单!$X$5:$X$204,2)=0,"",INDEX(ERP导入清单!F:F,IFERROR(MATCH(2,ERP导入清单!$X$5:$X$204,0)+4,"")))</f>
        <v>零件</v>
      </c>
      <c r="G6" s="57">
        <f>IF(COUNTIF(ERP导入清单!$X$5:$X$204,2)=0,"",INDEX(ERP导入清单!G:G,IFERROR(MATCH(2,ERP导入清单!$X$5:$X$204,0)+4,"")))</f>
        <v>2</v>
      </c>
      <c r="H6" s="37" t="str">
        <f>IF(COUNTIF(ERP导入清单!$X$5:$X$204,2)=0,"",INDEX(ERP导入清单!H:H,IFERROR(MATCH(2,ERP导入清单!$X$5:$X$204,0)+4,"")))</f>
        <v>通用件</v>
      </c>
      <c r="I6" s="57" t="str">
        <f>IF(COUNTIF(ERP导入清单!$X$5:$X$204,2)=0,"",INDEX(ERP导入清单!I:I,IFERROR(MATCH(2,ERP导入清单!$X$5:$X$204,0)+4,"")))</f>
        <v/>
      </c>
      <c r="J6" s="57" t="str">
        <f>IF(COUNTIF(ERP导入清单!$X$5:$X$204,2)=0,"",INDEX(ERP导入清单!J:J,IFERROR(MATCH(2,ERP导入清单!$X$5:$X$204,0)+4,"")))</f>
        <v/>
      </c>
      <c r="K6" s="37" t="str">
        <f>IF(COUNTIF(ERP导入清单!$X$5:$X$204,2)=0,"",INDEX(ERP导入清单!K:K,IFERROR(MATCH(2,ERP导入清单!$X$5:$X$204,0)+4,"")))</f>
        <v>RS10701050458</v>
      </c>
      <c r="L6" s="37" t="str">
        <f>IF(COUNTIF(ERP导入清单!$X$5:$X$204,2)=0,"",INDEX(ERP导入清单!L:L,IFERROR(MATCH(2,ERP导入清单!$X$5:$X$204,0)+4,"")))</f>
        <v>RBKS-300DBII-10-01</v>
      </c>
      <c r="M6" s="37" t="str">
        <f>IF(COUNTIF(ERP导入清单!$X$5:$X$204,2)=0,"",INDEX(ERP导入清单!M:M,IFERROR(MATCH(2,ERP导入清单!$X$5:$X$204,0)+4,"")))</f>
        <v>左侧封板</v>
      </c>
      <c r="N6" s="37">
        <f>IF(COUNTIF(ERP导入清单!$X$5:$X$204,2)=0,"",INDEX(ERP导入清单!N:N,IFERROR(MATCH(2,ERP导入清单!$X$5:$X$204,0)+4,"")))</f>
        <v>0</v>
      </c>
      <c r="O6" s="37" t="str">
        <f>IF(COUNTIF(ERP导入清单!$X$5:$X$204,2)=0,"",INDEX(ERP导入清单!O:O,IFERROR(MATCH(2,ERP导入清单!$X$5:$X$204,0)+4,"")))</f>
        <v>1mm</v>
      </c>
      <c r="P6" s="39">
        <f>IF(COUNTIF(ERP导入清单!$X$5:$X$204,2)=0,"",INDEX(ERP导入清单!P:P,IFERROR(MATCH(2,ERP导入清单!$X$5:$X$204,0)+4,"")))</f>
        <v>16</v>
      </c>
      <c r="Q6" s="39">
        <f>IF(COUNTIF(ERP导入清单!$X$5:$X$204,2)=0,"",INDEX(ERP导入清单!Q:Q,IFERROR(MATCH(2,ERP导入清单!$X$5:$X$204,0)+4,"")))</f>
        <v>0</v>
      </c>
      <c r="R6" s="59">
        <f>IF(COUNTIF(ERP导入清单!$X$5:$X$204,2)=0,"",INDEX(ERP导入清单!R:R,IFERROR(MATCH(2,ERP导入清单!$X$5:$X$204,0)+4,"")))</f>
        <v>16</v>
      </c>
      <c r="S6" s="37" t="str">
        <f>IF(COUNTIF(ERP导入清单!$X$5:$X$204,2)=0,"",INDEX(ERP导入清单!S:S,IFERROR(MATCH(2,ERP导入清单!$X$5:$X$204,0)+4,"")))</f>
        <v>件</v>
      </c>
      <c r="T6" s="37" t="str">
        <f>IF(COUNTIF(ERP导入清单!$X$5:$X$204,2)=0,"",INDEX(ERP导入清单!T:T,IFERROR(MATCH(2,ERP导入清单!$X$5:$X$204,0)+4,"")))</f>
        <v>激光切割&gt;折弯</v>
      </c>
      <c r="U6" s="37" t="str">
        <f>IF(COUNTIF(ERP导入清单!$X$5:$X$204,2)=0,"",INDEX(ERP导入清单!U:U,IFERROR(MATCH(2,ERP导入清单!$X$5:$X$204,0)+4,"")))</f>
        <v>百胜样机款</v>
      </c>
      <c r="V6" s="38">
        <f>IF(COUNTIF(ERP导入清单!$X$5:$X$204,2)=0,"",INDEX(ERP导入清单!V:V,IFERROR(MATCH(2,ERP导入清单!$X$5:$X$204,0)+4,"")))</f>
        <v>0</v>
      </c>
      <c r="W6" s="50" t="str">
        <f>IF(COUNTIF(ERP导入清单!$X$5:$X$204,2)=0,"",INDEX(ERP导入清单!W:W,IFERROR(MATCH(2,ERP导入清单!$X$5:$X$204,0)+4,"")))</f>
        <v>旧图</v>
      </c>
    </row>
    <row r="7" spans="1:23" ht="24" customHeight="1">
      <c r="A7" s="55">
        <f>IF(COUNTIF(ERP导入清单!$X$5:$X$204,3)=0,"",INDEX(ERP导入清单!A:A,IFERROR(MATCH(3,ERP导入清单!$X$5:$X$204,0)+4,"")))</f>
        <v>1</v>
      </c>
      <c r="B7" s="37" t="str">
        <f>IF(COUNTIF(ERP导入清单!$X$5:$X$204,3)=0,"",INDEX(ERP导入清单!B:B,IFERROR(MATCH(3,ERP导入清单!$X$5:$X$204,0)+4,"")))</f>
        <v>RSD-20260510-001</v>
      </c>
      <c r="C7" s="38">
        <f>IF(COUNTIF(ERP导入清单!$X$5:$X$204,3)=0,"",INDEX(ERP导入清单!C:C,IFERROR(MATCH(3,ERP导入清单!$X$5:$X$204,0)+4,"")))</f>
        <v>46126</v>
      </c>
      <c r="D7" s="37" t="str">
        <f>IF(COUNTIF(ERP导入清单!$X$5:$X$204,3)=0,"",INDEX(ERP导入清单!D:D,IFERROR(MATCH(3,ERP导入清单!$X$5:$X$204,0)+4,"")))</f>
        <v>合肥荣事达太阳能有限公司</v>
      </c>
      <c r="E7" s="37" t="str">
        <f>IF(COUNTIF(ERP导入清单!$X$5:$X$204,3)=0,"",INDEX(ERP导入清单!E:E,IFERROR(MATCH(3,ERP导入清单!$X$5:$X$204,0)+4,"")))</f>
        <v>C型15P</v>
      </c>
      <c r="F7" s="37" t="str">
        <f>IF(COUNTIF(ERP导入清单!$X$5:$X$204,3)=0,"",INDEX(ERP导入清单!F:F,IFERROR(MATCH(3,ERP导入清单!$X$5:$X$204,0)+4,"")))</f>
        <v>零件</v>
      </c>
      <c r="G7" s="57">
        <f>IF(COUNTIF(ERP导入清单!$X$5:$X$204,3)=0,"",INDEX(ERP导入清单!G:G,IFERROR(MATCH(3,ERP导入清单!$X$5:$X$204,0)+4,"")))</f>
        <v>3</v>
      </c>
      <c r="H7" s="37" t="str">
        <f>IF(COUNTIF(ERP导入清单!$X$5:$X$204,3)=0,"",INDEX(ERP导入清单!H:H,IFERROR(MATCH(3,ERP导入清单!$X$5:$X$204,0)+4,"")))</f>
        <v>通用件</v>
      </c>
      <c r="I7" s="57" t="str">
        <f>IF(COUNTIF(ERP导入清单!$X$5:$X$204,3)=0,"",INDEX(ERP导入清单!I:I,IFERROR(MATCH(3,ERP导入清单!$X$5:$X$204,0)+4,"")))</f>
        <v/>
      </c>
      <c r="J7" s="57" t="str">
        <f>IF(COUNTIF(ERP导入清单!$X$5:$X$204,3)=0,"",INDEX(ERP导入清单!J:J,IFERROR(MATCH(3,ERP导入清单!$X$5:$X$204,0)+4,"")))</f>
        <v/>
      </c>
      <c r="K7" s="37" t="str">
        <f>IF(COUNTIF(ERP导入清单!$X$5:$X$204,3)=0,"",INDEX(ERP导入清单!K:K,IFERROR(MATCH(3,ERP导入清单!$X$5:$X$204,0)+4,"")))</f>
        <v>RS10701050459</v>
      </c>
      <c r="L7" s="37" t="str">
        <f>IF(COUNTIF(ERP导入清单!$X$5:$X$204,3)=0,"",INDEX(ERP导入清单!L:L,IFERROR(MATCH(3,ERP导入清单!$X$5:$X$204,0)+4,"")))</f>
        <v>RBKS-300DBII-10-03</v>
      </c>
      <c r="M7" s="37" t="str">
        <f>IF(COUNTIF(ERP导入清单!$X$5:$X$204,3)=0,"",INDEX(ERP导入清单!M:M,IFERROR(MATCH(3,ERP导入清单!$X$5:$X$204,0)+4,"")))</f>
        <v>前风机板（钢丝网）</v>
      </c>
      <c r="N7" s="37">
        <f>IF(COUNTIF(ERP导入清单!$X$5:$X$204,3)=0,"",INDEX(ERP导入清单!N:N,IFERROR(MATCH(3,ERP导入清单!$X$5:$X$204,0)+4,"")))</f>
        <v>0</v>
      </c>
      <c r="O7" s="37" t="str">
        <f>IF(COUNTIF(ERP导入清单!$X$5:$X$204,3)=0,"",INDEX(ERP导入清单!O:O,IFERROR(MATCH(3,ERP导入清单!$X$5:$X$204,0)+4,"")))</f>
        <v>1mm</v>
      </c>
      <c r="P7" s="39">
        <f>IF(COUNTIF(ERP导入清单!$X$5:$X$204,3)=0,"",INDEX(ERP导入清单!P:P,IFERROR(MATCH(3,ERP导入清单!$X$5:$X$204,0)+4,"")))</f>
        <v>16</v>
      </c>
      <c r="Q7" s="39">
        <f>IF(COUNTIF(ERP导入清单!$X$5:$X$204,3)=0,"",INDEX(ERP导入清单!Q:Q,IFERROR(MATCH(3,ERP导入清单!$X$5:$X$204,0)+4,"")))</f>
        <v>0</v>
      </c>
      <c r="R7" s="59">
        <f>IF(COUNTIF(ERP导入清单!$X$5:$X$204,3)=0,"",INDEX(ERP导入清单!R:R,IFERROR(MATCH(3,ERP导入清单!$X$5:$X$204,0)+4,"")))</f>
        <v>16</v>
      </c>
      <c r="S7" s="37" t="str">
        <f>IF(COUNTIF(ERP导入清单!$X$5:$X$204,3)=0,"",INDEX(ERP导入清单!S:S,IFERROR(MATCH(3,ERP导入清单!$X$5:$X$204,0)+4,"")))</f>
        <v>件</v>
      </c>
      <c r="T7" s="37" t="str">
        <f>IF(COUNTIF(ERP导入清单!$X$5:$X$204,3)=0,"",INDEX(ERP导入清单!T:T,IFERROR(MATCH(3,ERP导入清单!$X$5:$X$204,0)+4,"")))</f>
        <v>激光切割&gt;折弯</v>
      </c>
      <c r="U7" s="37" t="str">
        <f>IF(COUNTIF(ERP导入清单!$X$5:$X$204,3)=0,"",INDEX(ERP导入清单!U:U,IFERROR(MATCH(3,ERP导入清单!$X$5:$X$204,0)+4,"")))</f>
        <v>增冷凝器孔</v>
      </c>
      <c r="V7" s="38">
        <f>IF(COUNTIF(ERP导入清单!$X$5:$X$204,3)=0,"",INDEX(ERP导入清单!V:V,IFERROR(MATCH(3,ERP导入清单!$X$5:$X$204,0)+4,"")))</f>
        <v>44657</v>
      </c>
      <c r="W7" s="50" t="str">
        <f>IF(COUNTIF(ERP导入清单!$X$5:$X$204,3)=0,"",INDEX(ERP导入清单!W:W,IFERROR(MATCH(3,ERP导入清单!$X$5:$X$204,0)+4,"")))</f>
        <v>旧图</v>
      </c>
    </row>
    <row r="8" spans="1:23" ht="24" customHeight="1">
      <c r="A8" s="55">
        <f>IF(COUNTIF(ERP导入清单!$X$5:$X$204,4)=0,"",INDEX(ERP导入清单!A:A,IFERROR(MATCH(4,ERP导入清单!$X$5:$X$204,0)+4,"")))</f>
        <v>1</v>
      </c>
      <c r="B8" s="37" t="str">
        <f>IF(COUNTIF(ERP导入清单!$X$5:$X$204,4)=0,"",INDEX(ERP导入清单!B:B,IFERROR(MATCH(4,ERP导入清单!$X$5:$X$204,0)+4,"")))</f>
        <v>RSD-20260510-001</v>
      </c>
      <c r="C8" s="38">
        <f>IF(COUNTIF(ERP导入清单!$X$5:$X$204,4)=0,"",INDEX(ERP导入清单!C:C,IFERROR(MATCH(4,ERP导入清单!$X$5:$X$204,0)+4,"")))</f>
        <v>46126</v>
      </c>
      <c r="D8" s="37" t="str">
        <f>IF(COUNTIF(ERP导入清单!$X$5:$X$204,4)=0,"",INDEX(ERP导入清单!D:D,IFERROR(MATCH(4,ERP导入清单!$X$5:$X$204,0)+4,"")))</f>
        <v>合肥荣事达太阳能有限公司</v>
      </c>
      <c r="E8" s="37" t="str">
        <f>IF(COUNTIF(ERP导入清单!$X$5:$X$204,4)=0,"",INDEX(ERP导入清单!E:E,IFERROR(MATCH(4,ERP导入清单!$X$5:$X$204,0)+4,"")))</f>
        <v>C型15P</v>
      </c>
      <c r="F8" s="37" t="str">
        <f>IF(COUNTIF(ERP导入清单!$X$5:$X$204,4)=0,"",INDEX(ERP导入清单!F:F,IFERROR(MATCH(4,ERP导入清单!$X$5:$X$204,0)+4,"")))</f>
        <v>组件</v>
      </c>
      <c r="G8" s="57">
        <f>IF(COUNTIF(ERP导入清单!$X$5:$X$204,4)=0,"",INDEX(ERP导入清单!G:G,IFERROR(MATCH(4,ERP导入清单!$X$5:$X$204,0)+4,"")))</f>
        <v>4</v>
      </c>
      <c r="H8" s="37" t="str">
        <f>IF(COUNTIF(ERP导入清单!$X$5:$X$204,4)=0,"",INDEX(ERP导入清单!H:H,IFERROR(MATCH(4,ERP导入清单!$X$5:$X$204,0)+4,"")))</f>
        <v>通用件</v>
      </c>
      <c r="I8" s="57" t="str">
        <f>IF(COUNTIF(ERP导入清单!$X$5:$X$204,4)=0,"",INDEX(ERP导入清单!I:I,IFERROR(MATCH(4,ERP导入清单!$X$5:$X$204,0)+4,"")))</f>
        <v>C001</v>
      </c>
      <c r="J8" s="57" t="str">
        <f>IF(COUNTIF(ERP导入清单!$X$5:$X$204,4)=0,"",INDEX(ERP导入清单!J:J,IFERROR(MATCH(4,ERP导入清单!$X$5:$X$204,0)+4,"")))</f>
        <v/>
      </c>
      <c r="K8" s="37" t="str">
        <f>IF(COUNTIF(ERP导入清单!$X$5:$X$204,4)=0,"",INDEX(ERP导入清单!K:K,IFERROR(MATCH(4,ERP导入清单!$X$5:$X$204,0)+4,"")))</f>
        <v>RS10701020216</v>
      </c>
      <c r="L8" s="37" t="str">
        <f>IF(COUNTIF(ERP导入清单!$X$5:$X$204,4)=0,"",INDEX(ERP导入清单!L:L,IFERROR(MATCH(4,ERP导入清单!$X$5:$X$204,0)+4,"")))</f>
        <v>RBKS-300DBII-10-30</v>
      </c>
      <c r="M8" s="37" t="str">
        <f>IF(COUNTIF(ERP导入清单!$X$5:$X$204,4)=0,"",INDEX(ERP导入清单!M:M,IFERROR(MATCH(4,ERP导入清单!$X$5:$X$204,0)+4,"")))</f>
        <v>风机支架组件</v>
      </c>
      <c r="N8" s="37">
        <f>IF(COUNTIF(ERP导入清单!$X$5:$X$204,4)=0,"",INDEX(ERP导入清单!N:N,IFERROR(MATCH(4,ERP导入清单!$X$5:$X$204,0)+4,"")))</f>
        <v>0</v>
      </c>
      <c r="O8" s="37" t="str">
        <f>IF(COUNTIF(ERP导入清单!$X$5:$X$204,4)=0,"",INDEX(ERP导入清单!O:O,IFERROR(MATCH(4,ERP导入清单!$X$5:$X$204,0)+4,"")))</f>
        <v>2mm</v>
      </c>
      <c r="P8" s="39">
        <f>IF(COUNTIF(ERP导入清单!$X$5:$X$204,4)=0,"",INDEX(ERP导入清单!P:P,IFERROR(MATCH(4,ERP导入清单!$X$5:$X$204,0)+4,"")))</f>
        <v>16</v>
      </c>
      <c r="Q8" s="39">
        <f>IF(COUNTIF(ERP导入清单!$X$5:$X$204,4)=0,"",INDEX(ERP导入清单!Q:Q,IFERROR(MATCH(4,ERP导入清单!$X$5:$X$204,0)+4,"")))</f>
        <v>1</v>
      </c>
      <c r="R8" s="59">
        <f>IF(COUNTIF(ERP导入清单!$X$5:$X$204,4)=0,"",INDEX(ERP导入清单!R:R,IFERROR(MATCH(4,ERP导入清单!$X$5:$X$204,0)+4,"")))</f>
        <v>16</v>
      </c>
      <c r="S8" s="37" t="str">
        <f>IF(COUNTIF(ERP导入清单!$X$5:$X$204,4)=0,"",INDEX(ERP导入清单!S:S,IFERROR(MATCH(4,ERP导入清单!$X$5:$X$204,0)+4,"")))</f>
        <v>套</v>
      </c>
      <c r="T8" s="37" t="str">
        <f>IF(COUNTIF(ERP导入清单!$X$5:$X$204,4)=0,"",INDEX(ERP导入清单!T:T,IFERROR(MATCH(4,ERP导入清单!$X$5:$X$204,0)+4,"")))</f>
        <v>装配</v>
      </c>
      <c r="U8" s="37" t="str">
        <f>IF(COUNTIF(ERP导入清单!$X$5:$X$204,4)=0,"",INDEX(ERP导入清单!U:U,IFERROR(MATCH(4,ERP导入清单!$X$5:$X$204,0)+4,"")))</f>
        <v>螺丝组装，百胜样机款</v>
      </c>
      <c r="V8" s="38">
        <f>IF(COUNTIF(ERP导入清单!$X$5:$X$204,4)=0,"",INDEX(ERP导入清单!V:V,IFERROR(MATCH(4,ERP导入清单!$X$5:$X$204,0)+4,"")))</f>
        <v>0</v>
      </c>
      <c r="W8" s="50" t="str">
        <f>IF(COUNTIF(ERP导入清单!$X$5:$X$204,4)=0,"",INDEX(ERP导入清单!W:W,IFERROR(MATCH(4,ERP导入清单!$X$5:$X$204,0)+4,"")))</f>
        <v>旧图</v>
      </c>
    </row>
    <row r="9" spans="1:23" ht="24" customHeight="1">
      <c r="A9" s="55">
        <f>IF(COUNTIF(ERP导入清单!$X$5:$X$204,5)=0,"",INDEX(ERP导入清单!A:A,IFERROR(MATCH(5,ERP导入清单!$X$5:$X$204,0)+4,"")))</f>
        <v>1</v>
      </c>
      <c r="B9" s="37" t="str">
        <f>IF(COUNTIF(ERP导入清单!$X$5:$X$204,5)=0,"",INDEX(ERP导入清单!B:B,IFERROR(MATCH(5,ERP导入清单!$X$5:$X$204,0)+4,"")))</f>
        <v>RSD-20260510-001</v>
      </c>
      <c r="C9" s="38">
        <f>IF(COUNTIF(ERP导入清单!$X$5:$X$204,5)=0,"",INDEX(ERP导入清单!C:C,IFERROR(MATCH(5,ERP导入清单!$X$5:$X$204,0)+4,"")))</f>
        <v>46126</v>
      </c>
      <c r="D9" s="37" t="str">
        <f>IF(COUNTIF(ERP导入清单!$X$5:$X$204,5)=0,"",INDEX(ERP导入清单!D:D,IFERROR(MATCH(5,ERP导入清单!$X$5:$X$204,0)+4,"")))</f>
        <v>合肥荣事达太阳能有限公司</v>
      </c>
      <c r="E9" s="37" t="str">
        <f>IF(COUNTIF(ERP导入清单!$X$5:$X$204,5)=0,"",INDEX(ERP导入清单!E:E,IFERROR(MATCH(5,ERP导入清单!$X$5:$X$204,0)+4,"")))</f>
        <v>C型15P</v>
      </c>
      <c r="F9" s="37" t="str">
        <f>IF(COUNTIF(ERP导入清单!$X$5:$X$204,5)=0,"",INDEX(ERP导入清单!F:F,IFERROR(MATCH(5,ERP导入清单!$X$5:$X$204,0)+4,"")))</f>
        <v>零件</v>
      </c>
      <c r="G9" s="57" t="str">
        <f>IF(COUNTIF(ERP导入清单!$X$5:$X$204,5)=0,"",INDEX(ERP导入清单!G:G,IFERROR(MATCH(5,ERP导入清单!$X$5:$X$204,0)+4,"")))</f>
        <v>4.1</v>
      </c>
      <c r="H9" s="37" t="str">
        <f>IF(COUNTIF(ERP导入清单!$X$5:$X$204,5)=0,"",INDEX(ERP导入清单!H:H,IFERROR(MATCH(5,ERP导入清单!$X$5:$X$204,0)+4,"")))</f>
        <v>通用件</v>
      </c>
      <c r="I9" s="57" t="str">
        <f>IF(COUNTIF(ERP导入清单!$X$5:$X$204,5)=0,"",INDEX(ERP导入清单!I:I,IFERROR(MATCH(5,ERP导入清单!$X$5:$X$204,0)+4,"")))</f>
        <v/>
      </c>
      <c r="J9" s="57" t="str">
        <f>IF(COUNTIF(ERP导入清单!$X$5:$X$204,5)=0,"",INDEX(ERP导入清单!J:J,IFERROR(MATCH(5,ERP导入清单!$X$5:$X$204,0)+4,"")))</f>
        <v>C001</v>
      </c>
      <c r="K9" s="37">
        <f>IF(COUNTIF(ERP导入清单!$X$5:$X$204,5)=0,"",INDEX(ERP导入清单!K:K,IFERROR(MATCH(5,ERP导入清单!$X$5:$X$204,0)+4,"")))</f>
        <v>0</v>
      </c>
      <c r="L9" s="37" t="str">
        <f>IF(COUNTIF(ERP导入清单!$X$5:$X$204,5)=0,"",INDEX(ERP导入清单!L:L,IFERROR(MATCH(5,ERP导入清单!$X$5:$X$204,0)+4,"")))</f>
        <v>RLKS-300DBII-10-30-B</v>
      </c>
      <c r="M9" s="37" t="str">
        <f>IF(COUNTIF(ERP导入清单!$X$5:$X$204,5)=0,"",INDEX(ERP导入清单!M:M,IFERROR(MATCH(5,ERP导入清单!$X$5:$X$204,0)+4,"")))</f>
        <v>风机支架折弯件</v>
      </c>
      <c r="N9" s="37">
        <f>IF(COUNTIF(ERP导入清单!$X$5:$X$204,5)=0,"",INDEX(ERP导入清单!N:N,IFERROR(MATCH(5,ERP导入清单!$X$5:$X$204,0)+4,"")))</f>
        <v>0</v>
      </c>
      <c r="O9" s="37" t="str">
        <f>IF(COUNTIF(ERP导入清单!$X$5:$X$204,5)=0,"",INDEX(ERP导入清单!O:O,IFERROR(MATCH(5,ERP导入清单!$X$5:$X$204,0)+4,"")))</f>
        <v>2mm</v>
      </c>
      <c r="P9" s="39">
        <f>IF(COUNTIF(ERP导入清单!$X$5:$X$204,5)=0,"",INDEX(ERP导入清单!P:P,IFERROR(MATCH(5,ERP导入清单!$X$5:$X$204,0)+4,"")))</f>
        <v>0</v>
      </c>
      <c r="Q9" s="39">
        <f>IF(COUNTIF(ERP导入清单!$X$5:$X$204,5)=0,"",INDEX(ERP导入清单!Q:Q,IFERROR(MATCH(5,ERP导入清单!$X$5:$X$204,0)+4,"")))</f>
        <v>1</v>
      </c>
      <c r="R9" s="59">
        <f>IF(COUNTIF(ERP导入清单!$X$5:$X$204,5)=0,"",INDEX(ERP导入清单!R:R,IFERROR(MATCH(5,ERP导入清单!$X$5:$X$204,0)+4,"")))</f>
        <v>16</v>
      </c>
      <c r="S9" s="37" t="str">
        <f>IF(COUNTIF(ERP导入清单!$X$5:$X$204,5)=0,"",INDEX(ERP导入清单!S:S,IFERROR(MATCH(5,ERP导入清单!$X$5:$X$204,0)+4,"")))</f>
        <v>件</v>
      </c>
      <c r="T9" s="37" t="str">
        <f>IF(COUNTIF(ERP导入清单!$X$5:$X$204,5)=0,"",INDEX(ERP导入清单!T:T,IFERROR(MATCH(5,ERP导入清单!$X$5:$X$204,0)+4,"")))</f>
        <v>激光切割&gt;折弯</v>
      </c>
      <c r="U9" s="37" t="str">
        <f>IF(COUNTIF(ERP导入清单!$X$5:$X$204,5)=0,"",INDEX(ERP导入清单!U:U,IFERROR(MATCH(5,ERP导入清单!$X$5:$X$204,0)+4,"")))</f>
        <v>组件 C001 的子件</v>
      </c>
      <c r="V9" s="38">
        <f>IF(COUNTIF(ERP导入清单!$X$5:$X$204,5)=0,"",INDEX(ERP导入清单!V:V,IFERROR(MATCH(5,ERP导入清单!$X$5:$X$204,0)+4,"")))</f>
        <v>0</v>
      </c>
      <c r="W9" s="50" t="str">
        <f>IF(COUNTIF(ERP导入清单!$X$5:$X$204,5)=0,"",INDEX(ERP导入清单!W:W,IFERROR(MATCH(5,ERP导入清单!$X$5:$X$204,0)+4,"")))</f>
        <v>旧图</v>
      </c>
    </row>
    <row r="10" spans="1:23" ht="24" customHeight="1">
      <c r="A10" s="55">
        <f>IF(COUNTIF(ERP导入清单!$X$5:$X$204,6)=0,"",INDEX(ERP导入清单!A:A,IFERROR(MATCH(6,ERP导入清单!$X$5:$X$204,0)+4,"")))</f>
        <v>1</v>
      </c>
      <c r="B10" s="37" t="str">
        <f>IF(COUNTIF(ERP导入清单!$X$5:$X$204,6)=0,"",INDEX(ERP导入清单!B:B,IFERROR(MATCH(6,ERP导入清单!$X$5:$X$204,0)+4,"")))</f>
        <v>RSD-20260510-001</v>
      </c>
      <c r="C10" s="38">
        <f>IF(COUNTIF(ERP导入清单!$X$5:$X$204,6)=0,"",INDEX(ERP导入清单!C:C,IFERROR(MATCH(6,ERP导入清单!$X$5:$X$204,0)+4,"")))</f>
        <v>46126</v>
      </c>
      <c r="D10" s="37" t="str">
        <f>IF(COUNTIF(ERP导入清单!$X$5:$X$204,6)=0,"",INDEX(ERP导入清单!D:D,IFERROR(MATCH(6,ERP导入清单!$X$5:$X$204,0)+4,"")))</f>
        <v>合肥荣事达太阳能有限公司</v>
      </c>
      <c r="E10" s="37" t="str">
        <f>IF(COUNTIF(ERP导入清单!$X$5:$X$204,6)=0,"",INDEX(ERP导入清单!E:E,IFERROR(MATCH(6,ERP导入清单!$X$5:$X$204,0)+4,"")))</f>
        <v>C型15P</v>
      </c>
      <c r="F10" s="37" t="str">
        <f>IF(COUNTIF(ERP导入清单!$X$5:$X$204,6)=0,"",INDEX(ERP导入清单!F:F,IFERROR(MATCH(6,ERP导入清单!$X$5:$X$204,0)+4,"")))</f>
        <v>零件</v>
      </c>
      <c r="G10" s="57" t="str">
        <f>IF(COUNTIF(ERP导入清单!$X$5:$X$204,6)=0,"",INDEX(ERP导入清单!G:G,IFERROR(MATCH(6,ERP导入清单!$X$5:$X$204,0)+4,"")))</f>
        <v>4.2</v>
      </c>
      <c r="H10" s="37" t="str">
        <f>IF(COUNTIF(ERP导入清单!$X$5:$X$204,6)=0,"",INDEX(ERP导入清单!H:H,IFERROR(MATCH(6,ERP导入清单!$X$5:$X$204,0)+4,"")))</f>
        <v>通用件</v>
      </c>
      <c r="I10" s="57" t="str">
        <f>IF(COUNTIF(ERP导入清单!$X$5:$X$204,6)=0,"",INDEX(ERP导入清单!I:I,IFERROR(MATCH(6,ERP导入清单!$X$5:$X$204,0)+4,"")))</f>
        <v/>
      </c>
      <c r="J10" s="57" t="str">
        <f>IF(COUNTIF(ERP导入清单!$X$5:$X$204,6)=0,"",INDEX(ERP导入清单!J:J,IFERROR(MATCH(6,ERP导入清单!$X$5:$X$204,0)+4,"")))</f>
        <v>C001</v>
      </c>
      <c r="K10" s="37">
        <f>IF(COUNTIF(ERP导入清单!$X$5:$X$204,6)=0,"",INDEX(ERP导入清单!K:K,IFERROR(MATCH(6,ERP导入清单!$X$5:$X$204,0)+4,"")))</f>
        <v>0</v>
      </c>
      <c r="L10" s="37" t="str">
        <f>IF(COUNTIF(ERP导入清单!$X$5:$X$204,6)=0,"",INDEX(ERP导入清单!L:L,IFERROR(MATCH(6,ERP导入清单!$X$5:$X$204,0)+4,"")))</f>
        <v>RBKS-300DBII-10-30-05</v>
      </c>
      <c r="M10" s="37" t="str">
        <f>IF(COUNTIF(ERP导入清单!$X$5:$X$204,6)=0,"",INDEX(ERP导入清单!M:M,IFERROR(MATCH(6,ERP导入清单!$X$5:$X$204,0)+4,"")))</f>
        <v>机架加强板</v>
      </c>
      <c r="N10" s="37">
        <f>IF(COUNTIF(ERP导入清单!$X$5:$X$204,6)=0,"",INDEX(ERP导入清单!N:N,IFERROR(MATCH(6,ERP导入清单!$X$5:$X$204,0)+4,"")))</f>
        <v>0</v>
      </c>
      <c r="O10" s="37" t="str">
        <f>IF(COUNTIF(ERP导入清单!$X$5:$X$204,6)=0,"",INDEX(ERP导入清单!O:O,IFERROR(MATCH(6,ERP导入清单!$X$5:$X$204,0)+4,"")))</f>
        <v>1mm</v>
      </c>
      <c r="P10" s="39">
        <f>IF(COUNTIF(ERP导入清单!$X$5:$X$204,6)=0,"",INDEX(ERP导入清单!P:P,IFERROR(MATCH(6,ERP导入清单!$X$5:$X$204,0)+4,"")))</f>
        <v>0</v>
      </c>
      <c r="Q10" s="39">
        <f>IF(COUNTIF(ERP导入清单!$X$5:$X$204,6)=0,"",INDEX(ERP导入清单!Q:Q,IFERROR(MATCH(6,ERP导入清单!$X$5:$X$204,0)+4,"")))</f>
        <v>1</v>
      </c>
      <c r="R10" s="59">
        <f>IF(COUNTIF(ERP导入清单!$X$5:$X$204,6)=0,"",INDEX(ERP导入清单!R:R,IFERROR(MATCH(6,ERP导入清单!$X$5:$X$204,0)+4,"")))</f>
        <v>16</v>
      </c>
      <c r="S10" s="37" t="str">
        <f>IF(COUNTIF(ERP导入清单!$X$5:$X$204,6)=0,"",INDEX(ERP导入清单!S:S,IFERROR(MATCH(6,ERP导入清单!$X$5:$X$204,0)+4,"")))</f>
        <v>件</v>
      </c>
      <c r="T10" s="37" t="str">
        <f>IF(COUNTIF(ERP导入清单!$X$5:$X$204,6)=0,"",INDEX(ERP导入清单!T:T,IFERROR(MATCH(6,ERP导入清单!$X$5:$X$204,0)+4,"")))</f>
        <v>激光切割</v>
      </c>
      <c r="U10" s="37" t="str">
        <f>IF(COUNTIF(ERP导入清单!$X$5:$X$204,6)=0,"",INDEX(ERP导入清单!U:U,IFERROR(MATCH(6,ERP导入清单!$X$5:$X$204,0)+4,"")))</f>
        <v>模具成型，百胜样机款</v>
      </c>
      <c r="V10" s="38">
        <f>IF(COUNTIF(ERP导入清单!$X$5:$X$204,6)=0,"",INDEX(ERP导入清单!V:V,IFERROR(MATCH(6,ERP导入清单!$X$5:$X$204,0)+4,"")))</f>
        <v>0</v>
      </c>
      <c r="W10" s="50" t="str">
        <f>IF(COUNTIF(ERP导入清单!$X$5:$X$204,6)=0,"",INDEX(ERP导入清单!W:W,IFERROR(MATCH(6,ERP导入清单!$X$5:$X$204,0)+4,"")))</f>
        <v>旧图</v>
      </c>
    </row>
    <row r="11" spans="1:23" ht="24" customHeight="1">
      <c r="A11" s="55">
        <f>IF(COUNTIF(ERP导入清单!$X$5:$X$204,7)=0,"",INDEX(ERP导入清单!A:A,IFERROR(MATCH(7,ERP导入清单!$X$5:$X$204,0)+4,"")))</f>
        <v>1</v>
      </c>
      <c r="B11" s="37" t="str">
        <f>IF(COUNTIF(ERP导入清单!$X$5:$X$204,7)=0,"",INDEX(ERP导入清单!B:B,IFERROR(MATCH(7,ERP导入清单!$X$5:$X$204,0)+4,"")))</f>
        <v>RSD-20260510-001</v>
      </c>
      <c r="C11" s="38">
        <f>IF(COUNTIF(ERP导入清单!$X$5:$X$204,7)=0,"",INDEX(ERP导入清单!C:C,IFERROR(MATCH(7,ERP导入清单!$X$5:$X$204,0)+4,"")))</f>
        <v>46126</v>
      </c>
      <c r="D11" s="37" t="str">
        <f>IF(COUNTIF(ERP导入清单!$X$5:$X$204,7)=0,"",INDEX(ERP导入清单!D:D,IFERROR(MATCH(7,ERP导入清单!$X$5:$X$204,0)+4,"")))</f>
        <v>合肥荣事达太阳能有限公司</v>
      </c>
      <c r="E11" s="37" t="str">
        <f>IF(COUNTIF(ERP导入清单!$X$5:$X$204,7)=0,"",INDEX(ERP导入清单!E:E,IFERROR(MATCH(7,ERP导入清单!$X$5:$X$204,0)+4,"")))</f>
        <v>C型15P</v>
      </c>
      <c r="F11" s="37" t="str">
        <f>IF(COUNTIF(ERP导入清单!$X$5:$X$204,7)=0,"",INDEX(ERP导入清单!F:F,IFERROR(MATCH(7,ERP导入清单!$X$5:$X$204,0)+4,"")))</f>
        <v>组件</v>
      </c>
      <c r="G11" s="57">
        <f>IF(COUNTIF(ERP导入清单!$X$5:$X$204,7)=0,"",INDEX(ERP导入清单!G:G,IFERROR(MATCH(7,ERP导入清单!$X$5:$X$204,0)+4,"")))</f>
        <v>5</v>
      </c>
      <c r="H11" s="37" t="str">
        <f>IF(COUNTIF(ERP导入清单!$X$5:$X$204,7)=0,"",INDEX(ERP导入清单!H:H,IFERROR(MATCH(7,ERP导入清单!$X$5:$X$204,0)+4,"")))</f>
        <v>定制件</v>
      </c>
      <c r="I11" s="57" t="str">
        <f>IF(COUNTIF(ERP导入清单!$X$5:$X$204,7)=0,"",INDEX(ERP导入清单!I:I,IFERROR(MATCH(7,ERP导入清单!$X$5:$X$204,0)+4,"")))</f>
        <v>C002</v>
      </c>
      <c r="J11" s="57" t="str">
        <f>IF(COUNTIF(ERP导入清单!$X$5:$X$204,7)=0,"",INDEX(ERP导入清单!J:J,IFERROR(MATCH(7,ERP导入清单!$X$5:$X$204,0)+4,"")))</f>
        <v/>
      </c>
      <c r="K11" s="37" t="str">
        <f>IF(COUNTIF(ERP导入清单!$X$5:$X$204,7)=0,"",INDEX(ERP导入清单!K:K,IFERROR(MATCH(7,ERP导入清单!$X$5:$X$204,0)+4,"")))</f>
        <v>RS10701010142</v>
      </c>
      <c r="L11" s="37" t="str">
        <f>IF(COUNTIF(ERP导入清单!$X$5:$X$204,7)=0,"",INDEX(ERP导入清单!L:L,IFERROR(MATCH(7,ERP导入清单!$X$5:$X$204,0)+4,"")))</f>
        <v>RBKS-300DBII-10-00</v>
      </c>
      <c r="M11" s="37" t="str">
        <f>IF(COUNTIF(ERP导入清单!$X$5:$X$204,7)=0,"",INDEX(ERP导入清单!M:M,IFERROR(MATCH(7,ERP导入清单!$X$5:$X$204,0)+4,"")))</f>
        <v>底盘组件（激光割）</v>
      </c>
      <c r="N11" s="37">
        <f>IF(COUNTIF(ERP导入清单!$X$5:$X$204,7)=0,"",INDEX(ERP导入清单!N:N,IFERROR(MATCH(7,ERP导入清单!$X$5:$X$204,0)+4,"")))</f>
        <v>0</v>
      </c>
      <c r="O11" s="37" t="str">
        <f>IF(COUNTIF(ERP导入清单!$X$5:$X$204,7)=0,"",INDEX(ERP导入清单!O:O,IFERROR(MATCH(7,ERP导入清单!$X$5:$X$204,0)+4,"")))</f>
        <v>2mm</v>
      </c>
      <c r="P11" s="39">
        <f>IF(COUNTIF(ERP导入清单!$X$5:$X$204,7)=0,"",INDEX(ERP导入清单!P:P,IFERROR(MATCH(7,ERP导入清单!$X$5:$X$204,0)+4,"")))</f>
        <v>16</v>
      </c>
      <c r="Q11" s="39">
        <f>IF(COUNTIF(ERP导入清单!$X$5:$X$204,7)=0,"",INDEX(ERP导入清单!Q:Q,IFERROR(MATCH(7,ERP导入清单!$X$5:$X$204,0)+4,"")))</f>
        <v>1</v>
      </c>
      <c r="R11" s="59">
        <f>IF(COUNTIF(ERP导入清单!$X$5:$X$204,7)=0,"",INDEX(ERP导入清单!R:R,IFERROR(MATCH(7,ERP导入清单!$X$5:$X$204,0)+4,"")))</f>
        <v>16</v>
      </c>
      <c r="S11" s="37" t="str">
        <f>IF(COUNTIF(ERP导入清单!$X$5:$X$204,7)=0,"",INDEX(ERP导入清单!S:S,IFERROR(MATCH(7,ERP导入清单!$X$5:$X$204,0)+4,"")))</f>
        <v>套</v>
      </c>
      <c r="T11" s="37" t="str">
        <f>IF(COUNTIF(ERP导入清单!$X$5:$X$204,7)=0,"",INDEX(ERP导入清单!T:T,IFERROR(MATCH(7,ERP导入清单!$X$5:$X$204,0)+4,"")))</f>
        <v>激光切割&gt;焊接&gt;装配</v>
      </c>
      <c r="U11" s="37" t="str">
        <f>IF(COUNTIF(ERP导入清单!$X$5:$X$204,7)=0,"",INDEX(ERP导入清单!U:U,IFERROR(MATCH(7,ERP导入清单!$X$5:$X$204,0)+4,"")))</f>
        <v>点5个电热丝固定卡，割孔，焊螺丝</v>
      </c>
      <c r="V11" s="38">
        <f>IF(COUNTIF(ERP导入清单!$X$5:$X$204,7)=0,"",INDEX(ERP导入清单!V:V,IFERROR(MATCH(7,ERP导入清单!$X$5:$X$204,0)+4,"")))</f>
        <v>45247</v>
      </c>
      <c r="W11" s="50" t="str">
        <f>IF(COUNTIF(ERP导入清单!$X$5:$X$204,7)=0,"",INDEX(ERP导入清单!W:W,IFERROR(MATCH(7,ERP导入清单!$X$5:$X$204,0)+4,"")))</f>
        <v>旧图</v>
      </c>
    </row>
    <row r="12" spans="1:23" ht="24" customHeight="1">
      <c r="A12" s="55">
        <f>IF(COUNTIF(ERP导入清单!$X$5:$X$204,8)=0,"",INDEX(ERP导入清单!A:A,IFERROR(MATCH(8,ERP导入清单!$X$5:$X$204,0)+4,"")))</f>
        <v>1</v>
      </c>
      <c r="B12" s="37" t="str">
        <f>IF(COUNTIF(ERP导入清单!$X$5:$X$204,8)=0,"",INDEX(ERP导入清单!B:B,IFERROR(MATCH(8,ERP导入清单!$X$5:$X$204,0)+4,"")))</f>
        <v>RSD-20260510-001</v>
      </c>
      <c r="C12" s="38">
        <f>IF(COUNTIF(ERP导入清单!$X$5:$X$204,8)=0,"",INDEX(ERP导入清单!C:C,IFERROR(MATCH(8,ERP导入清单!$X$5:$X$204,0)+4,"")))</f>
        <v>46126</v>
      </c>
      <c r="D12" s="37" t="str">
        <f>IF(COUNTIF(ERP导入清单!$X$5:$X$204,8)=0,"",INDEX(ERP导入清单!D:D,IFERROR(MATCH(8,ERP导入清单!$X$5:$X$204,0)+4,"")))</f>
        <v>合肥荣事达太阳能有限公司</v>
      </c>
      <c r="E12" s="37" t="str">
        <f>IF(COUNTIF(ERP导入清单!$X$5:$X$204,8)=0,"",INDEX(ERP导入清单!E:E,IFERROR(MATCH(8,ERP导入清单!$X$5:$X$204,0)+4,"")))</f>
        <v>C型15P</v>
      </c>
      <c r="F12" s="37" t="str">
        <f>IF(COUNTIF(ERP导入清单!$X$5:$X$204,8)=0,"",INDEX(ERP导入清单!F:F,IFERROR(MATCH(8,ERP导入清单!$X$5:$X$204,0)+4,"")))</f>
        <v>零件</v>
      </c>
      <c r="G12" s="57" t="str">
        <f>IF(COUNTIF(ERP导入清单!$X$5:$X$204,8)=0,"",INDEX(ERP导入清单!G:G,IFERROR(MATCH(8,ERP导入清单!$X$5:$X$204,0)+4,"")))</f>
        <v>5.1</v>
      </c>
      <c r="H12" s="37" t="str">
        <f>IF(COUNTIF(ERP导入清单!$X$5:$X$204,8)=0,"",INDEX(ERP导入清单!H:H,IFERROR(MATCH(8,ERP导入清单!$X$5:$X$204,0)+4,"")))</f>
        <v>定制件</v>
      </c>
      <c r="I12" s="57" t="str">
        <f>IF(COUNTIF(ERP导入清单!$X$5:$X$204,8)=0,"",INDEX(ERP导入清单!I:I,IFERROR(MATCH(8,ERP导入清单!$X$5:$X$204,0)+4,"")))</f>
        <v/>
      </c>
      <c r="J12" s="57" t="str">
        <f>IF(COUNTIF(ERP导入清单!$X$5:$X$204,8)=0,"",INDEX(ERP导入清单!J:J,IFERROR(MATCH(8,ERP导入清单!$X$5:$X$204,0)+4,"")))</f>
        <v>C002</v>
      </c>
      <c r="K12" s="37">
        <f>IF(COUNTIF(ERP导入清单!$X$5:$X$204,8)=0,"",INDEX(ERP导入清单!K:K,IFERROR(MATCH(8,ERP导入清单!$X$5:$X$204,0)+4,"")))</f>
        <v>0</v>
      </c>
      <c r="L12" s="37" t="str">
        <f>IF(COUNTIF(ERP导入清单!$X$5:$X$204,8)=0,"",INDEX(ERP导入清单!L:L,IFERROR(MATCH(8,ERP导入清单!$X$5:$X$204,0)+4,"")))</f>
        <v>RBKS-300DBII-10-00-A</v>
      </c>
      <c r="M12" s="37" t="str">
        <f>IF(COUNTIF(ERP导入清单!$X$5:$X$204,8)=0,"",INDEX(ERP导入清单!M:M,IFERROR(MATCH(8,ERP导入清单!$X$5:$X$204,0)+4,"")))</f>
        <v>底盘板</v>
      </c>
      <c r="N12" s="37">
        <f>IF(COUNTIF(ERP导入清单!$X$5:$X$204,8)=0,"",INDEX(ERP导入清单!N:N,IFERROR(MATCH(8,ERP导入清单!$X$5:$X$204,0)+4,"")))</f>
        <v>0</v>
      </c>
      <c r="O12" s="37" t="str">
        <f>IF(COUNTIF(ERP导入清单!$X$5:$X$204,8)=0,"",INDEX(ERP导入清单!O:O,IFERROR(MATCH(8,ERP导入清单!$X$5:$X$204,0)+4,"")))</f>
        <v>2mm</v>
      </c>
      <c r="P12" s="39">
        <f>IF(COUNTIF(ERP导入清单!$X$5:$X$204,8)=0,"",INDEX(ERP导入清单!P:P,IFERROR(MATCH(8,ERP导入清单!$X$5:$X$204,0)+4,"")))</f>
        <v>0</v>
      </c>
      <c r="Q12" s="39">
        <f>IF(COUNTIF(ERP导入清单!$X$5:$X$204,8)=0,"",INDEX(ERP导入清单!Q:Q,IFERROR(MATCH(8,ERP导入清单!$X$5:$X$204,0)+4,"")))</f>
        <v>1</v>
      </c>
      <c r="R12" s="59">
        <f>IF(COUNTIF(ERP导入清单!$X$5:$X$204,8)=0,"",INDEX(ERP导入清单!R:R,IFERROR(MATCH(8,ERP导入清单!$X$5:$X$204,0)+4,"")))</f>
        <v>16</v>
      </c>
      <c r="S12" s="37" t="str">
        <f>IF(COUNTIF(ERP导入清单!$X$5:$X$204,8)=0,"",INDEX(ERP导入清单!S:S,IFERROR(MATCH(8,ERP导入清单!$X$5:$X$204,0)+4,"")))</f>
        <v>件</v>
      </c>
      <c r="T12" s="37" t="str">
        <f>IF(COUNTIF(ERP导入清单!$X$5:$X$204,8)=0,"",INDEX(ERP导入清单!T:T,IFERROR(MATCH(8,ERP导入清单!$X$5:$X$204,0)+4,"")))</f>
        <v>激光切割</v>
      </c>
      <c r="U12" s="37" t="str">
        <f>IF(COUNTIF(ERP导入清单!$X$5:$X$204,8)=0,"",INDEX(ERP导入清单!U:U,IFERROR(MATCH(8,ERP导入清单!$X$5:$X$204,0)+4,"")))</f>
        <v>小孔，割3-Φ3.2孔</v>
      </c>
      <c r="V12" s="38">
        <f>IF(COUNTIF(ERP导入清单!$X$5:$X$204,8)=0,"",INDEX(ERP导入清单!V:V,IFERROR(MATCH(8,ERP导入清单!$X$5:$X$204,0)+4,"")))</f>
        <v>0</v>
      </c>
      <c r="W12" s="50" t="str">
        <f>IF(COUNTIF(ERP导入清单!$X$5:$X$204,8)=0,"",INDEX(ERP导入清单!W:W,IFERROR(MATCH(8,ERP导入清单!$X$5:$X$204,0)+4,"")))</f>
        <v>待确认</v>
      </c>
    </row>
    <row r="13" spans="1:23" ht="24" customHeight="1">
      <c r="A13" s="55">
        <f>IF(COUNTIF(ERP导入清单!$X$5:$X$204,9)=0,"",INDEX(ERP导入清单!A:A,IFERROR(MATCH(9,ERP导入清单!$X$5:$X$204,0)+4,"")))</f>
        <v>1</v>
      </c>
      <c r="B13" s="37" t="str">
        <f>IF(COUNTIF(ERP导入清单!$X$5:$X$204,9)=0,"",INDEX(ERP导入清单!B:B,IFERROR(MATCH(9,ERP导入清单!$X$5:$X$204,0)+4,"")))</f>
        <v>RSD-20260510-001</v>
      </c>
      <c r="C13" s="38">
        <f>IF(COUNTIF(ERP导入清单!$X$5:$X$204,9)=0,"",INDEX(ERP导入清单!C:C,IFERROR(MATCH(9,ERP导入清单!$X$5:$X$204,0)+4,"")))</f>
        <v>46126</v>
      </c>
      <c r="D13" s="37" t="str">
        <f>IF(COUNTIF(ERP导入清单!$X$5:$X$204,9)=0,"",INDEX(ERP导入清单!D:D,IFERROR(MATCH(9,ERP导入清单!$X$5:$X$204,0)+4,"")))</f>
        <v>合肥荣事达太阳能有限公司</v>
      </c>
      <c r="E13" s="37" t="str">
        <f>IF(COUNTIF(ERP导入清单!$X$5:$X$204,9)=0,"",INDEX(ERP导入清单!E:E,IFERROR(MATCH(9,ERP导入清单!$X$5:$X$204,0)+4,"")))</f>
        <v>C型15P</v>
      </c>
      <c r="F13" s="37" t="str">
        <f>IF(COUNTIF(ERP导入清单!$X$5:$X$204,9)=0,"",INDEX(ERP导入清单!F:F,IFERROR(MATCH(9,ERP导入清单!$X$5:$X$204,0)+4,"")))</f>
        <v>零件</v>
      </c>
      <c r="G13" s="57" t="str">
        <f>IF(COUNTIF(ERP导入清单!$X$5:$X$204,9)=0,"",INDEX(ERP导入清单!G:G,IFERROR(MATCH(9,ERP导入清单!$X$5:$X$204,0)+4,"")))</f>
        <v>5.2</v>
      </c>
      <c r="H13" s="37" t="str">
        <f>IF(COUNTIF(ERP导入清单!$X$5:$X$204,9)=0,"",INDEX(ERP导入清单!H:H,IFERROR(MATCH(9,ERP导入清单!$X$5:$X$204,0)+4,"")))</f>
        <v>定制件</v>
      </c>
      <c r="I13" s="57" t="str">
        <f>IF(COUNTIF(ERP导入清单!$X$5:$X$204,9)=0,"",INDEX(ERP导入清单!I:I,IFERROR(MATCH(9,ERP导入清单!$X$5:$X$204,0)+4,"")))</f>
        <v/>
      </c>
      <c r="J13" s="57" t="str">
        <f>IF(COUNTIF(ERP导入清单!$X$5:$X$204,9)=0,"",INDEX(ERP导入清单!J:J,IFERROR(MATCH(9,ERP导入清单!$X$5:$X$204,0)+4,"")))</f>
        <v>C002</v>
      </c>
      <c r="K13" s="37">
        <f>IF(COUNTIF(ERP导入清单!$X$5:$X$204,9)=0,"",INDEX(ERP导入清单!K:K,IFERROR(MATCH(9,ERP导入清单!$X$5:$X$204,0)+4,"")))</f>
        <v>0</v>
      </c>
      <c r="L13" s="37" t="str">
        <f>IF(COUNTIF(ERP导入清单!$X$5:$X$204,9)=0,"",INDEX(ERP导入清单!L:L,IFERROR(MATCH(9,ERP导入清单!$X$5:$X$204,0)+4,"")))</f>
        <v>RBKS-300DBII-10-00-B</v>
      </c>
      <c r="M13" s="37" t="str">
        <f>IF(COUNTIF(ERP导入清单!$X$5:$X$204,9)=0,"",INDEX(ERP导入清单!M:M,IFERROR(MATCH(9,ERP导入清单!$X$5:$X$204,0)+4,"")))</f>
        <v>底盘加强片</v>
      </c>
      <c r="N13" s="37">
        <f>IF(COUNTIF(ERP导入清单!$X$5:$X$204,9)=0,"",INDEX(ERP导入清单!N:N,IFERROR(MATCH(9,ERP导入清单!$X$5:$X$204,0)+4,"")))</f>
        <v>0</v>
      </c>
      <c r="O13" s="37" t="str">
        <f>IF(COUNTIF(ERP导入清单!$X$5:$X$204,9)=0,"",INDEX(ERP导入清单!O:O,IFERROR(MATCH(9,ERP导入清单!$X$5:$X$204,0)+4,"")))</f>
        <v>1.5mm</v>
      </c>
      <c r="P13" s="39">
        <f>IF(COUNTIF(ERP导入清单!$X$5:$X$204,9)=0,"",INDEX(ERP导入清单!P:P,IFERROR(MATCH(9,ERP导入清单!$X$5:$X$204,0)+4,"")))</f>
        <v>0</v>
      </c>
      <c r="Q13" s="39">
        <f>IF(COUNTIF(ERP导入清单!$X$5:$X$204,9)=0,"",INDEX(ERP导入清单!Q:Q,IFERROR(MATCH(9,ERP导入清单!$X$5:$X$204,0)+4,"")))</f>
        <v>1</v>
      </c>
      <c r="R13" s="59">
        <f>IF(COUNTIF(ERP导入清单!$X$5:$X$204,9)=0,"",INDEX(ERP导入清单!R:R,IFERROR(MATCH(9,ERP导入清单!$X$5:$X$204,0)+4,"")))</f>
        <v>16</v>
      </c>
      <c r="S13" s="37" t="str">
        <f>IF(COUNTIF(ERP导入清单!$X$5:$X$204,9)=0,"",INDEX(ERP导入清单!S:S,IFERROR(MATCH(9,ERP导入清单!$X$5:$X$204,0)+4,"")))</f>
        <v>件</v>
      </c>
      <c r="T13" s="37" t="str">
        <f>IF(COUNTIF(ERP导入清单!$X$5:$X$204,9)=0,"",INDEX(ERP导入清单!T:T,IFERROR(MATCH(9,ERP导入清单!$X$5:$X$204,0)+4,"")))</f>
        <v>激光切割&gt;折弯</v>
      </c>
      <c r="U13" s="37" t="str">
        <f>IF(COUNTIF(ERP导入清单!$X$5:$X$204,9)=0,"",INDEX(ERP导入清单!U:U,IFERROR(MATCH(9,ERP导入清单!$X$5:$X$204,0)+4,"")))</f>
        <v>焊2-M8x20螺丝</v>
      </c>
      <c r="V13" s="38">
        <f>IF(COUNTIF(ERP导入清单!$X$5:$X$204,9)=0,"",INDEX(ERP导入清单!V:V,IFERROR(MATCH(9,ERP导入清单!$X$5:$X$204,0)+4,"")))</f>
        <v>0</v>
      </c>
      <c r="W13" s="50" t="str">
        <f>IF(COUNTIF(ERP导入清单!$X$5:$X$204,9)=0,"",INDEX(ERP导入清单!W:W,IFERROR(MATCH(9,ERP导入清单!$X$5:$X$204,0)+4,"")))</f>
        <v>待确认</v>
      </c>
    </row>
    <row r="14" spans="1:23" ht="24" customHeight="1">
      <c r="A14" s="55">
        <f>IF(COUNTIF(ERP导入清单!$X$5:$X$204,10)=0,"",INDEX(ERP导入清单!A:A,IFERROR(MATCH(10,ERP导入清单!$X$5:$X$204,0)+4,"")))</f>
        <v>1</v>
      </c>
      <c r="B14" s="37" t="str">
        <f>IF(COUNTIF(ERP导入清单!$X$5:$X$204,10)=0,"",INDEX(ERP导入清单!B:B,IFERROR(MATCH(10,ERP导入清单!$X$5:$X$204,0)+4,"")))</f>
        <v>RSD-20260510-001</v>
      </c>
      <c r="C14" s="38">
        <f>IF(COUNTIF(ERP导入清单!$X$5:$X$204,10)=0,"",INDEX(ERP导入清单!C:C,IFERROR(MATCH(10,ERP导入清单!$X$5:$X$204,0)+4,"")))</f>
        <v>46126</v>
      </c>
      <c r="D14" s="37" t="str">
        <f>IF(COUNTIF(ERP导入清单!$X$5:$X$204,10)=0,"",INDEX(ERP导入清单!D:D,IFERROR(MATCH(10,ERP导入清单!$X$5:$X$204,0)+4,"")))</f>
        <v>合肥荣事达太阳能有限公司</v>
      </c>
      <c r="E14" s="37" t="str">
        <f>IF(COUNTIF(ERP导入清单!$X$5:$X$204,10)=0,"",INDEX(ERP导入清单!E:E,IFERROR(MATCH(10,ERP导入清单!$X$5:$X$204,0)+4,"")))</f>
        <v>C型15P</v>
      </c>
      <c r="F14" s="37" t="str">
        <f>IF(COUNTIF(ERP导入清单!$X$5:$X$204,10)=0,"",INDEX(ERP导入清单!F:F,IFERROR(MATCH(10,ERP导入清单!$X$5:$X$204,0)+4,"")))</f>
        <v>零件</v>
      </c>
      <c r="G14" s="57">
        <f>IF(COUNTIF(ERP导入清单!$X$5:$X$204,10)=0,"",INDEX(ERP导入清单!G:G,IFERROR(MATCH(10,ERP导入清单!$X$5:$X$204,0)+4,"")))</f>
        <v>6</v>
      </c>
      <c r="H14" s="37" t="str">
        <f>IF(COUNTIF(ERP导入清单!$X$5:$X$204,10)=0,"",INDEX(ERP导入清单!H:H,IFERROR(MATCH(10,ERP导入清单!$X$5:$X$204,0)+4,"")))</f>
        <v>外协件</v>
      </c>
      <c r="I14" s="57" t="str">
        <f>IF(COUNTIF(ERP导入清单!$X$5:$X$204,10)=0,"",INDEX(ERP导入清单!I:I,IFERROR(MATCH(10,ERP导入清单!$X$5:$X$204,0)+4,"")))</f>
        <v/>
      </c>
      <c r="J14" s="57" t="str">
        <f>IF(COUNTIF(ERP导入清单!$X$5:$X$204,10)=0,"",INDEX(ERP导入清单!J:J,IFERROR(MATCH(10,ERP导入清单!$X$5:$X$204,0)+4,"")))</f>
        <v/>
      </c>
      <c r="K14" s="37" t="str">
        <f>IF(COUNTIF(ERP导入清单!$X$5:$X$204,10)=0,"",INDEX(ERP导入清单!K:K,IFERROR(MATCH(10,ERP导入清单!$X$5:$X$204,0)+4,"")))</f>
        <v>RS10707010049</v>
      </c>
      <c r="L14" s="37" t="str">
        <f>IF(COUNTIF(ERP导入清单!$X$5:$X$204,10)=0,"",INDEX(ERP导入清单!L:L,IFERROR(MATCH(10,ERP导入清单!$X$5:$X$204,0)+4,"")))</f>
        <v>RBKS-300DBII-10-04</v>
      </c>
      <c r="M14" s="37" t="str">
        <f>IF(COUNTIF(ERP导入清单!$X$5:$X$204,10)=0,"",INDEX(ERP导入清单!M:M,IFERROR(MATCH(10,ERP导入清单!$X$5:$X$204,0)+4,"")))</f>
        <v>网罩</v>
      </c>
      <c r="N14" s="37">
        <f>IF(COUNTIF(ERP导入清单!$X$5:$X$204,10)=0,"",INDEX(ERP导入清单!N:N,IFERROR(MATCH(10,ERP导入清单!$X$5:$X$204,0)+4,"")))</f>
        <v>0</v>
      </c>
      <c r="O14" s="37">
        <f>IF(COUNTIF(ERP导入清单!$X$5:$X$204,10)=0,"",INDEX(ERP导入清单!O:O,IFERROR(MATCH(10,ERP导入清单!$X$5:$X$204,0)+4,"")))</f>
        <v>0</v>
      </c>
      <c r="P14" s="39">
        <f>IF(COUNTIF(ERP导入清单!$X$5:$X$204,10)=0,"",INDEX(ERP导入清单!P:P,IFERROR(MATCH(10,ERP导入清单!$X$5:$X$204,0)+4,"")))</f>
        <v>32</v>
      </c>
      <c r="Q14" s="39">
        <f>IF(COUNTIF(ERP导入清单!$X$5:$X$204,10)=0,"",INDEX(ERP导入清单!Q:Q,IFERROR(MATCH(10,ERP导入清单!$X$5:$X$204,0)+4,"")))</f>
        <v>0</v>
      </c>
      <c r="R14" s="59">
        <f>IF(COUNTIF(ERP导入清单!$X$5:$X$204,10)=0,"",INDEX(ERP导入清单!R:R,IFERROR(MATCH(10,ERP导入清单!$X$5:$X$204,0)+4,"")))</f>
        <v>32</v>
      </c>
      <c r="S14" s="37" t="str">
        <f>IF(COUNTIF(ERP导入清单!$X$5:$X$204,10)=0,"",INDEX(ERP导入清单!S:S,IFERROR(MATCH(10,ERP导入清单!$X$5:$X$204,0)+4,"")))</f>
        <v>件</v>
      </c>
      <c r="T14" s="37">
        <f>IF(COUNTIF(ERP导入清单!$X$5:$X$204,10)=0,"",INDEX(ERP导入清单!T:T,IFERROR(MATCH(10,ERP导入清单!$X$5:$X$204,0)+4,"")))</f>
        <v>0</v>
      </c>
      <c r="U14" s="37" t="str">
        <f>IF(COUNTIF(ERP导入清单!$X$5:$X$204,10)=0,"",INDEX(ERP导入清单!U:U,IFERROR(MATCH(10,ERP导入清单!$X$5:$X$204,0)+4,"")))</f>
        <v>钢丝网</v>
      </c>
      <c r="V14" s="38">
        <f>IF(COUNTIF(ERP导入清单!$X$5:$X$204,10)=0,"",INDEX(ERP导入清单!V:V,IFERROR(MATCH(10,ERP导入清单!$X$5:$X$204,0)+4,"")))</f>
        <v>0</v>
      </c>
      <c r="W14" s="50" t="str">
        <f>IF(COUNTIF(ERP导入清单!$X$5:$X$204,10)=0,"",INDEX(ERP导入清单!W:W,IFERROR(MATCH(10,ERP导入清单!$X$5:$X$204,0)+4,"")))</f>
        <v>旧图</v>
      </c>
    </row>
    <row r="15" spans="1:23" ht="24" customHeight="1">
      <c r="A15" s="55">
        <f>IF(COUNTIF(ERP导入清单!$X$5:$X$204,11)=0,"",INDEX(ERP导入清单!A:A,IFERROR(MATCH(11,ERP导入清单!$X$5:$X$204,0)+4,"")))</f>
        <v>2</v>
      </c>
      <c r="B15" s="37" t="str">
        <f>IF(COUNTIF(ERP导入清单!$X$5:$X$204,11)=0,"",INDEX(ERP导入清单!B:B,IFERROR(MATCH(11,ERP导入清单!$X$5:$X$204,0)+4,"")))</f>
        <v>RSD-20260601-002</v>
      </c>
      <c r="C15" s="38">
        <f>IF(COUNTIF(ERP导入清单!$X$5:$X$204,11)=0,"",INDEX(ERP导入清单!C:C,IFERROR(MATCH(11,ERP导入清单!$X$5:$X$204,0)+4,"")))</f>
        <v>46174</v>
      </c>
      <c r="D15" s="37" t="str">
        <f>IF(COUNTIF(ERP导入清单!$X$5:$X$204,11)=0,"",INDEX(ERP导入清单!D:D,IFERROR(MATCH(11,ERP导入清单!$X$5:$X$204,0)+4,"")))</f>
        <v>合肥荣事达太阳能有限公司</v>
      </c>
      <c r="E15" s="37" t="str">
        <f>IF(COUNTIF(ERP导入清单!$X$5:$X$204,11)=0,"",INDEX(ERP导入清单!E:E,IFERROR(MATCH(11,ERP导入清单!$X$5:$X$204,0)+4,"")))</f>
        <v>B型5P</v>
      </c>
      <c r="F15" s="37" t="str">
        <f>IF(COUNTIF(ERP导入清单!$X$5:$X$204,11)=0,"",INDEX(ERP导入清单!F:F,IFERROR(MATCH(11,ERP导入清单!$X$5:$X$204,0)+4,"")))</f>
        <v>零件</v>
      </c>
      <c r="G15" s="57">
        <f>IF(COUNTIF(ERP导入清单!$X$5:$X$204,11)=0,"",INDEX(ERP导入清单!G:G,IFERROR(MATCH(11,ERP导入清单!$X$5:$X$204,0)+4,"")))</f>
        <v>1</v>
      </c>
      <c r="H15" s="37" t="str">
        <f>IF(COUNTIF(ERP导入清单!$X$5:$X$204,11)=0,"",INDEX(ERP导入清单!H:H,IFERROR(MATCH(11,ERP导入清单!$X$5:$X$204,0)+4,"")))</f>
        <v>通用件</v>
      </c>
      <c r="I15" s="57" t="str">
        <f>IF(COUNTIF(ERP导入清单!$X$5:$X$204,11)=0,"",INDEX(ERP导入清单!I:I,IFERROR(MATCH(11,ERP导入清单!$X$5:$X$204,0)+4,"")))</f>
        <v/>
      </c>
      <c r="J15" s="57" t="str">
        <f>IF(COUNTIF(ERP导入清单!$X$5:$X$204,11)=0,"",INDEX(ERP导入清单!J:J,IFERROR(MATCH(11,ERP导入清单!$X$5:$X$204,0)+4,"")))</f>
        <v/>
      </c>
      <c r="K15" s="37" t="str">
        <f>IF(COUNTIF(ERP导入清单!$X$5:$X$204,11)=0,"",INDEX(ERP导入清单!K:K,IFERROR(MATCH(11,ERP导入清单!$X$5:$X$204,0)+4,"")))</f>
        <v>RS10703222</v>
      </c>
      <c r="L15" s="37" t="str">
        <f>IF(COUNTIF(ERP导入清单!$X$5:$X$204,11)=0,"",INDEX(ERP导入清单!L:L,IFERROR(MATCH(11,ERP导入清单!$X$5:$X$204,0)+4,"")))</f>
        <v>B5机型物料号-10-50-01</v>
      </c>
      <c r="M15" s="37" t="str">
        <f>IF(COUNTIF(ERP导入清单!$X$5:$X$204,11)=0,"",INDEX(ERP导入清单!M:M,IFERROR(MATCH(11,ERP导入清单!$X$5:$X$204,0)+4,"")))</f>
        <v>顶盖</v>
      </c>
      <c r="N15" s="37">
        <f>IF(COUNTIF(ERP导入清单!$X$5:$X$204,11)=0,"",INDEX(ERP导入清单!N:N,IFERROR(MATCH(11,ERP导入清单!$X$5:$X$204,0)+4,"")))</f>
        <v>0</v>
      </c>
      <c r="O15" s="37" t="str">
        <f>IF(COUNTIF(ERP导入清单!$X$5:$X$204,11)=0,"",INDEX(ERP导入清单!O:O,IFERROR(MATCH(11,ERP导入清单!$X$5:$X$204,0)+4,"")))</f>
        <v>1mm</v>
      </c>
      <c r="P15" s="39">
        <f>IF(COUNTIF(ERP导入清单!$X$5:$X$204,11)=0,"",INDEX(ERP导入清单!P:P,IFERROR(MATCH(11,ERP导入清单!$X$5:$X$204,0)+4,"")))</f>
        <v>16</v>
      </c>
      <c r="Q15" s="39">
        <f>IF(COUNTIF(ERP导入清单!$X$5:$X$204,11)=0,"",INDEX(ERP导入清单!Q:Q,IFERROR(MATCH(11,ERP导入清单!$X$5:$X$204,0)+4,"")))</f>
        <v>0</v>
      </c>
      <c r="R15" s="59">
        <f>IF(COUNTIF(ERP导入清单!$X$5:$X$204,11)=0,"",INDEX(ERP导入清单!R:R,IFERROR(MATCH(11,ERP导入清单!$X$5:$X$204,0)+4,"")))</f>
        <v>16</v>
      </c>
      <c r="S15" s="37" t="str">
        <f>IF(COUNTIF(ERP导入清单!$X$5:$X$204,11)=0,"",INDEX(ERP导入清单!S:S,IFERROR(MATCH(11,ERP导入清单!$X$5:$X$204,0)+4,"")))</f>
        <v>件</v>
      </c>
      <c r="T15" s="37">
        <f>IF(COUNTIF(ERP导入清单!$X$5:$X$204,11)=0,"",INDEX(ERP导入清单!T:T,IFERROR(MATCH(11,ERP导入清单!$X$5:$X$204,0)+4,"")))</f>
        <v>0</v>
      </c>
      <c r="U15" s="37" t="str">
        <f>IF(COUNTIF(ERP导入清单!$X$5:$X$204,11)=0,"",INDEX(ERP导入清单!U:U,IFERROR(MATCH(11,ERP导入清单!$X$5:$X$204,0)+4,"")))</f>
        <v>百胜样机款</v>
      </c>
      <c r="V15" s="38">
        <f>IF(COUNTIF(ERP导入清单!$X$5:$X$204,11)=0,"",INDEX(ERP导入清单!V:V,IFERROR(MATCH(11,ERP导入清单!$X$5:$X$204,0)+4,"")))</f>
        <v>0</v>
      </c>
      <c r="W15" s="50" t="str">
        <f>IF(COUNTIF(ERP导入清单!$X$5:$X$204,11)=0,"",INDEX(ERP导入清单!W:W,IFERROR(MATCH(11,ERP导入清单!$X$5:$X$204,0)+4,"")))</f>
        <v>旧图</v>
      </c>
    </row>
    <row r="16" spans="1:23" ht="24" customHeight="1">
      <c r="A16" s="55">
        <f>IF(COUNTIF(ERP导入清单!$X$5:$X$204,12)=0,"",INDEX(ERP导入清单!A:A,IFERROR(MATCH(12,ERP导入清单!$X$5:$X$204,0)+4,"")))</f>
        <v>2</v>
      </c>
      <c r="B16" s="37" t="str">
        <f>IF(COUNTIF(ERP导入清单!$X$5:$X$204,12)=0,"",INDEX(ERP导入清单!B:B,IFERROR(MATCH(12,ERP导入清单!$X$5:$X$204,0)+4,"")))</f>
        <v>RSD-20260601-002</v>
      </c>
      <c r="C16" s="38">
        <f>IF(COUNTIF(ERP导入清单!$X$5:$X$204,12)=0,"",INDEX(ERP导入清单!C:C,IFERROR(MATCH(12,ERP导入清单!$X$5:$X$204,0)+4,"")))</f>
        <v>46174</v>
      </c>
      <c r="D16" s="37" t="str">
        <f>IF(COUNTIF(ERP导入清单!$X$5:$X$204,12)=0,"",INDEX(ERP导入清单!D:D,IFERROR(MATCH(12,ERP导入清单!$X$5:$X$204,0)+4,"")))</f>
        <v>合肥荣事达太阳能有限公司</v>
      </c>
      <c r="E16" s="37" t="str">
        <f>IF(COUNTIF(ERP导入清单!$X$5:$X$204,12)=0,"",INDEX(ERP导入清单!E:E,IFERROR(MATCH(12,ERP导入清单!$X$5:$X$204,0)+4,"")))</f>
        <v>B型5P</v>
      </c>
      <c r="F16" s="37" t="str">
        <f>IF(COUNTIF(ERP导入清单!$X$5:$X$204,12)=0,"",INDEX(ERP导入清单!F:F,IFERROR(MATCH(12,ERP导入清单!$X$5:$X$204,0)+4,"")))</f>
        <v>零件</v>
      </c>
      <c r="G16" s="57">
        <f>IF(COUNTIF(ERP导入清单!$X$5:$X$204,12)=0,"",INDEX(ERP导入清单!G:G,IFERROR(MATCH(12,ERP导入清单!$X$5:$X$204,0)+4,"")))</f>
        <v>2</v>
      </c>
      <c r="H16" s="37" t="str">
        <f>IF(COUNTIF(ERP导入清单!$X$5:$X$204,12)=0,"",INDEX(ERP导入清单!H:H,IFERROR(MATCH(12,ERP导入清单!$X$5:$X$204,0)+4,"")))</f>
        <v>通用件</v>
      </c>
      <c r="I16" s="57" t="str">
        <f>IF(COUNTIF(ERP导入清单!$X$5:$X$204,12)=0,"",INDEX(ERP导入清单!I:I,IFERROR(MATCH(12,ERP导入清单!$X$5:$X$204,0)+4,"")))</f>
        <v/>
      </c>
      <c r="J16" s="57" t="str">
        <f>IF(COUNTIF(ERP导入清单!$X$5:$X$204,12)=0,"",INDEX(ERP导入清单!J:J,IFERROR(MATCH(12,ERP导入清单!$X$5:$X$204,0)+4,"")))</f>
        <v/>
      </c>
      <c r="K16" s="37" t="str">
        <f>IF(COUNTIF(ERP导入清单!$X$5:$X$204,12)=0,"",INDEX(ERP导入清单!K:K,IFERROR(MATCH(12,ERP导入清单!$X$5:$X$204,0)+4,"")))</f>
        <v>RS1070103</v>
      </c>
      <c r="L16" s="37" t="str">
        <f>IF(COUNTIF(ERP导入清单!$X$5:$X$204,12)=0,"",INDEX(ERP导入清单!L:L,IFERROR(MATCH(12,ERP导入清单!$X$5:$X$204,0)+4,"")))</f>
        <v>B5机型物料号-10-01</v>
      </c>
      <c r="M16" s="37" t="str">
        <f>IF(COUNTIF(ERP导入清单!$X$5:$X$204,12)=0,"",INDEX(ERP导入清单!M:M,IFERROR(MATCH(12,ERP导入清单!$X$5:$X$204,0)+4,"")))</f>
        <v>左侧封板</v>
      </c>
      <c r="N16" s="37">
        <f>IF(COUNTIF(ERP导入清单!$X$5:$X$204,12)=0,"",INDEX(ERP导入清单!N:N,IFERROR(MATCH(12,ERP导入清单!$X$5:$X$204,0)+4,"")))</f>
        <v>0</v>
      </c>
      <c r="O16" s="37" t="str">
        <f>IF(COUNTIF(ERP导入清单!$X$5:$X$204,12)=0,"",INDEX(ERP导入清单!O:O,IFERROR(MATCH(12,ERP导入清单!$X$5:$X$204,0)+4,"")))</f>
        <v>1mm</v>
      </c>
      <c r="P16" s="39">
        <f>IF(COUNTIF(ERP导入清单!$X$5:$X$204,12)=0,"",INDEX(ERP导入清单!P:P,IFERROR(MATCH(12,ERP导入清单!$X$5:$X$204,0)+4,"")))</f>
        <v>16</v>
      </c>
      <c r="Q16" s="39">
        <f>IF(COUNTIF(ERP导入清单!$X$5:$X$204,12)=0,"",INDEX(ERP导入清单!Q:Q,IFERROR(MATCH(12,ERP导入清单!$X$5:$X$204,0)+4,"")))</f>
        <v>0</v>
      </c>
      <c r="R16" s="59">
        <f>IF(COUNTIF(ERP导入清单!$X$5:$X$204,12)=0,"",INDEX(ERP导入清单!R:R,IFERROR(MATCH(12,ERP导入清单!$X$5:$X$204,0)+4,"")))</f>
        <v>16</v>
      </c>
      <c r="S16" s="37" t="str">
        <f>IF(COUNTIF(ERP导入清单!$X$5:$X$204,12)=0,"",INDEX(ERP导入清单!S:S,IFERROR(MATCH(12,ERP导入清单!$X$5:$X$204,0)+4,"")))</f>
        <v>件</v>
      </c>
      <c r="T16" s="37" t="str">
        <f>IF(COUNTIF(ERP导入清单!$X$5:$X$204,12)=0,"",INDEX(ERP导入清单!T:T,IFERROR(MATCH(12,ERP导入清单!$X$5:$X$204,0)+4,"")))</f>
        <v>激光切割&gt;折弯</v>
      </c>
      <c r="U16" s="37" t="str">
        <f>IF(COUNTIF(ERP导入清单!$X$5:$X$204,12)=0,"",INDEX(ERP导入清单!U:U,IFERROR(MATCH(12,ERP导入清单!$X$5:$X$204,0)+4,"")))</f>
        <v>百胜样机款</v>
      </c>
      <c r="V16" s="38">
        <f>IF(COUNTIF(ERP导入清单!$X$5:$X$204,12)=0,"",INDEX(ERP导入清单!V:V,IFERROR(MATCH(12,ERP导入清单!$X$5:$X$204,0)+4,"")))</f>
        <v>0</v>
      </c>
      <c r="W16" s="50" t="str">
        <f>IF(COUNTIF(ERP导入清单!$X$5:$X$204,12)=0,"",INDEX(ERP导入清单!W:W,IFERROR(MATCH(12,ERP导入清单!$X$5:$X$204,0)+4,"")))</f>
        <v>旧图</v>
      </c>
    </row>
    <row r="17" spans="1:23" ht="24" customHeight="1">
      <c r="A17" s="55">
        <f>IF(COUNTIF(ERP导入清单!$X$5:$X$204,13)=0,"",INDEX(ERP导入清单!A:A,IFERROR(MATCH(13,ERP导入清单!$X$5:$X$204,0)+4,"")))</f>
        <v>2</v>
      </c>
      <c r="B17" s="37" t="str">
        <f>IF(COUNTIF(ERP导入清单!$X$5:$X$204,13)=0,"",INDEX(ERP导入清单!B:B,IFERROR(MATCH(13,ERP导入清单!$X$5:$X$204,0)+4,"")))</f>
        <v>RSD-20260601-002</v>
      </c>
      <c r="C17" s="38">
        <f>IF(COUNTIF(ERP导入清单!$X$5:$X$204,13)=0,"",INDEX(ERP导入清单!C:C,IFERROR(MATCH(13,ERP导入清单!$X$5:$X$204,0)+4,"")))</f>
        <v>46174</v>
      </c>
      <c r="D17" s="37" t="str">
        <f>IF(COUNTIF(ERP导入清单!$X$5:$X$204,13)=0,"",INDEX(ERP导入清单!D:D,IFERROR(MATCH(13,ERP导入清单!$X$5:$X$204,0)+4,"")))</f>
        <v>合肥荣事达太阳能有限公司</v>
      </c>
      <c r="E17" s="37" t="str">
        <f>IF(COUNTIF(ERP导入清单!$X$5:$X$204,13)=0,"",INDEX(ERP导入清单!E:E,IFERROR(MATCH(13,ERP导入清单!$X$5:$X$204,0)+4,"")))</f>
        <v>B型5P</v>
      </c>
      <c r="F17" s="37" t="str">
        <f>IF(COUNTIF(ERP导入清单!$X$5:$X$204,13)=0,"",INDEX(ERP导入清单!F:F,IFERROR(MATCH(13,ERP导入清单!$X$5:$X$204,0)+4,"")))</f>
        <v>组件</v>
      </c>
      <c r="G17" s="57">
        <f>IF(COUNTIF(ERP导入清单!$X$5:$X$204,13)=0,"",INDEX(ERP导入清单!G:G,IFERROR(MATCH(13,ERP导入清单!$X$5:$X$204,0)+4,"")))</f>
        <v>3</v>
      </c>
      <c r="H17" s="37" t="str">
        <f>IF(COUNTIF(ERP导入清单!$X$5:$X$204,13)=0,"",INDEX(ERP导入清单!H:H,IFERROR(MATCH(13,ERP导入清单!$X$5:$X$204,0)+4,"")))</f>
        <v>通用件</v>
      </c>
      <c r="I17" s="57" t="str">
        <f>IF(COUNTIF(ERP导入清单!$X$5:$X$204,13)=0,"",INDEX(ERP导入清单!I:I,IFERROR(MATCH(13,ERP导入清单!$X$5:$X$204,0)+4,"")))</f>
        <v>C001</v>
      </c>
      <c r="J17" s="57" t="str">
        <f>IF(COUNTIF(ERP导入清单!$X$5:$X$204,13)=0,"",INDEX(ERP导入清单!J:J,IFERROR(MATCH(13,ERP导入清单!$X$5:$X$204,0)+4,"")))</f>
        <v/>
      </c>
      <c r="K17" s="37" t="str">
        <f>IF(COUNTIF(ERP导入清单!$X$5:$X$204,13)=0,"",INDEX(ERP导入清单!K:K,IFERROR(MATCH(13,ERP导入清单!$X$5:$X$204,0)+4,"")))</f>
        <v>RS1071123</v>
      </c>
      <c r="L17" s="37" t="str">
        <f>IF(COUNTIF(ERP导入清单!$X$5:$X$204,13)=0,"",INDEX(ERP导入清单!L:L,IFERROR(MATCH(13,ERP导入清单!$X$5:$X$204,0)+4,"")))</f>
        <v>B5机型物料号-10-30</v>
      </c>
      <c r="M17" s="37" t="str">
        <f>IF(COUNTIF(ERP导入清单!$X$5:$X$204,13)=0,"",INDEX(ERP导入清单!M:M,IFERROR(MATCH(13,ERP导入清单!$X$5:$X$204,0)+4,"")))</f>
        <v>风机支架组件</v>
      </c>
      <c r="N17" s="37">
        <f>IF(COUNTIF(ERP导入清单!$X$5:$X$204,13)=0,"",INDEX(ERP导入清单!N:N,IFERROR(MATCH(13,ERP导入清单!$X$5:$X$204,0)+4,"")))</f>
        <v>0</v>
      </c>
      <c r="O17" s="37" t="str">
        <f>IF(COUNTIF(ERP导入清单!$X$5:$X$204,13)=0,"",INDEX(ERP导入清单!O:O,IFERROR(MATCH(13,ERP导入清单!$X$5:$X$204,0)+4,"")))</f>
        <v>2mm</v>
      </c>
      <c r="P17" s="39">
        <f>IF(COUNTIF(ERP导入清单!$X$5:$X$204,13)=0,"",INDEX(ERP导入清单!P:P,IFERROR(MATCH(13,ERP导入清单!$X$5:$X$204,0)+4,"")))</f>
        <v>90</v>
      </c>
      <c r="Q17" s="39">
        <f>IF(COUNTIF(ERP导入清单!$X$5:$X$204,13)=0,"",INDEX(ERP导入清单!Q:Q,IFERROR(MATCH(13,ERP导入清单!$X$5:$X$204,0)+4,"")))</f>
        <v>2</v>
      </c>
      <c r="R17" s="59">
        <f>IF(COUNTIF(ERP导入清单!$X$5:$X$204,13)=0,"",INDEX(ERP导入清单!R:R,IFERROR(MATCH(13,ERP导入清单!$X$5:$X$204,0)+4,"")))</f>
        <v>180</v>
      </c>
      <c r="S17" s="37" t="str">
        <f>IF(COUNTIF(ERP导入清单!$X$5:$X$204,13)=0,"",INDEX(ERP导入清单!S:S,IFERROR(MATCH(13,ERP导入清单!$X$5:$X$204,0)+4,"")))</f>
        <v>套</v>
      </c>
      <c r="T17" s="37" t="str">
        <f>IF(COUNTIF(ERP导入清单!$X$5:$X$204,13)=0,"",INDEX(ERP导入清单!T:T,IFERROR(MATCH(13,ERP导入清单!$X$5:$X$204,0)+4,"")))</f>
        <v>装配</v>
      </c>
      <c r="U17" s="37" t="str">
        <f>IF(COUNTIF(ERP导入清单!$X$5:$X$204,13)=0,"",INDEX(ERP导入清单!U:U,IFERROR(MATCH(13,ERP导入清单!$X$5:$X$204,0)+4,"")))</f>
        <v>组件本体 90 套，每套用 2 件</v>
      </c>
      <c r="V17" s="38">
        <f>IF(COUNTIF(ERP导入清单!$X$5:$X$204,13)=0,"",INDEX(ERP导入清单!V:V,IFERROR(MATCH(13,ERP导入清单!$X$5:$X$204,0)+4,"")))</f>
        <v>0</v>
      </c>
      <c r="W17" s="50" t="str">
        <f>IF(COUNTIF(ERP导入清单!$X$5:$X$204,13)=0,"",INDEX(ERP导入清单!W:W,IFERROR(MATCH(13,ERP导入清单!$X$5:$X$204,0)+4,"")))</f>
        <v>旧图</v>
      </c>
    </row>
    <row r="18" spans="1:23" ht="24" customHeight="1">
      <c r="A18" s="55">
        <f>IF(COUNTIF(ERP导入清单!$X$5:$X$204,14)=0,"",INDEX(ERP导入清单!A:A,IFERROR(MATCH(14,ERP导入清单!$X$5:$X$204,0)+4,"")))</f>
        <v>2</v>
      </c>
      <c r="B18" s="37" t="str">
        <f>IF(COUNTIF(ERP导入清单!$X$5:$X$204,14)=0,"",INDEX(ERP导入清单!B:B,IFERROR(MATCH(14,ERP导入清单!$X$5:$X$204,0)+4,"")))</f>
        <v>RSD-20260601-002</v>
      </c>
      <c r="C18" s="38">
        <f>IF(COUNTIF(ERP导入清单!$X$5:$X$204,14)=0,"",INDEX(ERP导入清单!C:C,IFERROR(MATCH(14,ERP导入清单!$X$5:$X$204,0)+4,"")))</f>
        <v>46174</v>
      </c>
      <c r="D18" s="37" t="str">
        <f>IF(COUNTIF(ERP导入清单!$X$5:$X$204,14)=0,"",INDEX(ERP导入清单!D:D,IFERROR(MATCH(14,ERP导入清单!$X$5:$X$204,0)+4,"")))</f>
        <v>合肥荣事达太阳能有限公司</v>
      </c>
      <c r="E18" s="37" t="str">
        <f>IF(COUNTIF(ERP导入清单!$X$5:$X$204,14)=0,"",INDEX(ERP导入清单!E:E,IFERROR(MATCH(14,ERP导入清单!$X$5:$X$204,0)+4,"")))</f>
        <v>B型5P</v>
      </c>
      <c r="F18" s="37" t="str">
        <f>IF(COUNTIF(ERP导入清单!$X$5:$X$204,14)=0,"",INDEX(ERP导入清单!F:F,IFERROR(MATCH(14,ERP导入清单!$X$5:$X$204,0)+4,"")))</f>
        <v>零件</v>
      </c>
      <c r="G18" s="57" t="str">
        <f>IF(COUNTIF(ERP导入清单!$X$5:$X$204,14)=0,"",INDEX(ERP导入清单!G:G,IFERROR(MATCH(14,ERP导入清单!$X$5:$X$204,0)+4,"")))</f>
        <v>3.1</v>
      </c>
      <c r="H18" s="37" t="str">
        <f>IF(COUNTIF(ERP导入清单!$X$5:$X$204,14)=0,"",INDEX(ERP导入清单!H:H,IFERROR(MATCH(14,ERP导入清单!$X$5:$X$204,0)+4,"")))</f>
        <v>通用件</v>
      </c>
      <c r="I18" s="57" t="str">
        <f>IF(COUNTIF(ERP导入清单!$X$5:$X$204,14)=0,"",INDEX(ERP导入清单!I:I,IFERROR(MATCH(14,ERP导入清单!$X$5:$X$204,0)+4,"")))</f>
        <v/>
      </c>
      <c r="J18" s="57" t="str">
        <f>IF(COUNTIF(ERP导入清单!$X$5:$X$204,14)=0,"",INDEX(ERP导入清单!J:J,IFERROR(MATCH(14,ERP导入清单!$X$5:$X$204,0)+4,"")))</f>
        <v>C001</v>
      </c>
      <c r="K18" s="37">
        <f>IF(COUNTIF(ERP导入清单!$X$5:$X$204,14)=0,"",INDEX(ERP导入清单!K:K,IFERROR(MATCH(14,ERP导入清单!$X$5:$X$204,0)+4,"")))</f>
        <v>0</v>
      </c>
      <c r="L18" s="37" t="str">
        <f>IF(COUNTIF(ERP导入清单!$X$5:$X$204,14)=0,"",INDEX(ERP导入清单!L:L,IFERROR(MATCH(14,ERP导入清单!$X$5:$X$204,0)+4,"")))</f>
        <v>B5机型物料号-10-30-B</v>
      </c>
      <c r="M18" s="37" t="str">
        <f>IF(COUNTIF(ERP导入清单!$X$5:$X$204,14)=0,"",INDEX(ERP导入清单!M:M,IFERROR(MATCH(14,ERP导入清单!$X$5:$X$204,0)+4,"")))</f>
        <v>风机支架折弯件</v>
      </c>
      <c r="N18" s="37">
        <f>IF(COUNTIF(ERP导入清单!$X$5:$X$204,14)=0,"",INDEX(ERP导入清单!N:N,IFERROR(MATCH(14,ERP导入清单!$X$5:$X$204,0)+4,"")))</f>
        <v>0</v>
      </c>
      <c r="O18" s="37" t="str">
        <f>IF(COUNTIF(ERP导入清单!$X$5:$X$204,14)=0,"",INDEX(ERP导入清单!O:O,IFERROR(MATCH(14,ERP导入清单!$X$5:$X$204,0)+4,"")))</f>
        <v>2mm</v>
      </c>
      <c r="P18" s="39">
        <f>IF(COUNTIF(ERP导入清单!$X$5:$X$204,14)=0,"",INDEX(ERP导入清单!P:P,IFERROR(MATCH(14,ERP导入清单!$X$5:$X$204,0)+4,"")))</f>
        <v>0</v>
      </c>
      <c r="Q18" s="39">
        <f>IF(COUNTIF(ERP导入清单!$X$5:$X$204,14)=0,"",INDEX(ERP导入清单!Q:Q,IFERROR(MATCH(14,ERP导入清单!$X$5:$X$204,0)+4,"")))</f>
        <v>2</v>
      </c>
      <c r="R18" s="59">
        <f>IF(COUNTIF(ERP导入清单!$X$5:$X$204,14)=0,"",INDEX(ERP导入清单!R:R,IFERROR(MATCH(14,ERP导入清单!$X$5:$X$204,0)+4,"")))</f>
        <v>360</v>
      </c>
      <c r="S18" s="37" t="str">
        <f>IF(COUNTIF(ERP导入清单!$X$5:$X$204,14)=0,"",INDEX(ERP导入清单!S:S,IFERROR(MATCH(14,ERP导入清单!$X$5:$X$204,0)+4,"")))</f>
        <v>件</v>
      </c>
      <c r="T18" s="37" t="str">
        <f>IF(COUNTIF(ERP导入清单!$X$5:$X$204,14)=0,"",INDEX(ERP导入清单!T:T,IFERROR(MATCH(14,ERP导入清单!$X$5:$X$204,0)+4,"")))</f>
        <v>激光切割&gt;折弯</v>
      </c>
      <c r="U18" s="37" t="str">
        <f>IF(COUNTIF(ERP导入清单!$X$5:$X$204,14)=0,"",INDEX(ERP导入清单!U:U,IFERROR(MATCH(14,ERP导入清单!$X$5:$X$204,0)+4,"")))</f>
        <v>按父组件需求数量×2</v>
      </c>
      <c r="V18" s="38">
        <f>IF(COUNTIF(ERP导入清单!$X$5:$X$204,14)=0,"",INDEX(ERP导入清单!V:V,IFERROR(MATCH(14,ERP导入清单!$X$5:$X$204,0)+4,"")))</f>
        <v>0</v>
      </c>
      <c r="W18" s="50" t="str">
        <f>IF(COUNTIF(ERP导入清单!$X$5:$X$204,14)=0,"",INDEX(ERP导入清单!W:W,IFERROR(MATCH(14,ERP导入清单!$X$5:$X$204,0)+4,"")))</f>
        <v>旧图</v>
      </c>
    </row>
    <row r="19" spans="1:23" ht="24" customHeight="1">
      <c r="A19" s="55">
        <f>IF(COUNTIF(ERP导入清单!$X$5:$X$204,15)=0,"",INDEX(ERP导入清单!A:A,IFERROR(MATCH(15,ERP导入清单!$X$5:$X$204,0)+4,"")))</f>
        <v>2</v>
      </c>
      <c r="B19" s="37" t="str">
        <f>IF(COUNTIF(ERP导入清单!$X$5:$X$204,15)=0,"",INDEX(ERP导入清单!B:B,IFERROR(MATCH(15,ERP导入清单!$X$5:$X$204,0)+4,"")))</f>
        <v>RSD-20260601-002</v>
      </c>
      <c r="C19" s="38">
        <f>IF(COUNTIF(ERP导入清单!$X$5:$X$204,15)=0,"",INDEX(ERP导入清单!C:C,IFERROR(MATCH(15,ERP导入清单!$X$5:$X$204,0)+4,"")))</f>
        <v>46174</v>
      </c>
      <c r="D19" s="37" t="str">
        <f>IF(COUNTIF(ERP导入清单!$X$5:$X$204,15)=0,"",INDEX(ERP导入清单!D:D,IFERROR(MATCH(15,ERP导入清单!$X$5:$X$204,0)+4,"")))</f>
        <v>合肥荣事达太阳能有限公司</v>
      </c>
      <c r="E19" s="37" t="str">
        <f>IF(COUNTIF(ERP导入清单!$X$5:$X$204,15)=0,"",INDEX(ERP导入清单!E:E,IFERROR(MATCH(15,ERP导入清单!$X$5:$X$204,0)+4,"")))</f>
        <v>B型5P</v>
      </c>
      <c r="F19" s="37" t="str">
        <f>IF(COUNTIF(ERP导入清单!$X$5:$X$204,15)=0,"",INDEX(ERP导入清单!F:F,IFERROR(MATCH(15,ERP导入清单!$X$5:$X$204,0)+4,"")))</f>
        <v>零件</v>
      </c>
      <c r="G19" s="57" t="str">
        <f>IF(COUNTIF(ERP导入清单!$X$5:$X$204,15)=0,"",INDEX(ERP导入清单!G:G,IFERROR(MATCH(15,ERP导入清单!$X$5:$X$204,0)+4,"")))</f>
        <v>3.2</v>
      </c>
      <c r="H19" s="37" t="str">
        <f>IF(COUNTIF(ERP导入清单!$X$5:$X$204,15)=0,"",INDEX(ERP导入清单!H:H,IFERROR(MATCH(15,ERP导入清单!$X$5:$X$204,0)+4,"")))</f>
        <v>通用件</v>
      </c>
      <c r="I19" s="57" t="str">
        <f>IF(COUNTIF(ERP导入清单!$X$5:$X$204,15)=0,"",INDEX(ERP导入清单!I:I,IFERROR(MATCH(15,ERP导入清单!$X$5:$X$204,0)+4,"")))</f>
        <v/>
      </c>
      <c r="J19" s="57" t="str">
        <f>IF(COUNTIF(ERP导入清单!$X$5:$X$204,15)=0,"",INDEX(ERP导入清单!J:J,IFERROR(MATCH(15,ERP导入清单!$X$5:$X$204,0)+4,"")))</f>
        <v>C001</v>
      </c>
      <c r="K19" s="37">
        <f>IF(COUNTIF(ERP导入清单!$X$5:$X$204,15)=0,"",INDEX(ERP导入清单!K:K,IFERROR(MATCH(15,ERP导入清单!$X$5:$X$204,0)+4,"")))</f>
        <v>0</v>
      </c>
      <c r="L19" s="37" t="str">
        <f>IF(COUNTIF(ERP导入清单!$X$5:$X$204,15)=0,"",INDEX(ERP导入清单!L:L,IFERROR(MATCH(15,ERP导入清单!$X$5:$X$204,0)+4,"")))</f>
        <v>B5机型物料号-10-30-05</v>
      </c>
      <c r="M19" s="37" t="str">
        <f>IF(COUNTIF(ERP导入清单!$X$5:$X$204,15)=0,"",INDEX(ERP导入清单!M:M,IFERROR(MATCH(15,ERP导入清单!$X$5:$X$204,0)+4,"")))</f>
        <v>机架加强板</v>
      </c>
      <c r="N19" s="37">
        <f>IF(COUNTIF(ERP导入清单!$X$5:$X$204,15)=0,"",INDEX(ERP导入清单!N:N,IFERROR(MATCH(15,ERP导入清单!$X$5:$X$204,0)+4,"")))</f>
        <v>0</v>
      </c>
      <c r="O19" s="37" t="str">
        <f>IF(COUNTIF(ERP导入清单!$X$5:$X$204,15)=0,"",INDEX(ERP导入清单!O:O,IFERROR(MATCH(15,ERP导入清单!$X$5:$X$204,0)+4,"")))</f>
        <v>1mm</v>
      </c>
      <c r="P19" s="39">
        <f>IF(COUNTIF(ERP导入清单!$X$5:$X$204,15)=0,"",INDEX(ERP导入清单!P:P,IFERROR(MATCH(15,ERP导入清单!$X$5:$X$204,0)+4,"")))</f>
        <v>0</v>
      </c>
      <c r="Q19" s="39">
        <f>IF(COUNTIF(ERP导入清单!$X$5:$X$204,15)=0,"",INDEX(ERP导入清单!Q:Q,IFERROR(MATCH(15,ERP导入清单!$X$5:$X$204,0)+4,"")))</f>
        <v>1</v>
      </c>
      <c r="R19" s="59">
        <f>IF(COUNTIF(ERP导入清单!$X$5:$X$204,15)=0,"",INDEX(ERP导入清单!R:R,IFERROR(MATCH(15,ERP导入清单!$X$5:$X$204,0)+4,"")))</f>
        <v>180</v>
      </c>
      <c r="S19" s="37" t="str">
        <f>IF(COUNTIF(ERP导入清单!$X$5:$X$204,15)=0,"",INDEX(ERP导入清单!S:S,IFERROR(MATCH(15,ERP导入清单!$X$5:$X$204,0)+4,"")))</f>
        <v>件</v>
      </c>
      <c r="T19" s="37" t="str">
        <f>IF(COUNTIF(ERP导入清单!$X$5:$X$204,15)=0,"",INDEX(ERP导入清单!T:T,IFERROR(MATCH(15,ERP导入清单!$X$5:$X$204,0)+4,"")))</f>
        <v>激光切割</v>
      </c>
      <c r="U19" s="37" t="str">
        <f>IF(COUNTIF(ERP导入清单!$X$5:$X$204,15)=0,"",INDEX(ERP导入清单!U:U,IFERROR(MATCH(15,ERP导入清单!$X$5:$X$204,0)+4,"")))</f>
        <v>按父组件需求数量×1</v>
      </c>
      <c r="V19" s="38">
        <f>IF(COUNTIF(ERP导入清单!$X$5:$X$204,15)=0,"",INDEX(ERP导入清单!V:V,IFERROR(MATCH(15,ERP导入清单!$X$5:$X$204,0)+4,"")))</f>
        <v>0</v>
      </c>
      <c r="W19" s="50" t="str">
        <f>IF(COUNTIF(ERP导入清单!$X$5:$X$204,15)=0,"",INDEX(ERP导入清单!W:W,IFERROR(MATCH(15,ERP导入清单!$X$5:$X$204,0)+4,"")))</f>
        <v>旧图</v>
      </c>
    </row>
    <row r="20" spans="1:23" ht="24" customHeight="1">
      <c r="A20" s="55">
        <f>IF(COUNTIF(ERP导入清单!$X$5:$X$204,16)=0,"",INDEX(ERP导入清单!A:A,IFERROR(MATCH(16,ERP导入清单!$X$5:$X$204,0)+4,"")))</f>
        <v>2</v>
      </c>
      <c r="B20" s="37" t="str">
        <f>IF(COUNTIF(ERP导入清单!$X$5:$X$204,16)=0,"",INDEX(ERP导入清单!B:B,IFERROR(MATCH(16,ERP导入清单!$X$5:$X$204,0)+4,"")))</f>
        <v>RSD-20260601-002</v>
      </c>
      <c r="C20" s="38">
        <f>IF(COUNTIF(ERP导入清单!$X$5:$X$204,16)=0,"",INDEX(ERP导入清单!C:C,IFERROR(MATCH(16,ERP导入清单!$X$5:$X$204,0)+4,"")))</f>
        <v>46174</v>
      </c>
      <c r="D20" s="37" t="str">
        <f>IF(COUNTIF(ERP导入清单!$X$5:$X$204,16)=0,"",INDEX(ERP导入清单!D:D,IFERROR(MATCH(16,ERP导入清单!$X$5:$X$204,0)+4,"")))</f>
        <v>合肥荣事达太阳能有限公司</v>
      </c>
      <c r="E20" s="37" t="str">
        <f>IF(COUNTIF(ERP导入清单!$X$5:$X$204,16)=0,"",INDEX(ERP导入清单!E:E,IFERROR(MATCH(16,ERP导入清单!$X$5:$X$204,0)+4,"")))</f>
        <v>B型5P</v>
      </c>
      <c r="F20" s="37" t="str">
        <f>IF(COUNTIF(ERP导入清单!$X$5:$X$204,16)=0,"",INDEX(ERP导入清单!F:F,IFERROR(MATCH(16,ERP导入清单!$X$5:$X$204,0)+4,"")))</f>
        <v>组件</v>
      </c>
      <c r="G20" s="57">
        <f>IF(COUNTIF(ERP导入清单!$X$5:$X$204,16)=0,"",INDEX(ERP导入清单!G:G,IFERROR(MATCH(16,ERP导入清单!$X$5:$X$204,0)+4,"")))</f>
        <v>4</v>
      </c>
      <c r="H20" s="37" t="str">
        <f>IF(COUNTIF(ERP导入清单!$X$5:$X$204,16)=0,"",INDEX(ERP导入清单!H:H,IFERROR(MATCH(16,ERP导入清单!$X$5:$X$204,0)+4,"")))</f>
        <v>定制件</v>
      </c>
      <c r="I20" s="57" t="str">
        <f>IF(COUNTIF(ERP导入清单!$X$5:$X$204,16)=0,"",INDEX(ERP导入清单!I:I,IFERROR(MATCH(16,ERP导入清单!$X$5:$X$204,0)+4,"")))</f>
        <v>C002</v>
      </c>
      <c r="J20" s="57" t="str">
        <f>IF(COUNTIF(ERP导入清单!$X$5:$X$204,16)=0,"",INDEX(ERP导入清单!J:J,IFERROR(MATCH(16,ERP导入清单!$X$5:$X$204,0)+4,"")))</f>
        <v/>
      </c>
      <c r="K20" s="37" t="str">
        <f>IF(COUNTIF(ERP导入清单!$X$5:$X$204,16)=0,"",INDEX(ERP导入清单!K:K,IFERROR(MATCH(16,ERP导入清单!$X$5:$X$204,0)+4,"")))</f>
        <v>RS103</v>
      </c>
      <c r="L20" s="37" t="str">
        <f>IF(COUNTIF(ERP导入清单!$X$5:$X$204,16)=0,"",INDEX(ERP导入清单!L:L,IFERROR(MATCH(16,ERP导入清单!$X$5:$X$204,0)+4,"")))</f>
        <v>B5机型物料号-10-00</v>
      </c>
      <c r="M20" s="37" t="str">
        <f>IF(COUNTIF(ERP导入清单!$X$5:$X$204,16)=0,"",INDEX(ERP导入清单!M:M,IFERROR(MATCH(16,ERP导入清单!$X$5:$X$204,0)+4,"")))</f>
        <v>底盘组件（激光割）</v>
      </c>
      <c r="N20" s="37">
        <f>IF(COUNTIF(ERP导入清单!$X$5:$X$204,16)=0,"",INDEX(ERP导入清单!N:N,IFERROR(MATCH(16,ERP导入清单!$X$5:$X$204,0)+4,"")))</f>
        <v>0</v>
      </c>
      <c r="O20" s="37" t="str">
        <f>IF(COUNTIF(ERP导入清单!$X$5:$X$204,16)=0,"",INDEX(ERP导入清单!O:O,IFERROR(MATCH(16,ERP导入清单!$X$5:$X$204,0)+4,"")))</f>
        <v>2mm</v>
      </c>
      <c r="P20" s="39">
        <f>IF(COUNTIF(ERP导入清单!$X$5:$X$204,16)=0,"",INDEX(ERP导入清单!P:P,IFERROR(MATCH(16,ERP导入清单!$X$5:$X$204,0)+4,"")))</f>
        <v>16</v>
      </c>
      <c r="Q20" s="39">
        <f>IF(COUNTIF(ERP导入清单!$X$5:$X$204,16)=0,"",INDEX(ERP导入清单!Q:Q,IFERROR(MATCH(16,ERP导入清单!$X$5:$X$204,0)+4,"")))</f>
        <v>1</v>
      </c>
      <c r="R20" s="59">
        <f>IF(COUNTIF(ERP导入清单!$X$5:$X$204,16)=0,"",INDEX(ERP导入清单!R:R,IFERROR(MATCH(16,ERP导入清单!$X$5:$X$204,0)+4,"")))</f>
        <v>16</v>
      </c>
      <c r="S20" s="37" t="str">
        <f>IF(COUNTIF(ERP导入清单!$X$5:$X$204,16)=0,"",INDEX(ERP导入清单!S:S,IFERROR(MATCH(16,ERP导入清单!$X$5:$X$204,0)+4,"")))</f>
        <v>套</v>
      </c>
      <c r="T20" s="37" t="str">
        <f>IF(COUNTIF(ERP导入清单!$X$5:$X$204,16)=0,"",INDEX(ERP导入清单!T:T,IFERROR(MATCH(16,ERP导入清单!$X$5:$X$204,0)+4,"")))</f>
        <v>激光切割&gt;焊接&gt;装配</v>
      </c>
      <c r="U20" s="37" t="str">
        <f>IF(COUNTIF(ERP导入清单!$X$5:$X$204,16)=0,"",INDEX(ERP导入清单!U:U,IFERROR(MATCH(16,ERP导入清单!$X$5:$X$204,0)+4,"")))</f>
        <v>点5个电热丝固定卡，割孔，焊螺丝</v>
      </c>
      <c r="V20" s="38">
        <f>IF(COUNTIF(ERP导入清单!$X$5:$X$204,16)=0,"",INDEX(ERP导入清单!V:V,IFERROR(MATCH(16,ERP导入清单!$X$5:$X$204,0)+4,"")))</f>
        <v>45247</v>
      </c>
      <c r="W20" s="50" t="str">
        <f>IF(COUNTIF(ERP导入清单!$X$5:$X$204,16)=0,"",INDEX(ERP导入清单!W:W,IFERROR(MATCH(16,ERP导入清单!$X$5:$X$204,0)+4,"")))</f>
        <v>旧图</v>
      </c>
    </row>
    <row r="21" spans="1:23" ht="24" customHeight="1">
      <c r="A21" s="55">
        <f>IF(COUNTIF(ERP导入清单!$X$5:$X$204,17)=0,"",INDEX(ERP导入清单!A:A,IFERROR(MATCH(17,ERP导入清单!$X$5:$X$204,0)+4,"")))</f>
        <v>2</v>
      </c>
      <c r="B21" s="37" t="str">
        <f>IF(COUNTIF(ERP导入清单!$X$5:$X$204,17)=0,"",INDEX(ERP导入清单!B:B,IFERROR(MATCH(17,ERP导入清单!$X$5:$X$204,0)+4,"")))</f>
        <v>RSD-20260601-002</v>
      </c>
      <c r="C21" s="38">
        <f>IF(COUNTIF(ERP导入清单!$X$5:$X$204,17)=0,"",INDEX(ERP导入清单!C:C,IFERROR(MATCH(17,ERP导入清单!$X$5:$X$204,0)+4,"")))</f>
        <v>46174</v>
      </c>
      <c r="D21" s="37" t="str">
        <f>IF(COUNTIF(ERP导入清单!$X$5:$X$204,17)=0,"",INDEX(ERP导入清单!D:D,IFERROR(MATCH(17,ERP导入清单!$X$5:$X$204,0)+4,"")))</f>
        <v>合肥荣事达太阳能有限公司</v>
      </c>
      <c r="E21" s="37" t="str">
        <f>IF(COUNTIF(ERP导入清单!$X$5:$X$204,17)=0,"",INDEX(ERP导入清单!E:E,IFERROR(MATCH(17,ERP导入清单!$X$5:$X$204,0)+4,"")))</f>
        <v>B型5P</v>
      </c>
      <c r="F21" s="37" t="str">
        <f>IF(COUNTIF(ERP导入清单!$X$5:$X$204,17)=0,"",INDEX(ERP导入清单!F:F,IFERROR(MATCH(17,ERP导入清单!$X$5:$X$204,0)+4,"")))</f>
        <v>零件</v>
      </c>
      <c r="G21" s="57" t="str">
        <f>IF(COUNTIF(ERP导入清单!$X$5:$X$204,17)=0,"",INDEX(ERP导入清单!G:G,IFERROR(MATCH(17,ERP导入清单!$X$5:$X$204,0)+4,"")))</f>
        <v>4.1</v>
      </c>
      <c r="H21" s="37" t="str">
        <f>IF(COUNTIF(ERP导入清单!$X$5:$X$204,17)=0,"",INDEX(ERP导入清单!H:H,IFERROR(MATCH(17,ERP导入清单!$X$5:$X$204,0)+4,"")))</f>
        <v>定制件</v>
      </c>
      <c r="I21" s="57" t="str">
        <f>IF(COUNTIF(ERP导入清单!$X$5:$X$204,17)=0,"",INDEX(ERP导入清单!I:I,IFERROR(MATCH(17,ERP导入清单!$X$5:$X$204,0)+4,"")))</f>
        <v/>
      </c>
      <c r="J21" s="57" t="str">
        <f>IF(COUNTIF(ERP导入清单!$X$5:$X$204,17)=0,"",INDEX(ERP导入清单!J:J,IFERROR(MATCH(17,ERP导入清单!$X$5:$X$204,0)+4,"")))</f>
        <v>C002</v>
      </c>
      <c r="K21" s="37">
        <f>IF(COUNTIF(ERP导入清单!$X$5:$X$204,17)=0,"",INDEX(ERP导入清单!K:K,IFERROR(MATCH(17,ERP导入清单!$X$5:$X$204,0)+4,"")))</f>
        <v>0</v>
      </c>
      <c r="L21" s="37" t="str">
        <f>IF(COUNTIF(ERP导入清单!$X$5:$X$204,17)=0,"",INDEX(ERP导入清单!L:L,IFERROR(MATCH(17,ERP导入清单!$X$5:$X$204,0)+4,"")))</f>
        <v>B5机型物料号-10-00-A</v>
      </c>
      <c r="M21" s="37" t="str">
        <f>IF(COUNTIF(ERP导入清单!$X$5:$X$204,17)=0,"",INDEX(ERP导入清单!M:M,IFERROR(MATCH(17,ERP导入清单!$X$5:$X$204,0)+4,"")))</f>
        <v>底盘板</v>
      </c>
      <c r="N21" s="37">
        <f>IF(COUNTIF(ERP导入清单!$X$5:$X$204,17)=0,"",INDEX(ERP导入清单!N:N,IFERROR(MATCH(17,ERP导入清单!$X$5:$X$204,0)+4,"")))</f>
        <v>0</v>
      </c>
      <c r="O21" s="37" t="str">
        <f>IF(COUNTIF(ERP导入清单!$X$5:$X$204,17)=0,"",INDEX(ERP导入清单!O:O,IFERROR(MATCH(17,ERP导入清单!$X$5:$X$204,0)+4,"")))</f>
        <v>2mm</v>
      </c>
      <c r="P21" s="39">
        <f>IF(COUNTIF(ERP导入清单!$X$5:$X$204,17)=0,"",INDEX(ERP导入清单!P:P,IFERROR(MATCH(17,ERP导入清单!$X$5:$X$204,0)+4,"")))</f>
        <v>0</v>
      </c>
      <c r="Q21" s="39">
        <f>IF(COUNTIF(ERP导入清单!$X$5:$X$204,17)=0,"",INDEX(ERP导入清单!Q:Q,IFERROR(MATCH(17,ERP导入清单!$X$5:$X$204,0)+4,"")))</f>
        <v>2</v>
      </c>
      <c r="R21" s="59">
        <f>IF(COUNTIF(ERP导入清单!$X$5:$X$204,17)=0,"",INDEX(ERP导入清单!R:R,IFERROR(MATCH(17,ERP导入清单!$X$5:$X$204,0)+4,"")))</f>
        <v>32</v>
      </c>
      <c r="S21" s="37" t="str">
        <f>IF(COUNTIF(ERP导入清单!$X$5:$X$204,17)=0,"",INDEX(ERP导入清单!S:S,IFERROR(MATCH(17,ERP导入清单!$X$5:$X$204,0)+4,"")))</f>
        <v>件</v>
      </c>
      <c r="T21" s="37" t="str">
        <f>IF(COUNTIF(ERP导入清单!$X$5:$X$204,17)=0,"",INDEX(ERP导入清单!T:T,IFERROR(MATCH(17,ERP导入清单!$X$5:$X$204,0)+4,"")))</f>
        <v>激光切割</v>
      </c>
      <c r="U21" s="37" t="str">
        <f>IF(COUNTIF(ERP导入清单!$X$5:$X$204,17)=0,"",INDEX(ERP导入清单!U:U,IFERROR(MATCH(17,ERP导入清单!$X$5:$X$204,0)+4,"")))</f>
        <v>按父组件需求数量×2</v>
      </c>
      <c r="V21" s="38">
        <f>IF(COUNTIF(ERP导入清单!$X$5:$X$204,17)=0,"",INDEX(ERP导入清单!V:V,IFERROR(MATCH(17,ERP导入清单!$X$5:$X$204,0)+4,"")))</f>
        <v>0</v>
      </c>
      <c r="W21" s="50" t="str">
        <f>IF(COUNTIF(ERP导入清单!$X$5:$X$204,17)=0,"",INDEX(ERP导入清单!W:W,IFERROR(MATCH(17,ERP导入清单!$X$5:$X$204,0)+4,"")))</f>
        <v>待确认</v>
      </c>
    </row>
    <row r="22" spans="1:23" ht="24" customHeight="1">
      <c r="A22" s="55">
        <f>IF(COUNTIF(ERP导入清单!$X$5:$X$204,18)=0,"",INDEX(ERP导入清单!A:A,IFERROR(MATCH(18,ERP导入清单!$X$5:$X$204,0)+4,"")))</f>
        <v>2</v>
      </c>
      <c r="B22" s="37" t="str">
        <f>IF(COUNTIF(ERP导入清单!$X$5:$X$204,18)=0,"",INDEX(ERP导入清单!B:B,IFERROR(MATCH(18,ERP导入清单!$X$5:$X$204,0)+4,"")))</f>
        <v>RSD-20260601-002</v>
      </c>
      <c r="C22" s="38">
        <f>IF(COUNTIF(ERP导入清单!$X$5:$X$204,18)=0,"",INDEX(ERP导入清单!C:C,IFERROR(MATCH(18,ERP导入清单!$X$5:$X$204,0)+4,"")))</f>
        <v>46174</v>
      </c>
      <c r="D22" s="37" t="str">
        <f>IF(COUNTIF(ERP导入清单!$X$5:$X$204,18)=0,"",INDEX(ERP导入清单!D:D,IFERROR(MATCH(18,ERP导入清单!$X$5:$X$204,0)+4,"")))</f>
        <v>合肥荣事达太阳能有限公司</v>
      </c>
      <c r="E22" s="37" t="str">
        <f>IF(COUNTIF(ERP导入清单!$X$5:$X$204,18)=0,"",INDEX(ERP导入清单!E:E,IFERROR(MATCH(18,ERP导入清单!$X$5:$X$204,0)+4,"")))</f>
        <v>B型5P</v>
      </c>
      <c r="F22" s="37" t="str">
        <f>IF(COUNTIF(ERP导入清单!$X$5:$X$204,18)=0,"",INDEX(ERP导入清单!F:F,IFERROR(MATCH(18,ERP导入清单!$X$5:$X$204,0)+4,"")))</f>
        <v>零件</v>
      </c>
      <c r="G22" s="57" t="str">
        <f>IF(COUNTIF(ERP导入清单!$X$5:$X$204,18)=0,"",INDEX(ERP导入清单!G:G,IFERROR(MATCH(18,ERP导入清单!$X$5:$X$204,0)+4,"")))</f>
        <v>4.2</v>
      </c>
      <c r="H22" s="37" t="str">
        <f>IF(COUNTIF(ERP导入清单!$X$5:$X$204,18)=0,"",INDEX(ERP导入清单!H:H,IFERROR(MATCH(18,ERP导入清单!$X$5:$X$204,0)+4,"")))</f>
        <v>定制件</v>
      </c>
      <c r="I22" s="57" t="str">
        <f>IF(COUNTIF(ERP导入清单!$X$5:$X$204,18)=0,"",INDEX(ERP导入清单!I:I,IFERROR(MATCH(18,ERP导入清单!$X$5:$X$204,0)+4,"")))</f>
        <v/>
      </c>
      <c r="J22" s="57" t="str">
        <f>IF(COUNTIF(ERP导入清单!$X$5:$X$204,18)=0,"",INDEX(ERP导入清单!J:J,IFERROR(MATCH(18,ERP导入清单!$X$5:$X$204,0)+4,"")))</f>
        <v>C002</v>
      </c>
      <c r="K22" s="37">
        <f>IF(COUNTIF(ERP导入清单!$X$5:$X$204,18)=0,"",INDEX(ERP导入清单!K:K,IFERROR(MATCH(18,ERP导入清单!$X$5:$X$204,0)+4,"")))</f>
        <v>0</v>
      </c>
      <c r="L22" s="37" t="str">
        <f>IF(COUNTIF(ERP导入清单!$X$5:$X$204,18)=0,"",INDEX(ERP导入清单!L:L,IFERROR(MATCH(18,ERP导入清单!$X$5:$X$204,0)+4,"")))</f>
        <v>B5机型物料号-10-00-B</v>
      </c>
      <c r="M22" s="37" t="str">
        <f>IF(COUNTIF(ERP导入清单!$X$5:$X$204,18)=0,"",INDEX(ERP导入清单!M:M,IFERROR(MATCH(18,ERP导入清单!$X$5:$X$204,0)+4,"")))</f>
        <v>底盘加强片</v>
      </c>
      <c r="N22" s="37">
        <f>IF(COUNTIF(ERP导入清单!$X$5:$X$204,18)=0,"",INDEX(ERP导入清单!N:N,IFERROR(MATCH(18,ERP导入清单!$X$5:$X$204,0)+4,"")))</f>
        <v>0</v>
      </c>
      <c r="O22" s="37" t="str">
        <f>IF(COUNTIF(ERP导入清单!$X$5:$X$204,18)=0,"",INDEX(ERP导入清单!O:O,IFERROR(MATCH(18,ERP导入清单!$X$5:$X$204,0)+4,"")))</f>
        <v>1.5mm</v>
      </c>
      <c r="P22" s="39">
        <f>IF(COUNTIF(ERP导入清单!$X$5:$X$204,18)=0,"",INDEX(ERP导入清单!P:P,IFERROR(MATCH(18,ERP导入清单!$X$5:$X$204,0)+4,"")))</f>
        <v>0</v>
      </c>
      <c r="Q22" s="39">
        <f>IF(COUNTIF(ERP导入清单!$X$5:$X$204,18)=0,"",INDEX(ERP导入清单!Q:Q,IFERROR(MATCH(18,ERP导入清单!$X$5:$X$204,0)+4,"")))</f>
        <v>2</v>
      </c>
      <c r="R22" s="59">
        <f>IF(COUNTIF(ERP导入清单!$X$5:$X$204,18)=0,"",INDEX(ERP导入清单!R:R,IFERROR(MATCH(18,ERP导入清单!$X$5:$X$204,0)+4,"")))</f>
        <v>32</v>
      </c>
      <c r="S22" s="37" t="str">
        <f>IF(COUNTIF(ERP导入清单!$X$5:$X$204,18)=0,"",INDEX(ERP导入清单!S:S,IFERROR(MATCH(18,ERP导入清单!$X$5:$X$204,0)+4,"")))</f>
        <v>件</v>
      </c>
      <c r="T22" s="37" t="str">
        <f>IF(COUNTIF(ERP导入清单!$X$5:$X$204,18)=0,"",INDEX(ERP导入清单!T:T,IFERROR(MATCH(18,ERP导入清单!$X$5:$X$204,0)+4,"")))</f>
        <v>激光切割&gt;折弯</v>
      </c>
      <c r="U22" s="37" t="str">
        <f>IF(COUNTIF(ERP导入清单!$X$5:$X$204,18)=0,"",INDEX(ERP导入清单!U:U,IFERROR(MATCH(18,ERP导入清单!$X$5:$X$204,0)+4,"")))</f>
        <v>按父组件需求数量×2</v>
      </c>
      <c r="V22" s="38">
        <f>IF(COUNTIF(ERP导入清单!$X$5:$X$204,18)=0,"",INDEX(ERP导入清单!V:V,IFERROR(MATCH(18,ERP导入清单!$X$5:$X$204,0)+4,"")))</f>
        <v>0</v>
      </c>
      <c r="W22" s="50" t="str">
        <f>IF(COUNTIF(ERP导入清单!$X$5:$X$204,18)=0,"",INDEX(ERP导入清单!W:W,IFERROR(MATCH(18,ERP导入清单!$X$5:$X$204,0)+4,"")))</f>
        <v>待确认</v>
      </c>
    </row>
    <row r="23" spans="1:23" ht="24" customHeight="1">
      <c r="A23" s="55">
        <f>IF(COUNTIF(ERP导入清单!$X$5:$X$204,19)=0,"",INDEX(ERP导入清单!A:A,IFERROR(MATCH(19,ERP导入清单!$X$5:$X$204,0)+4,"")))</f>
        <v>2</v>
      </c>
      <c r="B23" s="37" t="str">
        <f>IF(COUNTIF(ERP导入清单!$X$5:$X$204,19)=0,"",INDEX(ERP导入清单!B:B,IFERROR(MATCH(19,ERP导入清单!$X$5:$X$204,0)+4,"")))</f>
        <v>RSD-20260601-002</v>
      </c>
      <c r="C23" s="38">
        <f>IF(COUNTIF(ERP导入清单!$X$5:$X$204,19)=0,"",INDEX(ERP导入清单!C:C,IFERROR(MATCH(19,ERP导入清单!$X$5:$X$204,0)+4,"")))</f>
        <v>46174</v>
      </c>
      <c r="D23" s="37" t="str">
        <f>IF(COUNTIF(ERP导入清单!$X$5:$X$204,19)=0,"",INDEX(ERP导入清单!D:D,IFERROR(MATCH(19,ERP导入清单!$X$5:$X$204,0)+4,"")))</f>
        <v>合肥荣事达太阳能有限公司</v>
      </c>
      <c r="E23" s="37" t="str">
        <f>IF(COUNTIF(ERP导入清单!$X$5:$X$204,19)=0,"",INDEX(ERP导入清单!E:E,IFERROR(MATCH(19,ERP导入清单!$X$5:$X$204,0)+4,"")))</f>
        <v>B型5P</v>
      </c>
      <c r="F23" s="37" t="str">
        <f>IF(COUNTIF(ERP导入清单!$X$5:$X$204,19)=0,"",INDEX(ERP导入清单!F:F,IFERROR(MATCH(19,ERP导入清单!$X$5:$X$204,0)+4,"")))</f>
        <v>零件</v>
      </c>
      <c r="G23" s="57">
        <f>IF(COUNTIF(ERP导入清单!$X$5:$X$204,19)=0,"",INDEX(ERP导入清单!G:G,IFERROR(MATCH(19,ERP导入清单!$X$5:$X$204,0)+4,"")))</f>
        <v>5</v>
      </c>
      <c r="H23" s="37" t="str">
        <f>IF(COUNTIF(ERP导入清单!$X$5:$X$204,19)=0,"",INDEX(ERP导入清单!H:H,IFERROR(MATCH(19,ERP导入清单!$X$5:$X$204,0)+4,"")))</f>
        <v>外协件</v>
      </c>
      <c r="I23" s="57" t="str">
        <f>IF(COUNTIF(ERP导入清单!$X$5:$X$204,19)=0,"",INDEX(ERP导入清单!I:I,IFERROR(MATCH(19,ERP导入清单!$X$5:$X$204,0)+4,"")))</f>
        <v/>
      </c>
      <c r="J23" s="57" t="str">
        <f>IF(COUNTIF(ERP导入清单!$X$5:$X$204,19)=0,"",INDEX(ERP导入清单!J:J,IFERROR(MATCH(19,ERP导入清单!$X$5:$X$204,0)+4,"")))</f>
        <v/>
      </c>
      <c r="K23" s="37" t="str">
        <f>IF(COUNTIF(ERP导入清单!$X$5:$X$204,19)=0,"",INDEX(ERP导入清单!K:K,IFERROR(MATCH(19,ERP导入清单!$X$5:$X$204,0)+4,"")))</f>
        <v>RS107023</v>
      </c>
      <c r="L23" s="37" t="str">
        <f>IF(COUNTIF(ERP导入清单!$X$5:$X$204,19)=0,"",INDEX(ERP导入清单!L:L,IFERROR(MATCH(19,ERP导入清单!$X$5:$X$204,0)+4,"")))</f>
        <v>B5机型物料号-10-04</v>
      </c>
      <c r="M23" s="37" t="str">
        <f>IF(COUNTIF(ERP导入清单!$X$5:$X$204,19)=0,"",INDEX(ERP导入清单!M:M,IFERROR(MATCH(19,ERP导入清单!$X$5:$X$204,0)+4,"")))</f>
        <v>网罩</v>
      </c>
      <c r="N23" s="37">
        <f>IF(COUNTIF(ERP导入清单!$X$5:$X$204,19)=0,"",INDEX(ERP导入清单!N:N,IFERROR(MATCH(19,ERP导入清单!$X$5:$X$204,0)+4,"")))</f>
        <v>0</v>
      </c>
      <c r="O23" s="37">
        <f>IF(COUNTIF(ERP导入清单!$X$5:$X$204,19)=0,"",INDEX(ERP导入清单!O:O,IFERROR(MATCH(19,ERP导入清单!$X$5:$X$204,0)+4,"")))</f>
        <v>0</v>
      </c>
      <c r="P23" s="39">
        <f>IF(COUNTIF(ERP导入清单!$X$5:$X$204,19)=0,"",INDEX(ERP导入清单!P:P,IFERROR(MATCH(19,ERP导入清单!$X$5:$X$204,0)+4,"")))</f>
        <v>32</v>
      </c>
      <c r="Q23" s="39">
        <f>IF(COUNTIF(ERP导入清单!$X$5:$X$204,19)=0,"",INDEX(ERP导入清单!Q:Q,IFERROR(MATCH(19,ERP导入清单!$X$5:$X$204,0)+4,"")))</f>
        <v>0</v>
      </c>
      <c r="R23" s="59">
        <f>IF(COUNTIF(ERP导入清单!$X$5:$X$204,19)=0,"",INDEX(ERP导入清单!R:R,IFERROR(MATCH(19,ERP导入清单!$X$5:$X$204,0)+4,"")))</f>
        <v>32</v>
      </c>
      <c r="S23" s="37" t="str">
        <f>IF(COUNTIF(ERP导入清单!$X$5:$X$204,19)=0,"",INDEX(ERP导入清单!S:S,IFERROR(MATCH(19,ERP导入清单!$X$5:$X$204,0)+4,"")))</f>
        <v>件</v>
      </c>
      <c r="T23" s="37">
        <f>IF(COUNTIF(ERP导入清单!$X$5:$X$204,19)=0,"",INDEX(ERP导入清单!T:T,IFERROR(MATCH(19,ERP导入清单!$X$5:$X$204,0)+4,"")))</f>
        <v>0</v>
      </c>
      <c r="U23" s="37" t="str">
        <f>IF(COUNTIF(ERP导入清单!$X$5:$X$204,19)=0,"",INDEX(ERP导入清单!U:U,IFERROR(MATCH(19,ERP导入清单!$X$5:$X$204,0)+4,"")))</f>
        <v>钢丝网</v>
      </c>
      <c r="V23" s="38">
        <f>IF(COUNTIF(ERP导入清单!$X$5:$X$204,19)=0,"",INDEX(ERP导入清单!V:V,IFERROR(MATCH(19,ERP导入清单!$X$5:$X$204,0)+4,"")))</f>
        <v>0</v>
      </c>
      <c r="W23" s="50" t="str">
        <f>IF(COUNTIF(ERP导入清单!$X$5:$X$204,19)=0,"",INDEX(ERP导入清单!W:W,IFERROR(MATCH(19,ERP导入清单!$X$5:$X$204,0)+4,"")))</f>
        <v>旧图</v>
      </c>
    </row>
    <row r="24" spans="1:23" ht="24" customHeight="1">
      <c r="A24" s="55">
        <f>IF(COUNTIF(ERP导入清单!$X$5:$X$204,20)=0,"",INDEX(ERP导入清单!A:A,IFERROR(MATCH(20,ERP导入清单!$X$5:$X$204,0)+4,"")))</f>
        <v>3</v>
      </c>
      <c r="B24" s="37" t="str">
        <f>IF(COUNTIF(ERP导入清单!$X$5:$X$204,20)=0,"",INDEX(ERP导入清单!B:B,IFERROR(MATCH(20,ERP导入清单!$X$5:$X$204,0)+4,"")))</f>
        <v>RSD-20260615-003</v>
      </c>
      <c r="C24" s="38">
        <f>IF(COUNTIF(ERP导入清单!$X$5:$X$204,20)=0,"",INDEX(ERP导入清单!C:C,IFERROR(MATCH(20,ERP导入清单!$X$5:$X$204,0)+4,"")))</f>
        <v>46188</v>
      </c>
      <c r="D24" s="37" t="str">
        <f>IF(COUNTIF(ERP导入清单!$X$5:$X$204,20)=0,"",INDEX(ERP导入清单!D:D,IFERROR(MATCH(20,ERP导入清单!$X$5:$X$204,0)+4,"")))</f>
        <v>合肥荣事达太阳能有限公司</v>
      </c>
      <c r="E24" s="37" t="str">
        <f>IF(COUNTIF(ERP导入清单!$X$5:$X$204,20)=0,"",INDEX(ERP导入清单!E:E,IFERROR(MATCH(20,ERP导入清单!$X$5:$X$204,0)+4,"")))</f>
        <v>D型8P</v>
      </c>
      <c r="F24" s="37" t="str">
        <f>IF(COUNTIF(ERP导入清单!$X$5:$X$204,20)=0,"",INDEX(ERP导入清单!F:F,IFERROR(MATCH(20,ERP导入清单!$X$5:$X$204,0)+4,"")))</f>
        <v>零件</v>
      </c>
      <c r="G24" s="57">
        <f>IF(COUNTIF(ERP导入清单!$X$5:$X$204,20)=0,"",INDEX(ERP导入清单!G:G,IFERROR(MATCH(20,ERP导入清单!$X$5:$X$204,0)+4,"")))</f>
        <v>1</v>
      </c>
      <c r="H24" s="37" t="str">
        <f>IF(COUNTIF(ERP导入清单!$X$5:$X$204,20)=0,"",INDEX(ERP导入清单!H:H,IFERROR(MATCH(20,ERP导入清单!$X$5:$X$204,0)+4,"")))</f>
        <v>通用件</v>
      </c>
      <c r="I24" s="57" t="str">
        <f>IF(COUNTIF(ERP导入清单!$X$5:$X$204,20)=0,"",INDEX(ERP导入清单!I:I,IFERROR(MATCH(20,ERP导入清单!$X$5:$X$204,0)+4,"")))</f>
        <v/>
      </c>
      <c r="J24" s="57" t="str">
        <f>IF(COUNTIF(ERP导入清单!$X$5:$X$204,20)=0,"",INDEX(ERP导入清单!J:J,IFERROR(MATCH(20,ERP导入清单!$X$5:$X$204,0)+4,"")))</f>
        <v/>
      </c>
      <c r="K24" s="37" t="str">
        <f>IF(COUNTIF(ERP导入清单!$X$5:$X$204,20)=0,"",INDEX(ERP导入清单!K:K,IFERROR(MATCH(20,ERP导入清单!$X$5:$X$204,0)+4,"")))</f>
        <v>RS20703010033</v>
      </c>
      <c r="L24" s="37" t="str">
        <f>IF(COUNTIF(ERP导入清单!$X$5:$X$204,20)=0,"",INDEX(ERP导入清单!L:L,IFERROR(MATCH(20,ERP导入清单!$X$5:$X$204,0)+4,"")))</f>
        <v>D8-10-50-01</v>
      </c>
      <c r="M24" s="37" t="str">
        <f>IF(COUNTIF(ERP导入清单!$X$5:$X$204,20)=0,"",INDEX(ERP导入清单!M:M,IFERROR(MATCH(20,ERP导入清单!$X$5:$X$204,0)+4,"")))</f>
        <v>顶盖</v>
      </c>
      <c r="N24" s="37">
        <f>IF(COUNTIF(ERP导入清单!$X$5:$X$204,20)=0,"",INDEX(ERP导入清单!N:N,IFERROR(MATCH(20,ERP导入清单!$X$5:$X$204,0)+4,"")))</f>
        <v>0</v>
      </c>
      <c r="O24" s="37" t="str">
        <f>IF(COUNTIF(ERP导入清单!$X$5:$X$204,20)=0,"",INDEX(ERP导入清单!O:O,IFERROR(MATCH(20,ERP导入清单!$X$5:$X$204,0)+4,"")))</f>
        <v>1mm</v>
      </c>
      <c r="P24" s="39">
        <f>IF(COUNTIF(ERP导入清单!$X$5:$X$204,20)=0,"",INDEX(ERP导入清单!P:P,IFERROR(MATCH(20,ERP导入清单!$X$5:$X$204,0)+4,"")))</f>
        <v>8</v>
      </c>
      <c r="Q24" s="39">
        <f>IF(COUNTIF(ERP导入清单!$X$5:$X$204,20)=0,"",INDEX(ERP导入清单!Q:Q,IFERROR(MATCH(20,ERP导入清单!$X$5:$X$204,0)+4,"")))</f>
        <v>0</v>
      </c>
      <c r="R24" s="59">
        <f>IF(COUNTIF(ERP导入清单!$X$5:$X$204,20)=0,"",INDEX(ERP导入清单!R:R,IFERROR(MATCH(20,ERP导入清单!$X$5:$X$204,0)+4,"")))</f>
        <v>8</v>
      </c>
      <c r="S24" s="37" t="str">
        <f>IF(COUNTIF(ERP导入清单!$X$5:$X$204,20)=0,"",INDEX(ERP导入清单!S:S,IFERROR(MATCH(20,ERP导入清单!$X$5:$X$204,0)+4,"")))</f>
        <v>件</v>
      </c>
      <c r="T24" s="37">
        <f>IF(COUNTIF(ERP导入清单!$X$5:$X$204,20)=0,"",INDEX(ERP导入清单!T:T,IFERROR(MATCH(20,ERP导入清单!$X$5:$X$204,0)+4,"")))</f>
        <v>0</v>
      </c>
      <c r="U24" s="37" t="str">
        <f>IF(COUNTIF(ERP导入清单!$X$5:$X$204,20)=0,"",INDEX(ERP导入清单!U:U,IFERROR(MATCH(20,ERP导入清单!$X$5:$X$204,0)+4,"")))</f>
        <v>样机款</v>
      </c>
      <c r="V24" s="38">
        <f>IF(COUNTIF(ERP导入清单!$X$5:$X$204,20)=0,"",INDEX(ERP导入清单!V:V,IFERROR(MATCH(20,ERP导入清单!$X$5:$X$204,0)+4,"")))</f>
        <v>0</v>
      </c>
      <c r="W24" s="50" t="str">
        <f>IF(COUNTIF(ERP导入清单!$X$5:$X$204,20)=0,"",INDEX(ERP导入清单!W:W,IFERROR(MATCH(20,ERP导入清单!$X$5:$X$204,0)+4,"")))</f>
        <v>新图</v>
      </c>
    </row>
    <row r="25" spans="1:23" ht="24" customHeight="1">
      <c r="A25" s="55">
        <f>IF(COUNTIF(ERP导入清单!$X$5:$X$204,21)=0,"",INDEX(ERP导入清单!A:A,IFERROR(MATCH(21,ERP导入清单!$X$5:$X$204,0)+4,"")))</f>
        <v>3</v>
      </c>
      <c r="B25" s="37" t="str">
        <f>IF(COUNTIF(ERP导入清单!$X$5:$X$204,21)=0,"",INDEX(ERP导入清单!B:B,IFERROR(MATCH(21,ERP导入清单!$X$5:$X$204,0)+4,"")))</f>
        <v>RSD-20260615-003</v>
      </c>
      <c r="C25" s="38">
        <f>IF(COUNTIF(ERP导入清单!$X$5:$X$204,21)=0,"",INDEX(ERP导入清单!C:C,IFERROR(MATCH(21,ERP导入清单!$X$5:$X$204,0)+4,"")))</f>
        <v>46188</v>
      </c>
      <c r="D25" s="37" t="str">
        <f>IF(COUNTIF(ERP导入清单!$X$5:$X$204,21)=0,"",INDEX(ERP导入清单!D:D,IFERROR(MATCH(21,ERP导入清单!$X$5:$X$204,0)+4,"")))</f>
        <v>合肥荣事达太阳能有限公司</v>
      </c>
      <c r="E25" s="37" t="str">
        <f>IF(COUNTIF(ERP导入清单!$X$5:$X$204,21)=0,"",INDEX(ERP导入清单!E:E,IFERROR(MATCH(21,ERP导入清单!$X$5:$X$204,0)+4,"")))</f>
        <v>D型8P</v>
      </c>
      <c r="F25" s="37" t="str">
        <f>IF(COUNTIF(ERP导入清单!$X$5:$X$204,21)=0,"",INDEX(ERP导入清单!F:F,IFERROR(MATCH(21,ERP导入清单!$X$5:$X$204,0)+4,"")))</f>
        <v>组件</v>
      </c>
      <c r="G25" s="57">
        <f>IF(COUNTIF(ERP导入清单!$X$5:$X$204,21)=0,"",INDEX(ERP导入清单!G:G,IFERROR(MATCH(21,ERP导入清单!$X$5:$X$204,0)+4,"")))</f>
        <v>2</v>
      </c>
      <c r="H25" s="37" t="str">
        <f>IF(COUNTIF(ERP导入清单!$X$5:$X$204,21)=0,"",INDEX(ERP导入清单!H:H,IFERROR(MATCH(21,ERP导入清单!$X$5:$X$204,0)+4,"")))</f>
        <v>通用件</v>
      </c>
      <c r="I25" s="57" t="str">
        <f>IF(COUNTIF(ERP导入清单!$X$5:$X$204,21)=0,"",INDEX(ERP导入清单!I:I,IFERROR(MATCH(21,ERP导入清单!$X$5:$X$204,0)+4,"")))</f>
        <v>C001</v>
      </c>
      <c r="J25" s="57" t="str">
        <f>IF(COUNTIF(ERP导入清单!$X$5:$X$204,21)=0,"",INDEX(ERP导入清单!J:J,IFERROR(MATCH(21,ERP导入清单!$X$5:$X$204,0)+4,"")))</f>
        <v/>
      </c>
      <c r="K25" s="37" t="str">
        <f>IF(COUNTIF(ERP导入清单!$X$5:$X$204,21)=0,"",INDEX(ERP导入清单!K:K,IFERROR(MATCH(21,ERP导入清单!$X$5:$X$204,0)+4,"")))</f>
        <v>RS20701020216</v>
      </c>
      <c r="L25" s="37" t="str">
        <f>IF(COUNTIF(ERP导入清单!$X$5:$X$204,21)=0,"",INDEX(ERP导入清单!L:L,IFERROR(MATCH(21,ERP导入清单!$X$5:$X$204,0)+4,"")))</f>
        <v>D8-10-30</v>
      </c>
      <c r="M25" s="37" t="str">
        <f>IF(COUNTIF(ERP导入清单!$X$5:$X$204,21)=0,"",INDEX(ERP导入清单!M:M,IFERROR(MATCH(21,ERP导入清单!$X$5:$X$204,0)+4,"")))</f>
        <v>电控支架组件</v>
      </c>
      <c r="N25" s="37">
        <f>IF(COUNTIF(ERP导入清单!$X$5:$X$204,21)=0,"",INDEX(ERP导入清单!N:N,IFERROR(MATCH(21,ERP导入清单!$X$5:$X$204,0)+4,"")))</f>
        <v>0</v>
      </c>
      <c r="O25" s="37" t="str">
        <f>IF(COUNTIF(ERP导入清单!$X$5:$X$204,21)=0,"",INDEX(ERP导入清单!O:O,IFERROR(MATCH(21,ERP导入清单!$X$5:$X$204,0)+4,"")))</f>
        <v>2mm</v>
      </c>
      <c r="P25" s="39">
        <f>IF(COUNTIF(ERP导入清单!$X$5:$X$204,21)=0,"",INDEX(ERP导入清单!P:P,IFERROR(MATCH(21,ERP导入清单!$X$5:$X$204,0)+4,"")))</f>
        <v>8</v>
      </c>
      <c r="Q25" s="39">
        <f>IF(COUNTIF(ERP导入清单!$X$5:$X$204,21)=0,"",INDEX(ERP导入清单!Q:Q,IFERROR(MATCH(21,ERP导入清单!$X$5:$X$204,0)+4,"")))</f>
        <v>1</v>
      </c>
      <c r="R25" s="59">
        <f>IF(COUNTIF(ERP导入清单!$X$5:$X$204,21)=0,"",INDEX(ERP导入清单!R:R,IFERROR(MATCH(21,ERP导入清单!$X$5:$X$204,0)+4,"")))</f>
        <v>8</v>
      </c>
      <c r="S25" s="37" t="str">
        <f>IF(COUNTIF(ERP导入清单!$X$5:$X$204,21)=0,"",INDEX(ERP导入清单!S:S,IFERROR(MATCH(21,ERP导入清单!$X$5:$X$204,0)+4,"")))</f>
        <v>套</v>
      </c>
      <c r="T25" s="37" t="str">
        <f>IF(COUNTIF(ERP导入清单!$X$5:$X$204,21)=0,"",INDEX(ERP导入清单!T:T,IFERROR(MATCH(21,ERP导入清单!$X$5:$X$204,0)+4,"")))</f>
        <v>装配</v>
      </c>
      <c r="U25" s="37" t="str">
        <f>IF(COUNTIF(ERP导入清单!$X$5:$X$204,21)=0,"",INDEX(ERP导入清单!U:U,IFERROR(MATCH(21,ERP导入清单!$X$5:$X$204,0)+4,"")))</f>
        <v>螺丝组装</v>
      </c>
      <c r="V25" s="38">
        <f>IF(COUNTIF(ERP导入清单!$X$5:$X$204,21)=0,"",INDEX(ERP导入清单!V:V,IFERROR(MATCH(21,ERP导入清单!$X$5:$X$204,0)+4,"")))</f>
        <v>46188</v>
      </c>
      <c r="W25" s="50" t="str">
        <f>IF(COUNTIF(ERP导入清单!$X$5:$X$204,21)=0,"",INDEX(ERP导入清单!W:W,IFERROR(MATCH(21,ERP导入清单!$X$5:$X$204,0)+4,"")))</f>
        <v>新图</v>
      </c>
    </row>
    <row r="26" spans="1:23" ht="24" customHeight="1">
      <c r="A26" s="55">
        <f>IF(COUNTIF(ERP导入清单!$X$5:$X$204,22)=0,"",INDEX(ERP导入清单!A:A,IFERROR(MATCH(22,ERP导入清单!$X$5:$X$204,0)+4,"")))</f>
        <v>3</v>
      </c>
      <c r="B26" s="37" t="str">
        <f>IF(COUNTIF(ERP导入清单!$X$5:$X$204,22)=0,"",INDEX(ERP导入清单!B:B,IFERROR(MATCH(22,ERP导入清单!$X$5:$X$204,0)+4,"")))</f>
        <v>RSD-20260615-003</v>
      </c>
      <c r="C26" s="38">
        <f>IF(COUNTIF(ERP导入清单!$X$5:$X$204,22)=0,"",INDEX(ERP导入清单!C:C,IFERROR(MATCH(22,ERP导入清单!$X$5:$X$204,0)+4,"")))</f>
        <v>46188</v>
      </c>
      <c r="D26" s="37" t="str">
        <f>IF(COUNTIF(ERP导入清单!$X$5:$X$204,22)=0,"",INDEX(ERP导入清单!D:D,IFERROR(MATCH(22,ERP导入清单!$X$5:$X$204,0)+4,"")))</f>
        <v>合肥荣事达太阳能有限公司</v>
      </c>
      <c r="E26" s="37" t="str">
        <f>IF(COUNTIF(ERP导入清单!$X$5:$X$204,22)=0,"",INDEX(ERP导入清单!E:E,IFERROR(MATCH(22,ERP导入清单!$X$5:$X$204,0)+4,"")))</f>
        <v>D型8P</v>
      </c>
      <c r="F26" s="37" t="str">
        <f>IF(COUNTIF(ERP导入清单!$X$5:$X$204,22)=0,"",INDEX(ERP导入清单!F:F,IFERROR(MATCH(22,ERP导入清单!$X$5:$X$204,0)+4,"")))</f>
        <v>零件</v>
      </c>
      <c r="G26" s="57" t="str">
        <f>IF(COUNTIF(ERP导入清单!$X$5:$X$204,22)=0,"",INDEX(ERP导入清单!G:G,IFERROR(MATCH(22,ERP导入清单!$X$5:$X$204,0)+4,"")))</f>
        <v>2.1</v>
      </c>
      <c r="H26" s="37" t="str">
        <f>IF(COUNTIF(ERP导入清单!$X$5:$X$204,22)=0,"",INDEX(ERP导入清单!H:H,IFERROR(MATCH(22,ERP导入清单!$X$5:$X$204,0)+4,"")))</f>
        <v>通用件</v>
      </c>
      <c r="I26" s="57" t="str">
        <f>IF(COUNTIF(ERP导入清单!$X$5:$X$204,22)=0,"",INDEX(ERP导入清单!I:I,IFERROR(MATCH(22,ERP导入清单!$X$5:$X$204,0)+4,"")))</f>
        <v/>
      </c>
      <c r="J26" s="57" t="str">
        <f>IF(COUNTIF(ERP导入清单!$X$5:$X$204,22)=0,"",INDEX(ERP导入清单!J:J,IFERROR(MATCH(22,ERP导入清单!$X$5:$X$204,0)+4,"")))</f>
        <v>C001</v>
      </c>
      <c r="K26" s="37">
        <f>IF(COUNTIF(ERP导入清单!$X$5:$X$204,22)=0,"",INDEX(ERP导入清单!K:K,IFERROR(MATCH(22,ERP导入清单!$X$5:$X$204,0)+4,"")))</f>
        <v>0</v>
      </c>
      <c r="L26" s="37" t="str">
        <f>IF(COUNTIF(ERP导入清单!$X$5:$X$204,22)=0,"",INDEX(ERP导入清单!L:L,IFERROR(MATCH(22,ERP导入清单!$X$5:$X$204,0)+4,"")))</f>
        <v>D8-10-30-A</v>
      </c>
      <c r="M26" s="37" t="str">
        <f>IF(COUNTIF(ERP导入清单!$X$5:$X$204,22)=0,"",INDEX(ERP导入清单!M:M,IFERROR(MATCH(22,ERP导入清单!$X$5:$X$204,0)+4,"")))</f>
        <v>支架主板</v>
      </c>
      <c r="N26" s="37">
        <f>IF(COUNTIF(ERP导入清单!$X$5:$X$204,22)=0,"",INDEX(ERP导入清单!N:N,IFERROR(MATCH(22,ERP导入清单!$X$5:$X$204,0)+4,"")))</f>
        <v>0</v>
      </c>
      <c r="O26" s="37" t="str">
        <f>IF(COUNTIF(ERP导入清单!$X$5:$X$204,22)=0,"",INDEX(ERP导入清单!O:O,IFERROR(MATCH(22,ERP导入清单!$X$5:$X$204,0)+4,"")))</f>
        <v>2mm</v>
      </c>
      <c r="P26" s="39">
        <f>IF(COUNTIF(ERP导入清单!$X$5:$X$204,22)=0,"",INDEX(ERP导入清单!P:P,IFERROR(MATCH(22,ERP导入清单!$X$5:$X$204,0)+4,"")))</f>
        <v>0</v>
      </c>
      <c r="Q26" s="39">
        <f>IF(COUNTIF(ERP导入清单!$X$5:$X$204,22)=0,"",INDEX(ERP导入清单!Q:Q,IFERROR(MATCH(22,ERP导入清单!$X$5:$X$204,0)+4,"")))</f>
        <v>1</v>
      </c>
      <c r="R26" s="59">
        <f>IF(COUNTIF(ERP导入清单!$X$5:$X$204,22)=0,"",INDEX(ERP导入清单!R:R,IFERROR(MATCH(22,ERP导入清单!$X$5:$X$204,0)+4,"")))</f>
        <v>8</v>
      </c>
      <c r="S26" s="37" t="str">
        <f>IF(COUNTIF(ERP导入清单!$X$5:$X$204,22)=0,"",INDEX(ERP导入清单!S:S,IFERROR(MATCH(22,ERP导入清单!$X$5:$X$204,0)+4,"")))</f>
        <v>件</v>
      </c>
      <c r="T26" s="37" t="str">
        <f>IF(COUNTIF(ERP导入清单!$X$5:$X$204,22)=0,"",INDEX(ERP导入清单!T:T,IFERROR(MATCH(22,ERP导入清单!$X$5:$X$204,0)+4,"")))</f>
        <v>激光切割&gt;折弯</v>
      </c>
      <c r="U26" s="37" t="str">
        <f>IF(COUNTIF(ERP导入清单!$X$5:$X$204,22)=0,"",INDEX(ERP导入清单!U:U,IFERROR(MATCH(22,ERP导入清单!$X$5:$X$204,0)+4,"")))</f>
        <v>组件 C001 的子件</v>
      </c>
      <c r="V26" s="38">
        <f>IF(COUNTIF(ERP导入清单!$X$5:$X$204,22)=0,"",INDEX(ERP导入清单!V:V,IFERROR(MATCH(22,ERP导入清单!$X$5:$X$204,0)+4,"")))</f>
        <v>46188</v>
      </c>
      <c r="W26" s="50" t="str">
        <f>IF(COUNTIF(ERP导入清单!$X$5:$X$204,22)=0,"",INDEX(ERP导入清单!W:W,IFERROR(MATCH(22,ERP导入清单!$X$5:$X$204,0)+4,"")))</f>
        <v>新图</v>
      </c>
    </row>
    <row r="27" spans="1:23" ht="24" customHeight="1">
      <c r="A27" s="55">
        <f>IF(COUNTIF(ERP导入清单!$X$5:$X$204,23)=0,"",INDEX(ERP导入清单!A:A,IFERROR(MATCH(23,ERP导入清单!$X$5:$X$204,0)+4,"")))</f>
        <v>3</v>
      </c>
      <c r="B27" s="37" t="str">
        <f>IF(COUNTIF(ERP导入清单!$X$5:$X$204,23)=0,"",INDEX(ERP导入清单!B:B,IFERROR(MATCH(23,ERP导入清单!$X$5:$X$204,0)+4,"")))</f>
        <v>RSD-20260615-003</v>
      </c>
      <c r="C27" s="38">
        <f>IF(COUNTIF(ERP导入清单!$X$5:$X$204,23)=0,"",INDEX(ERP导入清单!C:C,IFERROR(MATCH(23,ERP导入清单!$X$5:$X$204,0)+4,"")))</f>
        <v>46188</v>
      </c>
      <c r="D27" s="37" t="str">
        <f>IF(COUNTIF(ERP导入清单!$X$5:$X$204,23)=0,"",INDEX(ERP导入清单!D:D,IFERROR(MATCH(23,ERP导入清单!$X$5:$X$204,0)+4,"")))</f>
        <v>合肥荣事达太阳能有限公司</v>
      </c>
      <c r="E27" s="37" t="str">
        <f>IF(COUNTIF(ERP导入清单!$X$5:$X$204,23)=0,"",INDEX(ERP导入清单!E:E,IFERROR(MATCH(23,ERP导入清单!$X$5:$X$204,0)+4,"")))</f>
        <v>D型8P</v>
      </c>
      <c r="F27" s="37" t="str">
        <f>IF(COUNTIF(ERP导入清单!$X$5:$X$204,23)=0,"",INDEX(ERP导入清单!F:F,IFERROR(MATCH(23,ERP导入清单!$X$5:$X$204,0)+4,"")))</f>
        <v>零件</v>
      </c>
      <c r="G27" s="57" t="str">
        <f>IF(COUNTIF(ERP导入清单!$X$5:$X$204,23)=0,"",INDEX(ERP导入清单!G:G,IFERROR(MATCH(23,ERP导入清单!$X$5:$X$204,0)+4,"")))</f>
        <v>2.2</v>
      </c>
      <c r="H27" s="37" t="str">
        <f>IF(COUNTIF(ERP导入清单!$X$5:$X$204,23)=0,"",INDEX(ERP导入清单!H:H,IFERROR(MATCH(23,ERP导入清单!$X$5:$X$204,0)+4,"")))</f>
        <v>通用件</v>
      </c>
      <c r="I27" s="57" t="str">
        <f>IF(COUNTIF(ERP导入清单!$X$5:$X$204,23)=0,"",INDEX(ERP导入清单!I:I,IFERROR(MATCH(23,ERP导入清单!$X$5:$X$204,0)+4,"")))</f>
        <v/>
      </c>
      <c r="J27" s="57" t="str">
        <f>IF(COUNTIF(ERP导入清单!$X$5:$X$204,23)=0,"",INDEX(ERP导入清单!J:J,IFERROR(MATCH(23,ERP导入清单!$X$5:$X$204,0)+4,"")))</f>
        <v>C001</v>
      </c>
      <c r="K27" s="37">
        <f>IF(COUNTIF(ERP导入清单!$X$5:$X$204,23)=0,"",INDEX(ERP导入清单!K:K,IFERROR(MATCH(23,ERP导入清单!$X$5:$X$204,0)+4,"")))</f>
        <v>0</v>
      </c>
      <c r="L27" s="37" t="str">
        <f>IF(COUNTIF(ERP导入清单!$X$5:$X$204,23)=0,"",INDEX(ERP导入清单!L:L,IFERROR(MATCH(23,ERP导入清单!$X$5:$X$204,0)+4,"")))</f>
        <v>D8-10-30-B</v>
      </c>
      <c r="M27" s="37" t="str">
        <f>IF(COUNTIF(ERP导入清单!$X$5:$X$204,23)=0,"",INDEX(ERP导入清单!M:M,IFERROR(MATCH(23,ERP导入清单!$X$5:$X$204,0)+4,"")))</f>
        <v>支架加强片</v>
      </c>
      <c r="N27" s="37">
        <f>IF(COUNTIF(ERP导入清单!$X$5:$X$204,23)=0,"",INDEX(ERP导入清单!N:N,IFERROR(MATCH(23,ERP导入清单!$X$5:$X$204,0)+4,"")))</f>
        <v>0</v>
      </c>
      <c r="O27" s="37" t="str">
        <f>IF(COUNTIF(ERP导入清单!$X$5:$X$204,23)=0,"",INDEX(ERP导入清单!O:O,IFERROR(MATCH(23,ERP导入清单!$X$5:$X$204,0)+4,"")))</f>
        <v>1.5mm</v>
      </c>
      <c r="P27" s="39">
        <f>IF(COUNTIF(ERP导入清单!$X$5:$X$204,23)=0,"",INDEX(ERP导入清单!P:P,IFERROR(MATCH(23,ERP导入清单!$X$5:$X$204,0)+4,"")))</f>
        <v>0</v>
      </c>
      <c r="Q27" s="39">
        <f>IF(COUNTIF(ERP导入清单!$X$5:$X$204,23)=0,"",INDEX(ERP导入清单!Q:Q,IFERROR(MATCH(23,ERP导入清单!$X$5:$X$204,0)+4,"")))</f>
        <v>2</v>
      </c>
      <c r="R27" s="59">
        <f>IF(COUNTIF(ERP导入清单!$X$5:$X$204,23)=0,"",INDEX(ERP导入清单!R:R,IFERROR(MATCH(23,ERP导入清单!$X$5:$X$204,0)+4,"")))</f>
        <v>16</v>
      </c>
      <c r="S27" s="37" t="str">
        <f>IF(COUNTIF(ERP导入清单!$X$5:$X$204,23)=0,"",INDEX(ERP导入清单!S:S,IFERROR(MATCH(23,ERP导入清单!$X$5:$X$204,0)+4,"")))</f>
        <v>件</v>
      </c>
      <c r="T27" s="37" t="str">
        <f>IF(COUNTIF(ERP导入清单!$X$5:$X$204,23)=0,"",INDEX(ERP导入清单!T:T,IFERROR(MATCH(23,ERP导入清单!$X$5:$X$204,0)+4,"")))</f>
        <v>激光切割</v>
      </c>
      <c r="U27" s="37" t="str">
        <f>IF(COUNTIF(ERP导入清单!$X$5:$X$204,23)=0,"",INDEX(ERP导入清单!U:U,IFERROR(MATCH(23,ERP导入清单!$X$5:$X$204,0)+4,"")))</f>
        <v>每套组件 2 件</v>
      </c>
      <c r="V27" s="38">
        <f>IF(COUNTIF(ERP导入清单!$X$5:$X$204,23)=0,"",INDEX(ERP导入清单!V:V,IFERROR(MATCH(23,ERP导入清单!$X$5:$X$204,0)+4,"")))</f>
        <v>46188</v>
      </c>
      <c r="W27" s="50" t="str">
        <f>IF(COUNTIF(ERP导入清单!$X$5:$X$204,23)=0,"",INDEX(ERP导入清单!W:W,IFERROR(MATCH(23,ERP导入清单!$X$5:$X$204,0)+4,"")))</f>
        <v>新图</v>
      </c>
    </row>
    <row r="28" spans="1:23" ht="24" customHeight="1">
      <c r="A28" s="55">
        <f>IF(COUNTIF(ERP导入清单!$X$5:$X$204,24)=0,"",INDEX(ERP导入清单!A:A,IFERROR(MATCH(24,ERP导入清单!$X$5:$X$204,0)+4,"")))</f>
        <v>3</v>
      </c>
      <c r="B28" s="37" t="str">
        <f>IF(COUNTIF(ERP导入清单!$X$5:$X$204,24)=0,"",INDEX(ERP导入清单!B:B,IFERROR(MATCH(24,ERP导入清单!$X$5:$X$204,0)+4,"")))</f>
        <v>RSD-20260615-003</v>
      </c>
      <c r="C28" s="38">
        <f>IF(COUNTIF(ERP导入清单!$X$5:$X$204,24)=0,"",INDEX(ERP导入清单!C:C,IFERROR(MATCH(24,ERP导入清单!$X$5:$X$204,0)+4,"")))</f>
        <v>46188</v>
      </c>
      <c r="D28" s="37" t="str">
        <f>IF(COUNTIF(ERP导入清单!$X$5:$X$204,24)=0,"",INDEX(ERP导入清单!D:D,IFERROR(MATCH(24,ERP导入清单!$X$5:$X$204,0)+4,"")))</f>
        <v>合肥荣事达太阳能有限公司</v>
      </c>
      <c r="E28" s="37" t="str">
        <f>IF(COUNTIF(ERP导入清单!$X$5:$X$204,24)=0,"",INDEX(ERP导入清单!E:E,IFERROR(MATCH(24,ERP导入清单!$X$5:$X$204,0)+4,"")))</f>
        <v>D型8P</v>
      </c>
      <c r="F28" s="37" t="str">
        <f>IF(COUNTIF(ERP导入清单!$X$5:$X$204,24)=0,"",INDEX(ERP导入清单!F:F,IFERROR(MATCH(24,ERP导入清单!$X$5:$X$204,0)+4,"")))</f>
        <v>零件</v>
      </c>
      <c r="G28" s="57">
        <f>IF(COUNTIF(ERP导入清单!$X$5:$X$204,24)=0,"",INDEX(ERP导入清单!G:G,IFERROR(MATCH(24,ERP导入清单!$X$5:$X$204,0)+4,"")))</f>
        <v>3</v>
      </c>
      <c r="H28" s="37" t="str">
        <f>IF(COUNTIF(ERP导入清单!$X$5:$X$204,24)=0,"",INDEX(ERP导入清单!H:H,IFERROR(MATCH(24,ERP导入清单!$X$5:$X$204,0)+4,"")))</f>
        <v>外协件</v>
      </c>
      <c r="I28" s="57" t="str">
        <f>IF(COUNTIF(ERP导入清单!$X$5:$X$204,24)=0,"",INDEX(ERP导入清单!I:I,IFERROR(MATCH(24,ERP导入清单!$X$5:$X$204,0)+4,"")))</f>
        <v/>
      </c>
      <c r="J28" s="57" t="str">
        <f>IF(COUNTIF(ERP导入清单!$X$5:$X$204,24)=0,"",INDEX(ERP导入清单!J:J,IFERROR(MATCH(24,ERP导入清单!$X$5:$X$204,0)+4,"")))</f>
        <v/>
      </c>
      <c r="K28" s="37" t="str">
        <f>IF(COUNTIF(ERP导入清单!$X$5:$X$204,24)=0,"",INDEX(ERP导入清单!K:K,IFERROR(MATCH(24,ERP导入清单!$X$5:$X$204,0)+4,"")))</f>
        <v>RS20707010049</v>
      </c>
      <c r="L28" s="37" t="str">
        <f>IF(COUNTIF(ERP导入清单!$X$5:$X$204,24)=0,"",INDEX(ERP导入清单!L:L,IFERROR(MATCH(24,ERP导入清单!$X$5:$X$204,0)+4,"")))</f>
        <v>D8-10-04</v>
      </c>
      <c r="M28" s="37" t="str">
        <f>IF(COUNTIF(ERP导入清单!$X$5:$X$204,24)=0,"",INDEX(ERP导入清单!M:M,IFERROR(MATCH(24,ERP导入清单!$X$5:$X$204,0)+4,"")))</f>
        <v>网罩</v>
      </c>
      <c r="N28" s="37">
        <f>IF(COUNTIF(ERP导入清单!$X$5:$X$204,24)=0,"",INDEX(ERP导入清单!N:N,IFERROR(MATCH(24,ERP导入清单!$X$5:$X$204,0)+4,"")))</f>
        <v>0</v>
      </c>
      <c r="O28" s="37">
        <f>IF(COUNTIF(ERP导入清单!$X$5:$X$204,24)=0,"",INDEX(ERP导入清单!O:O,IFERROR(MATCH(24,ERP导入清单!$X$5:$X$204,0)+4,"")))</f>
        <v>0</v>
      </c>
      <c r="P28" s="39">
        <f>IF(COUNTIF(ERP导入清单!$X$5:$X$204,24)=0,"",INDEX(ERP导入清单!P:P,IFERROR(MATCH(24,ERP导入清单!$X$5:$X$204,0)+4,"")))</f>
        <v>8</v>
      </c>
      <c r="Q28" s="39">
        <f>IF(COUNTIF(ERP导入清单!$X$5:$X$204,24)=0,"",INDEX(ERP导入清单!Q:Q,IFERROR(MATCH(24,ERP导入清单!$X$5:$X$204,0)+4,"")))</f>
        <v>0</v>
      </c>
      <c r="R28" s="59">
        <f>IF(COUNTIF(ERP导入清单!$X$5:$X$204,24)=0,"",INDEX(ERP导入清单!R:R,IFERROR(MATCH(24,ERP导入清单!$X$5:$X$204,0)+4,"")))</f>
        <v>8</v>
      </c>
      <c r="S28" s="37" t="str">
        <f>IF(COUNTIF(ERP导入清单!$X$5:$X$204,24)=0,"",INDEX(ERP导入清单!S:S,IFERROR(MATCH(24,ERP导入清单!$X$5:$X$204,0)+4,"")))</f>
        <v>件</v>
      </c>
      <c r="T28" s="37">
        <f>IF(COUNTIF(ERP导入清单!$X$5:$X$204,24)=0,"",INDEX(ERP导入清单!T:T,IFERROR(MATCH(24,ERP导入清单!$X$5:$X$204,0)+4,"")))</f>
        <v>0</v>
      </c>
      <c r="U28" s="37" t="str">
        <f>IF(COUNTIF(ERP导入清单!$X$5:$X$204,24)=0,"",INDEX(ERP导入清单!U:U,IFERROR(MATCH(24,ERP导入清单!$X$5:$X$204,0)+4,"")))</f>
        <v>黑色</v>
      </c>
      <c r="V28" s="38">
        <f>IF(COUNTIF(ERP导入清单!$X$5:$X$204,24)=0,"",INDEX(ERP导入清单!V:V,IFERROR(MATCH(24,ERP导入清单!$X$5:$X$204,0)+4,"")))</f>
        <v>0</v>
      </c>
      <c r="W28" s="50" t="str">
        <f>IF(COUNTIF(ERP导入清单!$X$5:$X$204,24)=0,"",INDEX(ERP导入清单!W:W,IFERROR(MATCH(24,ERP导入清单!$X$5:$X$204,0)+4,"")))</f>
        <v>待确认</v>
      </c>
    </row>
    <row r="29" spans="1:23" ht="24" customHeight="1">
      <c r="A29" s="55" t="str">
        <f>IF(COUNTIF(ERP导入清单!$X$5:$X$204,25)=0,"",INDEX(ERP导入清单!A:A,IFERROR(MATCH(25,ERP导入清单!$X$5:$X$204,0)+4,"")))</f>
        <v/>
      </c>
      <c r="B29" s="37" t="str">
        <f>IF(COUNTIF(ERP导入清单!$X$5:$X$204,25)=0,"",INDEX(ERP导入清单!B:B,IFERROR(MATCH(25,ERP导入清单!$X$5:$X$204,0)+4,"")))</f>
        <v/>
      </c>
      <c r="C29" s="38" t="str">
        <f>IF(COUNTIF(ERP导入清单!$X$5:$X$204,25)=0,"",INDEX(ERP导入清单!C:C,IFERROR(MATCH(25,ERP导入清单!$X$5:$X$204,0)+4,"")))</f>
        <v/>
      </c>
      <c r="D29" s="37" t="str">
        <f>IF(COUNTIF(ERP导入清单!$X$5:$X$204,25)=0,"",INDEX(ERP导入清单!D:D,IFERROR(MATCH(25,ERP导入清单!$X$5:$X$204,0)+4,"")))</f>
        <v/>
      </c>
      <c r="E29" s="37" t="str">
        <f>IF(COUNTIF(ERP导入清单!$X$5:$X$204,25)=0,"",INDEX(ERP导入清单!E:E,IFERROR(MATCH(25,ERP导入清单!$X$5:$X$204,0)+4,"")))</f>
        <v/>
      </c>
      <c r="F29" s="37" t="str">
        <f>IF(COUNTIF(ERP导入清单!$X$5:$X$204,25)=0,"",INDEX(ERP导入清单!F:F,IFERROR(MATCH(25,ERP导入清单!$X$5:$X$204,0)+4,"")))</f>
        <v/>
      </c>
      <c r="G29" s="57" t="str">
        <f>IF(COUNTIF(ERP导入清单!$X$5:$X$204,25)=0,"",INDEX(ERP导入清单!G:G,IFERROR(MATCH(25,ERP导入清单!$X$5:$X$204,0)+4,"")))</f>
        <v/>
      </c>
      <c r="H29" s="37" t="str">
        <f>IF(COUNTIF(ERP导入清单!$X$5:$X$204,25)=0,"",INDEX(ERP导入清单!H:H,IFERROR(MATCH(25,ERP导入清单!$X$5:$X$204,0)+4,"")))</f>
        <v/>
      </c>
      <c r="I29" s="57" t="str">
        <f>IF(COUNTIF(ERP导入清单!$X$5:$X$204,25)=0,"",INDEX(ERP导入清单!I:I,IFERROR(MATCH(25,ERP导入清单!$X$5:$X$204,0)+4,"")))</f>
        <v/>
      </c>
      <c r="J29" s="57" t="str">
        <f>IF(COUNTIF(ERP导入清单!$X$5:$X$204,25)=0,"",INDEX(ERP导入清单!J:J,IFERROR(MATCH(25,ERP导入清单!$X$5:$X$204,0)+4,"")))</f>
        <v/>
      </c>
      <c r="K29" s="37" t="str">
        <f>IF(COUNTIF(ERP导入清单!$X$5:$X$204,25)=0,"",INDEX(ERP导入清单!K:K,IFERROR(MATCH(25,ERP导入清单!$X$5:$X$204,0)+4,"")))</f>
        <v/>
      </c>
      <c r="L29" s="37" t="str">
        <f>IF(COUNTIF(ERP导入清单!$X$5:$X$204,25)=0,"",INDEX(ERP导入清单!L:L,IFERROR(MATCH(25,ERP导入清单!$X$5:$X$204,0)+4,"")))</f>
        <v/>
      </c>
      <c r="M29" s="37" t="str">
        <f>IF(COUNTIF(ERP导入清单!$X$5:$X$204,25)=0,"",INDEX(ERP导入清单!M:M,IFERROR(MATCH(25,ERP导入清单!$X$5:$X$204,0)+4,"")))</f>
        <v/>
      </c>
      <c r="N29" s="37" t="str">
        <f>IF(COUNTIF(ERP导入清单!$X$5:$X$204,25)=0,"",INDEX(ERP导入清单!N:N,IFERROR(MATCH(25,ERP导入清单!$X$5:$X$204,0)+4,"")))</f>
        <v/>
      </c>
      <c r="O29" s="37" t="str">
        <f>IF(COUNTIF(ERP导入清单!$X$5:$X$204,25)=0,"",INDEX(ERP导入清单!O:O,IFERROR(MATCH(25,ERP导入清单!$X$5:$X$204,0)+4,"")))</f>
        <v/>
      </c>
      <c r="P29" s="39" t="str">
        <f>IF(COUNTIF(ERP导入清单!$X$5:$X$204,25)=0,"",INDEX(ERP导入清单!P:P,IFERROR(MATCH(25,ERP导入清单!$X$5:$X$204,0)+4,"")))</f>
        <v/>
      </c>
      <c r="Q29" s="39" t="str">
        <f>IF(COUNTIF(ERP导入清单!$X$5:$X$204,25)=0,"",INDEX(ERP导入清单!Q:Q,IFERROR(MATCH(25,ERP导入清单!$X$5:$X$204,0)+4,"")))</f>
        <v/>
      </c>
      <c r="R29" s="59" t="str">
        <f>IF(COUNTIF(ERP导入清单!$X$5:$X$204,25)=0,"",INDEX(ERP导入清单!R:R,IFERROR(MATCH(25,ERP导入清单!$X$5:$X$204,0)+4,"")))</f>
        <v/>
      </c>
      <c r="S29" s="37" t="str">
        <f>IF(COUNTIF(ERP导入清单!$X$5:$X$204,25)=0,"",INDEX(ERP导入清单!S:S,IFERROR(MATCH(25,ERP导入清单!$X$5:$X$204,0)+4,"")))</f>
        <v/>
      </c>
      <c r="T29" s="37" t="str">
        <f>IF(COUNTIF(ERP导入清单!$X$5:$X$204,25)=0,"",INDEX(ERP导入清单!T:T,IFERROR(MATCH(25,ERP导入清单!$X$5:$X$204,0)+4,"")))</f>
        <v/>
      </c>
      <c r="U29" s="37" t="str">
        <f>IF(COUNTIF(ERP导入清单!$X$5:$X$204,25)=0,"",INDEX(ERP导入清单!U:U,IFERROR(MATCH(25,ERP导入清单!$X$5:$X$204,0)+4,"")))</f>
        <v/>
      </c>
      <c r="V29" s="38" t="str">
        <f>IF(COUNTIF(ERP导入清单!$X$5:$X$204,25)=0,"",INDEX(ERP导入清单!V:V,IFERROR(MATCH(25,ERP导入清单!$X$5:$X$204,0)+4,"")))</f>
        <v/>
      </c>
      <c r="W29" s="50" t="str">
        <f>IF(COUNTIF(ERP导入清单!$X$5:$X$204,25)=0,"",INDEX(ERP导入清单!W:W,IFERROR(MATCH(25,ERP导入清单!$X$5:$X$204,0)+4,"")))</f>
        <v/>
      </c>
    </row>
    <row r="30" spans="1:23" ht="24" customHeight="1">
      <c r="A30" s="55" t="str">
        <f>IF(COUNTIF(ERP导入清单!$X$5:$X$204,26)=0,"",INDEX(ERP导入清单!A:A,IFERROR(MATCH(26,ERP导入清单!$X$5:$X$204,0)+4,"")))</f>
        <v/>
      </c>
      <c r="B30" s="37" t="str">
        <f>IF(COUNTIF(ERP导入清单!$X$5:$X$204,26)=0,"",INDEX(ERP导入清单!B:B,IFERROR(MATCH(26,ERP导入清单!$X$5:$X$204,0)+4,"")))</f>
        <v/>
      </c>
      <c r="C30" s="38" t="str">
        <f>IF(COUNTIF(ERP导入清单!$X$5:$X$204,26)=0,"",INDEX(ERP导入清单!C:C,IFERROR(MATCH(26,ERP导入清单!$X$5:$X$204,0)+4,"")))</f>
        <v/>
      </c>
      <c r="D30" s="37" t="str">
        <f>IF(COUNTIF(ERP导入清单!$X$5:$X$204,26)=0,"",INDEX(ERP导入清单!D:D,IFERROR(MATCH(26,ERP导入清单!$X$5:$X$204,0)+4,"")))</f>
        <v/>
      </c>
      <c r="E30" s="37" t="str">
        <f>IF(COUNTIF(ERP导入清单!$X$5:$X$204,26)=0,"",INDEX(ERP导入清单!E:E,IFERROR(MATCH(26,ERP导入清单!$X$5:$X$204,0)+4,"")))</f>
        <v/>
      </c>
      <c r="F30" s="37" t="str">
        <f>IF(COUNTIF(ERP导入清单!$X$5:$X$204,26)=0,"",INDEX(ERP导入清单!F:F,IFERROR(MATCH(26,ERP导入清单!$X$5:$X$204,0)+4,"")))</f>
        <v/>
      </c>
      <c r="G30" s="57" t="str">
        <f>IF(COUNTIF(ERP导入清单!$X$5:$X$204,26)=0,"",INDEX(ERP导入清单!G:G,IFERROR(MATCH(26,ERP导入清单!$X$5:$X$204,0)+4,"")))</f>
        <v/>
      </c>
      <c r="H30" s="37" t="str">
        <f>IF(COUNTIF(ERP导入清单!$X$5:$X$204,26)=0,"",INDEX(ERP导入清单!H:H,IFERROR(MATCH(26,ERP导入清单!$X$5:$X$204,0)+4,"")))</f>
        <v/>
      </c>
      <c r="I30" s="57" t="str">
        <f>IF(COUNTIF(ERP导入清单!$X$5:$X$204,26)=0,"",INDEX(ERP导入清单!I:I,IFERROR(MATCH(26,ERP导入清单!$X$5:$X$204,0)+4,"")))</f>
        <v/>
      </c>
      <c r="J30" s="57" t="str">
        <f>IF(COUNTIF(ERP导入清单!$X$5:$X$204,26)=0,"",INDEX(ERP导入清单!J:J,IFERROR(MATCH(26,ERP导入清单!$X$5:$X$204,0)+4,"")))</f>
        <v/>
      </c>
      <c r="K30" s="37" t="str">
        <f>IF(COUNTIF(ERP导入清单!$X$5:$X$204,26)=0,"",INDEX(ERP导入清单!K:K,IFERROR(MATCH(26,ERP导入清单!$X$5:$X$204,0)+4,"")))</f>
        <v/>
      </c>
      <c r="L30" s="37" t="str">
        <f>IF(COUNTIF(ERP导入清单!$X$5:$X$204,26)=0,"",INDEX(ERP导入清单!L:L,IFERROR(MATCH(26,ERP导入清单!$X$5:$X$204,0)+4,"")))</f>
        <v/>
      </c>
      <c r="M30" s="37" t="str">
        <f>IF(COUNTIF(ERP导入清单!$X$5:$X$204,26)=0,"",INDEX(ERP导入清单!M:M,IFERROR(MATCH(26,ERP导入清单!$X$5:$X$204,0)+4,"")))</f>
        <v/>
      </c>
      <c r="N30" s="37" t="str">
        <f>IF(COUNTIF(ERP导入清单!$X$5:$X$204,26)=0,"",INDEX(ERP导入清单!N:N,IFERROR(MATCH(26,ERP导入清单!$X$5:$X$204,0)+4,"")))</f>
        <v/>
      </c>
      <c r="O30" s="37" t="str">
        <f>IF(COUNTIF(ERP导入清单!$X$5:$X$204,26)=0,"",INDEX(ERP导入清单!O:O,IFERROR(MATCH(26,ERP导入清单!$X$5:$X$204,0)+4,"")))</f>
        <v/>
      </c>
      <c r="P30" s="39" t="str">
        <f>IF(COUNTIF(ERP导入清单!$X$5:$X$204,26)=0,"",INDEX(ERP导入清单!P:P,IFERROR(MATCH(26,ERP导入清单!$X$5:$X$204,0)+4,"")))</f>
        <v/>
      </c>
      <c r="Q30" s="39" t="str">
        <f>IF(COUNTIF(ERP导入清单!$X$5:$X$204,26)=0,"",INDEX(ERP导入清单!Q:Q,IFERROR(MATCH(26,ERP导入清单!$X$5:$X$204,0)+4,"")))</f>
        <v/>
      </c>
      <c r="R30" s="59" t="str">
        <f>IF(COUNTIF(ERP导入清单!$X$5:$X$204,26)=0,"",INDEX(ERP导入清单!R:R,IFERROR(MATCH(26,ERP导入清单!$X$5:$X$204,0)+4,"")))</f>
        <v/>
      </c>
      <c r="S30" s="37" t="str">
        <f>IF(COUNTIF(ERP导入清单!$X$5:$X$204,26)=0,"",INDEX(ERP导入清单!S:S,IFERROR(MATCH(26,ERP导入清单!$X$5:$X$204,0)+4,"")))</f>
        <v/>
      </c>
      <c r="T30" s="37" t="str">
        <f>IF(COUNTIF(ERP导入清单!$X$5:$X$204,26)=0,"",INDEX(ERP导入清单!T:T,IFERROR(MATCH(26,ERP导入清单!$X$5:$X$204,0)+4,"")))</f>
        <v/>
      </c>
      <c r="U30" s="37" t="str">
        <f>IF(COUNTIF(ERP导入清单!$X$5:$X$204,26)=0,"",INDEX(ERP导入清单!U:U,IFERROR(MATCH(26,ERP导入清单!$X$5:$X$204,0)+4,"")))</f>
        <v/>
      </c>
      <c r="V30" s="38" t="str">
        <f>IF(COUNTIF(ERP导入清单!$X$5:$X$204,26)=0,"",INDEX(ERP导入清单!V:V,IFERROR(MATCH(26,ERP导入清单!$X$5:$X$204,0)+4,"")))</f>
        <v/>
      </c>
      <c r="W30" s="50" t="str">
        <f>IF(COUNTIF(ERP导入清单!$X$5:$X$204,26)=0,"",INDEX(ERP导入清单!W:W,IFERROR(MATCH(26,ERP导入清单!$X$5:$X$204,0)+4,"")))</f>
        <v/>
      </c>
    </row>
    <row r="31" spans="1:23" ht="24" customHeight="1">
      <c r="A31" s="55" t="str">
        <f>IF(COUNTIF(ERP导入清单!$X$5:$X$204,27)=0,"",INDEX(ERP导入清单!A:A,IFERROR(MATCH(27,ERP导入清单!$X$5:$X$204,0)+4,"")))</f>
        <v/>
      </c>
      <c r="B31" s="37" t="str">
        <f>IF(COUNTIF(ERP导入清单!$X$5:$X$204,27)=0,"",INDEX(ERP导入清单!B:B,IFERROR(MATCH(27,ERP导入清单!$X$5:$X$204,0)+4,"")))</f>
        <v/>
      </c>
      <c r="C31" s="38" t="str">
        <f>IF(COUNTIF(ERP导入清单!$X$5:$X$204,27)=0,"",INDEX(ERP导入清单!C:C,IFERROR(MATCH(27,ERP导入清单!$X$5:$X$204,0)+4,"")))</f>
        <v/>
      </c>
      <c r="D31" s="37" t="str">
        <f>IF(COUNTIF(ERP导入清单!$X$5:$X$204,27)=0,"",INDEX(ERP导入清单!D:D,IFERROR(MATCH(27,ERP导入清单!$X$5:$X$204,0)+4,"")))</f>
        <v/>
      </c>
      <c r="E31" s="37" t="str">
        <f>IF(COUNTIF(ERP导入清单!$X$5:$X$204,27)=0,"",INDEX(ERP导入清单!E:E,IFERROR(MATCH(27,ERP导入清单!$X$5:$X$204,0)+4,"")))</f>
        <v/>
      </c>
      <c r="F31" s="37" t="str">
        <f>IF(COUNTIF(ERP导入清单!$X$5:$X$204,27)=0,"",INDEX(ERP导入清单!F:F,IFERROR(MATCH(27,ERP导入清单!$X$5:$X$204,0)+4,"")))</f>
        <v/>
      </c>
      <c r="G31" s="57" t="str">
        <f>IF(COUNTIF(ERP导入清单!$X$5:$X$204,27)=0,"",INDEX(ERP导入清单!G:G,IFERROR(MATCH(27,ERP导入清单!$X$5:$X$204,0)+4,"")))</f>
        <v/>
      </c>
      <c r="H31" s="37" t="str">
        <f>IF(COUNTIF(ERP导入清单!$X$5:$X$204,27)=0,"",INDEX(ERP导入清单!H:H,IFERROR(MATCH(27,ERP导入清单!$X$5:$X$204,0)+4,"")))</f>
        <v/>
      </c>
      <c r="I31" s="57" t="str">
        <f>IF(COUNTIF(ERP导入清单!$X$5:$X$204,27)=0,"",INDEX(ERP导入清单!I:I,IFERROR(MATCH(27,ERP导入清单!$X$5:$X$204,0)+4,"")))</f>
        <v/>
      </c>
      <c r="J31" s="57" t="str">
        <f>IF(COUNTIF(ERP导入清单!$X$5:$X$204,27)=0,"",INDEX(ERP导入清单!J:J,IFERROR(MATCH(27,ERP导入清单!$X$5:$X$204,0)+4,"")))</f>
        <v/>
      </c>
      <c r="K31" s="37" t="str">
        <f>IF(COUNTIF(ERP导入清单!$X$5:$X$204,27)=0,"",INDEX(ERP导入清单!K:K,IFERROR(MATCH(27,ERP导入清单!$X$5:$X$204,0)+4,"")))</f>
        <v/>
      </c>
      <c r="L31" s="37" t="str">
        <f>IF(COUNTIF(ERP导入清单!$X$5:$X$204,27)=0,"",INDEX(ERP导入清单!L:L,IFERROR(MATCH(27,ERP导入清单!$X$5:$X$204,0)+4,"")))</f>
        <v/>
      </c>
      <c r="M31" s="37" t="str">
        <f>IF(COUNTIF(ERP导入清单!$X$5:$X$204,27)=0,"",INDEX(ERP导入清单!M:M,IFERROR(MATCH(27,ERP导入清单!$X$5:$X$204,0)+4,"")))</f>
        <v/>
      </c>
      <c r="N31" s="37" t="str">
        <f>IF(COUNTIF(ERP导入清单!$X$5:$X$204,27)=0,"",INDEX(ERP导入清单!N:N,IFERROR(MATCH(27,ERP导入清单!$X$5:$X$204,0)+4,"")))</f>
        <v/>
      </c>
      <c r="O31" s="37" t="str">
        <f>IF(COUNTIF(ERP导入清单!$X$5:$X$204,27)=0,"",INDEX(ERP导入清单!O:O,IFERROR(MATCH(27,ERP导入清单!$X$5:$X$204,0)+4,"")))</f>
        <v/>
      </c>
      <c r="P31" s="39" t="str">
        <f>IF(COUNTIF(ERP导入清单!$X$5:$X$204,27)=0,"",INDEX(ERP导入清单!P:P,IFERROR(MATCH(27,ERP导入清单!$X$5:$X$204,0)+4,"")))</f>
        <v/>
      </c>
      <c r="Q31" s="39" t="str">
        <f>IF(COUNTIF(ERP导入清单!$X$5:$X$204,27)=0,"",INDEX(ERP导入清单!Q:Q,IFERROR(MATCH(27,ERP导入清单!$X$5:$X$204,0)+4,"")))</f>
        <v/>
      </c>
      <c r="R31" s="59" t="str">
        <f>IF(COUNTIF(ERP导入清单!$X$5:$X$204,27)=0,"",INDEX(ERP导入清单!R:R,IFERROR(MATCH(27,ERP导入清单!$X$5:$X$204,0)+4,"")))</f>
        <v/>
      </c>
      <c r="S31" s="37" t="str">
        <f>IF(COUNTIF(ERP导入清单!$X$5:$X$204,27)=0,"",INDEX(ERP导入清单!S:S,IFERROR(MATCH(27,ERP导入清单!$X$5:$X$204,0)+4,"")))</f>
        <v/>
      </c>
      <c r="T31" s="37" t="str">
        <f>IF(COUNTIF(ERP导入清单!$X$5:$X$204,27)=0,"",INDEX(ERP导入清单!T:T,IFERROR(MATCH(27,ERP导入清单!$X$5:$X$204,0)+4,"")))</f>
        <v/>
      </c>
      <c r="U31" s="37" t="str">
        <f>IF(COUNTIF(ERP导入清单!$X$5:$X$204,27)=0,"",INDEX(ERP导入清单!U:U,IFERROR(MATCH(27,ERP导入清单!$X$5:$X$204,0)+4,"")))</f>
        <v/>
      </c>
      <c r="V31" s="38" t="str">
        <f>IF(COUNTIF(ERP导入清单!$X$5:$X$204,27)=0,"",INDEX(ERP导入清单!V:V,IFERROR(MATCH(27,ERP导入清单!$X$5:$X$204,0)+4,"")))</f>
        <v/>
      </c>
      <c r="W31" s="50" t="str">
        <f>IF(COUNTIF(ERP导入清单!$X$5:$X$204,27)=0,"",INDEX(ERP导入清单!W:W,IFERROR(MATCH(27,ERP导入清单!$X$5:$X$204,0)+4,"")))</f>
        <v/>
      </c>
    </row>
    <row r="32" spans="1:23" ht="24" customHeight="1">
      <c r="A32" s="55" t="str">
        <f>IF(COUNTIF(ERP导入清单!$X$5:$X$204,28)=0,"",INDEX(ERP导入清单!A:A,IFERROR(MATCH(28,ERP导入清单!$X$5:$X$204,0)+4,"")))</f>
        <v/>
      </c>
      <c r="B32" s="37" t="str">
        <f>IF(COUNTIF(ERP导入清单!$X$5:$X$204,28)=0,"",INDEX(ERP导入清单!B:B,IFERROR(MATCH(28,ERP导入清单!$X$5:$X$204,0)+4,"")))</f>
        <v/>
      </c>
      <c r="C32" s="38" t="str">
        <f>IF(COUNTIF(ERP导入清单!$X$5:$X$204,28)=0,"",INDEX(ERP导入清单!C:C,IFERROR(MATCH(28,ERP导入清单!$X$5:$X$204,0)+4,"")))</f>
        <v/>
      </c>
      <c r="D32" s="37" t="str">
        <f>IF(COUNTIF(ERP导入清单!$X$5:$X$204,28)=0,"",INDEX(ERP导入清单!D:D,IFERROR(MATCH(28,ERP导入清单!$X$5:$X$204,0)+4,"")))</f>
        <v/>
      </c>
      <c r="E32" s="37" t="str">
        <f>IF(COUNTIF(ERP导入清单!$X$5:$X$204,28)=0,"",INDEX(ERP导入清单!E:E,IFERROR(MATCH(28,ERP导入清单!$X$5:$X$204,0)+4,"")))</f>
        <v/>
      </c>
      <c r="F32" s="37" t="str">
        <f>IF(COUNTIF(ERP导入清单!$X$5:$X$204,28)=0,"",INDEX(ERP导入清单!F:F,IFERROR(MATCH(28,ERP导入清单!$X$5:$X$204,0)+4,"")))</f>
        <v/>
      </c>
      <c r="G32" s="57" t="str">
        <f>IF(COUNTIF(ERP导入清单!$X$5:$X$204,28)=0,"",INDEX(ERP导入清单!G:G,IFERROR(MATCH(28,ERP导入清单!$X$5:$X$204,0)+4,"")))</f>
        <v/>
      </c>
      <c r="H32" s="37" t="str">
        <f>IF(COUNTIF(ERP导入清单!$X$5:$X$204,28)=0,"",INDEX(ERP导入清单!H:H,IFERROR(MATCH(28,ERP导入清单!$X$5:$X$204,0)+4,"")))</f>
        <v/>
      </c>
      <c r="I32" s="57" t="str">
        <f>IF(COUNTIF(ERP导入清单!$X$5:$X$204,28)=0,"",INDEX(ERP导入清单!I:I,IFERROR(MATCH(28,ERP导入清单!$X$5:$X$204,0)+4,"")))</f>
        <v/>
      </c>
      <c r="J32" s="57" t="str">
        <f>IF(COUNTIF(ERP导入清单!$X$5:$X$204,28)=0,"",INDEX(ERP导入清单!J:J,IFERROR(MATCH(28,ERP导入清单!$X$5:$X$204,0)+4,"")))</f>
        <v/>
      </c>
      <c r="K32" s="37" t="str">
        <f>IF(COUNTIF(ERP导入清单!$X$5:$X$204,28)=0,"",INDEX(ERP导入清单!K:K,IFERROR(MATCH(28,ERP导入清单!$X$5:$X$204,0)+4,"")))</f>
        <v/>
      </c>
      <c r="L32" s="37" t="str">
        <f>IF(COUNTIF(ERP导入清单!$X$5:$X$204,28)=0,"",INDEX(ERP导入清单!L:L,IFERROR(MATCH(28,ERP导入清单!$X$5:$X$204,0)+4,"")))</f>
        <v/>
      </c>
      <c r="M32" s="37" t="str">
        <f>IF(COUNTIF(ERP导入清单!$X$5:$X$204,28)=0,"",INDEX(ERP导入清单!M:M,IFERROR(MATCH(28,ERP导入清单!$X$5:$X$204,0)+4,"")))</f>
        <v/>
      </c>
      <c r="N32" s="37" t="str">
        <f>IF(COUNTIF(ERP导入清单!$X$5:$X$204,28)=0,"",INDEX(ERP导入清单!N:N,IFERROR(MATCH(28,ERP导入清单!$X$5:$X$204,0)+4,"")))</f>
        <v/>
      </c>
      <c r="O32" s="37" t="str">
        <f>IF(COUNTIF(ERP导入清单!$X$5:$X$204,28)=0,"",INDEX(ERP导入清单!O:O,IFERROR(MATCH(28,ERP导入清单!$X$5:$X$204,0)+4,"")))</f>
        <v/>
      </c>
      <c r="P32" s="39" t="str">
        <f>IF(COUNTIF(ERP导入清单!$X$5:$X$204,28)=0,"",INDEX(ERP导入清单!P:P,IFERROR(MATCH(28,ERP导入清单!$X$5:$X$204,0)+4,"")))</f>
        <v/>
      </c>
      <c r="Q32" s="39" t="str">
        <f>IF(COUNTIF(ERP导入清单!$X$5:$X$204,28)=0,"",INDEX(ERP导入清单!Q:Q,IFERROR(MATCH(28,ERP导入清单!$X$5:$X$204,0)+4,"")))</f>
        <v/>
      </c>
      <c r="R32" s="59" t="str">
        <f>IF(COUNTIF(ERP导入清单!$X$5:$X$204,28)=0,"",INDEX(ERP导入清单!R:R,IFERROR(MATCH(28,ERP导入清单!$X$5:$X$204,0)+4,"")))</f>
        <v/>
      </c>
      <c r="S32" s="37" t="str">
        <f>IF(COUNTIF(ERP导入清单!$X$5:$X$204,28)=0,"",INDEX(ERP导入清单!S:S,IFERROR(MATCH(28,ERP导入清单!$X$5:$X$204,0)+4,"")))</f>
        <v/>
      </c>
      <c r="T32" s="37" t="str">
        <f>IF(COUNTIF(ERP导入清单!$X$5:$X$204,28)=0,"",INDEX(ERP导入清单!T:T,IFERROR(MATCH(28,ERP导入清单!$X$5:$X$204,0)+4,"")))</f>
        <v/>
      </c>
      <c r="U32" s="37" t="str">
        <f>IF(COUNTIF(ERP导入清单!$X$5:$X$204,28)=0,"",INDEX(ERP导入清单!U:U,IFERROR(MATCH(28,ERP导入清单!$X$5:$X$204,0)+4,"")))</f>
        <v/>
      </c>
      <c r="V32" s="38" t="str">
        <f>IF(COUNTIF(ERP导入清单!$X$5:$X$204,28)=0,"",INDEX(ERP导入清单!V:V,IFERROR(MATCH(28,ERP导入清单!$X$5:$X$204,0)+4,"")))</f>
        <v/>
      </c>
      <c r="W32" s="50" t="str">
        <f>IF(COUNTIF(ERP导入清单!$X$5:$X$204,28)=0,"",INDEX(ERP导入清单!W:W,IFERROR(MATCH(28,ERP导入清单!$X$5:$X$204,0)+4,"")))</f>
        <v/>
      </c>
    </row>
    <row r="33" spans="1:23" ht="24" customHeight="1">
      <c r="A33" s="55" t="str">
        <f>IF(COUNTIF(ERP导入清单!$X$5:$X$204,29)=0,"",INDEX(ERP导入清单!A:A,IFERROR(MATCH(29,ERP导入清单!$X$5:$X$204,0)+4,"")))</f>
        <v/>
      </c>
      <c r="B33" s="37" t="str">
        <f>IF(COUNTIF(ERP导入清单!$X$5:$X$204,29)=0,"",INDEX(ERP导入清单!B:B,IFERROR(MATCH(29,ERP导入清单!$X$5:$X$204,0)+4,"")))</f>
        <v/>
      </c>
      <c r="C33" s="38" t="str">
        <f>IF(COUNTIF(ERP导入清单!$X$5:$X$204,29)=0,"",INDEX(ERP导入清单!C:C,IFERROR(MATCH(29,ERP导入清单!$X$5:$X$204,0)+4,"")))</f>
        <v/>
      </c>
      <c r="D33" s="37" t="str">
        <f>IF(COUNTIF(ERP导入清单!$X$5:$X$204,29)=0,"",INDEX(ERP导入清单!D:D,IFERROR(MATCH(29,ERP导入清单!$X$5:$X$204,0)+4,"")))</f>
        <v/>
      </c>
      <c r="E33" s="37" t="str">
        <f>IF(COUNTIF(ERP导入清单!$X$5:$X$204,29)=0,"",INDEX(ERP导入清单!E:E,IFERROR(MATCH(29,ERP导入清单!$X$5:$X$204,0)+4,"")))</f>
        <v/>
      </c>
      <c r="F33" s="37" t="str">
        <f>IF(COUNTIF(ERP导入清单!$X$5:$X$204,29)=0,"",INDEX(ERP导入清单!F:F,IFERROR(MATCH(29,ERP导入清单!$X$5:$X$204,0)+4,"")))</f>
        <v/>
      </c>
      <c r="G33" s="57" t="str">
        <f>IF(COUNTIF(ERP导入清单!$X$5:$X$204,29)=0,"",INDEX(ERP导入清单!G:G,IFERROR(MATCH(29,ERP导入清单!$X$5:$X$204,0)+4,"")))</f>
        <v/>
      </c>
      <c r="H33" s="37" t="str">
        <f>IF(COUNTIF(ERP导入清单!$X$5:$X$204,29)=0,"",INDEX(ERP导入清单!H:H,IFERROR(MATCH(29,ERP导入清单!$X$5:$X$204,0)+4,"")))</f>
        <v/>
      </c>
      <c r="I33" s="57" t="str">
        <f>IF(COUNTIF(ERP导入清单!$X$5:$X$204,29)=0,"",INDEX(ERP导入清单!I:I,IFERROR(MATCH(29,ERP导入清单!$X$5:$X$204,0)+4,"")))</f>
        <v/>
      </c>
      <c r="J33" s="57" t="str">
        <f>IF(COUNTIF(ERP导入清单!$X$5:$X$204,29)=0,"",INDEX(ERP导入清单!J:J,IFERROR(MATCH(29,ERP导入清单!$X$5:$X$204,0)+4,"")))</f>
        <v/>
      </c>
      <c r="K33" s="37" t="str">
        <f>IF(COUNTIF(ERP导入清单!$X$5:$X$204,29)=0,"",INDEX(ERP导入清单!K:K,IFERROR(MATCH(29,ERP导入清单!$X$5:$X$204,0)+4,"")))</f>
        <v/>
      </c>
      <c r="L33" s="37" t="str">
        <f>IF(COUNTIF(ERP导入清单!$X$5:$X$204,29)=0,"",INDEX(ERP导入清单!L:L,IFERROR(MATCH(29,ERP导入清单!$X$5:$X$204,0)+4,"")))</f>
        <v/>
      </c>
      <c r="M33" s="37" t="str">
        <f>IF(COUNTIF(ERP导入清单!$X$5:$X$204,29)=0,"",INDEX(ERP导入清单!M:M,IFERROR(MATCH(29,ERP导入清单!$X$5:$X$204,0)+4,"")))</f>
        <v/>
      </c>
      <c r="N33" s="37" t="str">
        <f>IF(COUNTIF(ERP导入清单!$X$5:$X$204,29)=0,"",INDEX(ERP导入清单!N:N,IFERROR(MATCH(29,ERP导入清单!$X$5:$X$204,0)+4,"")))</f>
        <v/>
      </c>
      <c r="O33" s="37" t="str">
        <f>IF(COUNTIF(ERP导入清单!$X$5:$X$204,29)=0,"",INDEX(ERP导入清单!O:O,IFERROR(MATCH(29,ERP导入清单!$X$5:$X$204,0)+4,"")))</f>
        <v/>
      </c>
      <c r="P33" s="39" t="str">
        <f>IF(COUNTIF(ERP导入清单!$X$5:$X$204,29)=0,"",INDEX(ERP导入清单!P:P,IFERROR(MATCH(29,ERP导入清单!$X$5:$X$204,0)+4,"")))</f>
        <v/>
      </c>
      <c r="Q33" s="39" t="str">
        <f>IF(COUNTIF(ERP导入清单!$X$5:$X$204,29)=0,"",INDEX(ERP导入清单!Q:Q,IFERROR(MATCH(29,ERP导入清单!$X$5:$X$204,0)+4,"")))</f>
        <v/>
      </c>
      <c r="R33" s="59" t="str">
        <f>IF(COUNTIF(ERP导入清单!$X$5:$X$204,29)=0,"",INDEX(ERP导入清单!R:R,IFERROR(MATCH(29,ERP导入清单!$X$5:$X$204,0)+4,"")))</f>
        <v/>
      </c>
      <c r="S33" s="37" t="str">
        <f>IF(COUNTIF(ERP导入清单!$X$5:$X$204,29)=0,"",INDEX(ERP导入清单!S:S,IFERROR(MATCH(29,ERP导入清单!$X$5:$X$204,0)+4,"")))</f>
        <v/>
      </c>
      <c r="T33" s="37" t="str">
        <f>IF(COUNTIF(ERP导入清单!$X$5:$X$204,29)=0,"",INDEX(ERP导入清单!T:T,IFERROR(MATCH(29,ERP导入清单!$X$5:$X$204,0)+4,"")))</f>
        <v/>
      </c>
      <c r="U33" s="37" t="str">
        <f>IF(COUNTIF(ERP导入清单!$X$5:$X$204,29)=0,"",INDEX(ERP导入清单!U:U,IFERROR(MATCH(29,ERP导入清单!$X$5:$X$204,0)+4,"")))</f>
        <v/>
      </c>
      <c r="V33" s="38" t="str">
        <f>IF(COUNTIF(ERP导入清单!$X$5:$X$204,29)=0,"",INDEX(ERP导入清单!V:V,IFERROR(MATCH(29,ERP导入清单!$X$5:$X$204,0)+4,"")))</f>
        <v/>
      </c>
      <c r="W33" s="50" t="str">
        <f>IF(COUNTIF(ERP导入清单!$X$5:$X$204,29)=0,"",INDEX(ERP导入清单!W:W,IFERROR(MATCH(29,ERP导入清单!$X$5:$X$204,0)+4,"")))</f>
        <v/>
      </c>
    </row>
    <row r="34" spans="1:23" ht="24" customHeight="1">
      <c r="A34" s="55" t="str">
        <f>IF(COUNTIF(ERP导入清单!$X$5:$X$204,30)=0,"",INDEX(ERP导入清单!A:A,IFERROR(MATCH(30,ERP导入清单!$X$5:$X$204,0)+4,"")))</f>
        <v/>
      </c>
      <c r="B34" s="37" t="str">
        <f>IF(COUNTIF(ERP导入清单!$X$5:$X$204,30)=0,"",INDEX(ERP导入清单!B:B,IFERROR(MATCH(30,ERP导入清单!$X$5:$X$204,0)+4,"")))</f>
        <v/>
      </c>
      <c r="C34" s="38" t="str">
        <f>IF(COUNTIF(ERP导入清单!$X$5:$X$204,30)=0,"",INDEX(ERP导入清单!C:C,IFERROR(MATCH(30,ERP导入清单!$X$5:$X$204,0)+4,"")))</f>
        <v/>
      </c>
      <c r="D34" s="37" t="str">
        <f>IF(COUNTIF(ERP导入清单!$X$5:$X$204,30)=0,"",INDEX(ERP导入清单!D:D,IFERROR(MATCH(30,ERP导入清单!$X$5:$X$204,0)+4,"")))</f>
        <v/>
      </c>
      <c r="E34" s="37" t="str">
        <f>IF(COUNTIF(ERP导入清单!$X$5:$X$204,30)=0,"",INDEX(ERP导入清单!E:E,IFERROR(MATCH(30,ERP导入清单!$X$5:$X$204,0)+4,"")))</f>
        <v/>
      </c>
      <c r="F34" s="37" t="str">
        <f>IF(COUNTIF(ERP导入清单!$X$5:$X$204,30)=0,"",INDEX(ERP导入清单!F:F,IFERROR(MATCH(30,ERP导入清单!$X$5:$X$204,0)+4,"")))</f>
        <v/>
      </c>
      <c r="G34" s="57" t="str">
        <f>IF(COUNTIF(ERP导入清单!$X$5:$X$204,30)=0,"",INDEX(ERP导入清单!G:G,IFERROR(MATCH(30,ERP导入清单!$X$5:$X$204,0)+4,"")))</f>
        <v/>
      </c>
      <c r="H34" s="37" t="str">
        <f>IF(COUNTIF(ERP导入清单!$X$5:$X$204,30)=0,"",INDEX(ERP导入清单!H:H,IFERROR(MATCH(30,ERP导入清单!$X$5:$X$204,0)+4,"")))</f>
        <v/>
      </c>
      <c r="I34" s="57" t="str">
        <f>IF(COUNTIF(ERP导入清单!$X$5:$X$204,30)=0,"",INDEX(ERP导入清单!I:I,IFERROR(MATCH(30,ERP导入清单!$X$5:$X$204,0)+4,"")))</f>
        <v/>
      </c>
      <c r="J34" s="57" t="str">
        <f>IF(COUNTIF(ERP导入清单!$X$5:$X$204,30)=0,"",INDEX(ERP导入清单!J:J,IFERROR(MATCH(30,ERP导入清单!$X$5:$X$204,0)+4,"")))</f>
        <v/>
      </c>
      <c r="K34" s="37" t="str">
        <f>IF(COUNTIF(ERP导入清单!$X$5:$X$204,30)=0,"",INDEX(ERP导入清单!K:K,IFERROR(MATCH(30,ERP导入清单!$X$5:$X$204,0)+4,"")))</f>
        <v/>
      </c>
      <c r="L34" s="37" t="str">
        <f>IF(COUNTIF(ERP导入清单!$X$5:$X$204,30)=0,"",INDEX(ERP导入清单!L:L,IFERROR(MATCH(30,ERP导入清单!$X$5:$X$204,0)+4,"")))</f>
        <v/>
      </c>
      <c r="M34" s="37" t="str">
        <f>IF(COUNTIF(ERP导入清单!$X$5:$X$204,30)=0,"",INDEX(ERP导入清单!M:M,IFERROR(MATCH(30,ERP导入清单!$X$5:$X$204,0)+4,"")))</f>
        <v/>
      </c>
      <c r="N34" s="37" t="str">
        <f>IF(COUNTIF(ERP导入清单!$X$5:$X$204,30)=0,"",INDEX(ERP导入清单!N:N,IFERROR(MATCH(30,ERP导入清单!$X$5:$X$204,0)+4,"")))</f>
        <v/>
      </c>
      <c r="O34" s="37" t="str">
        <f>IF(COUNTIF(ERP导入清单!$X$5:$X$204,30)=0,"",INDEX(ERP导入清单!O:O,IFERROR(MATCH(30,ERP导入清单!$X$5:$X$204,0)+4,"")))</f>
        <v/>
      </c>
      <c r="P34" s="39" t="str">
        <f>IF(COUNTIF(ERP导入清单!$X$5:$X$204,30)=0,"",INDEX(ERP导入清单!P:P,IFERROR(MATCH(30,ERP导入清单!$X$5:$X$204,0)+4,"")))</f>
        <v/>
      </c>
      <c r="Q34" s="39" t="str">
        <f>IF(COUNTIF(ERP导入清单!$X$5:$X$204,30)=0,"",INDEX(ERP导入清单!Q:Q,IFERROR(MATCH(30,ERP导入清单!$X$5:$X$204,0)+4,"")))</f>
        <v/>
      </c>
      <c r="R34" s="59" t="str">
        <f>IF(COUNTIF(ERP导入清单!$X$5:$X$204,30)=0,"",INDEX(ERP导入清单!R:R,IFERROR(MATCH(30,ERP导入清单!$X$5:$X$204,0)+4,"")))</f>
        <v/>
      </c>
      <c r="S34" s="37" t="str">
        <f>IF(COUNTIF(ERP导入清单!$X$5:$X$204,30)=0,"",INDEX(ERP导入清单!S:S,IFERROR(MATCH(30,ERP导入清单!$X$5:$X$204,0)+4,"")))</f>
        <v/>
      </c>
      <c r="T34" s="37" t="str">
        <f>IF(COUNTIF(ERP导入清单!$X$5:$X$204,30)=0,"",INDEX(ERP导入清单!T:T,IFERROR(MATCH(30,ERP导入清单!$X$5:$X$204,0)+4,"")))</f>
        <v/>
      </c>
      <c r="U34" s="37" t="str">
        <f>IF(COUNTIF(ERP导入清单!$X$5:$X$204,30)=0,"",INDEX(ERP导入清单!U:U,IFERROR(MATCH(30,ERP导入清单!$X$5:$X$204,0)+4,"")))</f>
        <v/>
      </c>
      <c r="V34" s="38" t="str">
        <f>IF(COUNTIF(ERP导入清单!$X$5:$X$204,30)=0,"",INDEX(ERP导入清单!V:V,IFERROR(MATCH(30,ERP导入清单!$X$5:$X$204,0)+4,"")))</f>
        <v/>
      </c>
      <c r="W34" s="50" t="str">
        <f>IF(COUNTIF(ERP导入清单!$X$5:$X$204,30)=0,"",INDEX(ERP导入清单!W:W,IFERROR(MATCH(30,ERP导入清单!$X$5:$X$204,0)+4,"")))</f>
        <v/>
      </c>
    </row>
    <row r="35" spans="1:23" ht="24" customHeight="1">
      <c r="A35" s="55" t="str">
        <f>IF(COUNTIF(ERP导入清单!$X$5:$X$204,31)=0,"",INDEX(ERP导入清单!A:A,IFERROR(MATCH(31,ERP导入清单!$X$5:$X$204,0)+4,"")))</f>
        <v/>
      </c>
      <c r="B35" s="37" t="str">
        <f>IF(COUNTIF(ERP导入清单!$X$5:$X$204,31)=0,"",INDEX(ERP导入清单!B:B,IFERROR(MATCH(31,ERP导入清单!$X$5:$X$204,0)+4,"")))</f>
        <v/>
      </c>
      <c r="C35" s="38" t="str">
        <f>IF(COUNTIF(ERP导入清单!$X$5:$X$204,31)=0,"",INDEX(ERP导入清单!C:C,IFERROR(MATCH(31,ERP导入清单!$X$5:$X$204,0)+4,"")))</f>
        <v/>
      </c>
      <c r="D35" s="37" t="str">
        <f>IF(COUNTIF(ERP导入清单!$X$5:$X$204,31)=0,"",INDEX(ERP导入清单!D:D,IFERROR(MATCH(31,ERP导入清单!$X$5:$X$204,0)+4,"")))</f>
        <v/>
      </c>
      <c r="E35" s="37" t="str">
        <f>IF(COUNTIF(ERP导入清单!$X$5:$X$204,31)=0,"",INDEX(ERP导入清单!E:E,IFERROR(MATCH(31,ERP导入清单!$X$5:$X$204,0)+4,"")))</f>
        <v/>
      </c>
      <c r="F35" s="37" t="str">
        <f>IF(COUNTIF(ERP导入清单!$X$5:$X$204,31)=0,"",INDEX(ERP导入清单!F:F,IFERROR(MATCH(31,ERP导入清单!$X$5:$X$204,0)+4,"")))</f>
        <v/>
      </c>
      <c r="G35" s="57" t="str">
        <f>IF(COUNTIF(ERP导入清单!$X$5:$X$204,31)=0,"",INDEX(ERP导入清单!G:G,IFERROR(MATCH(31,ERP导入清单!$X$5:$X$204,0)+4,"")))</f>
        <v/>
      </c>
      <c r="H35" s="37" t="str">
        <f>IF(COUNTIF(ERP导入清单!$X$5:$X$204,31)=0,"",INDEX(ERP导入清单!H:H,IFERROR(MATCH(31,ERP导入清单!$X$5:$X$204,0)+4,"")))</f>
        <v/>
      </c>
      <c r="I35" s="57" t="str">
        <f>IF(COUNTIF(ERP导入清单!$X$5:$X$204,31)=0,"",INDEX(ERP导入清单!I:I,IFERROR(MATCH(31,ERP导入清单!$X$5:$X$204,0)+4,"")))</f>
        <v/>
      </c>
      <c r="J35" s="57" t="str">
        <f>IF(COUNTIF(ERP导入清单!$X$5:$X$204,31)=0,"",INDEX(ERP导入清单!J:J,IFERROR(MATCH(31,ERP导入清单!$X$5:$X$204,0)+4,"")))</f>
        <v/>
      </c>
      <c r="K35" s="37" t="str">
        <f>IF(COUNTIF(ERP导入清单!$X$5:$X$204,31)=0,"",INDEX(ERP导入清单!K:K,IFERROR(MATCH(31,ERP导入清单!$X$5:$X$204,0)+4,"")))</f>
        <v/>
      </c>
      <c r="L35" s="37" t="str">
        <f>IF(COUNTIF(ERP导入清单!$X$5:$X$204,31)=0,"",INDEX(ERP导入清单!L:L,IFERROR(MATCH(31,ERP导入清单!$X$5:$X$204,0)+4,"")))</f>
        <v/>
      </c>
      <c r="M35" s="37" t="str">
        <f>IF(COUNTIF(ERP导入清单!$X$5:$X$204,31)=0,"",INDEX(ERP导入清单!M:M,IFERROR(MATCH(31,ERP导入清单!$X$5:$X$204,0)+4,"")))</f>
        <v/>
      </c>
      <c r="N35" s="37" t="str">
        <f>IF(COUNTIF(ERP导入清单!$X$5:$X$204,31)=0,"",INDEX(ERP导入清单!N:N,IFERROR(MATCH(31,ERP导入清单!$X$5:$X$204,0)+4,"")))</f>
        <v/>
      </c>
      <c r="O35" s="37" t="str">
        <f>IF(COUNTIF(ERP导入清单!$X$5:$X$204,31)=0,"",INDEX(ERP导入清单!O:O,IFERROR(MATCH(31,ERP导入清单!$X$5:$X$204,0)+4,"")))</f>
        <v/>
      </c>
      <c r="P35" s="39" t="str">
        <f>IF(COUNTIF(ERP导入清单!$X$5:$X$204,31)=0,"",INDEX(ERP导入清单!P:P,IFERROR(MATCH(31,ERP导入清单!$X$5:$X$204,0)+4,"")))</f>
        <v/>
      </c>
      <c r="Q35" s="39" t="str">
        <f>IF(COUNTIF(ERP导入清单!$X$5:$X$204,31)=0,"",INDEX(ERP导入清单!Q:Q,IFERROR(MATCH(31,ERP导入清单!$X$5:$X$204,0)+4,"")))</f>
        <v/>
      </c>
      <c r="R35" s="59" t="str">
        <f>IF(COUNTIF(ERP导入清单!$X$5:$X$204,31)=0,"",INDEX(ERP导入清单!R:R,IFERROR(MATCH(31,ERP导入清单!$X$5:$X$204,0)+4,"")))</f>
        <v/>
      </c>
      <c r="S35" s="37" t="str">
        <f>IF(COUNTIF(ERP导入清单!$X$5:$X$204,31)=0,"",INDEX(ERP导入清单!S:S,IFERROR(MATCH(31,ERP导入清单!$X$5:$X$204,0)+4,"")))</f>
        <v/>
      </c>
      <c r="T35" s="37" t="str">
        <f>IF(COUNTIF(ERP导入清单!$X$5:$X$204,31)=0,"",INDEX(ERP导入清单!T:T,IFERROR(MATCH(31,ERP导入清单!$X$5:$X$204,0)+4,"")))</f>
        <v/>
      </c>
      <c r="U35" s="37" t="str">
        <f>IF(COUNTIF(ERP导入清单!$X$5:$X$204,31)=0,"",INDEX(ERP导入清单!U:U,IFERROR(MATCH(31,ERP导入清单!$X$5:$X$204,0)+4,"")))</f>
        <v/>
      </c>
      <c r="V35" s="38" t="str">
        <f>IF(COUNTIF(ERP导入清单!$X$5:$X$204,31)=0,"",INDEX(ERP导入清单!V:V,IFERROR(MATCH(31,ERP导入清单!$X$5:$X$204,0)+4,"")))</f>
        <v/>
      </c>
      <c r="W35" s="50" t="str">
        <f>IF(COUNTIF(ERP导入清单!$X$5:$X$204,31)=0,"",INDEX(ERP导入清单!W:W,IFERROR(MATCH(31,ERP导入清单!$X$5:$X$204,0)+4,"")))</f>
        <v/>
      </c>
    </row>
    <row r="36" spans="1:23" ht="24" customHeight="1">
      <c r="A36" s="55" t="str">
        <f>IF(COUNTIF(ERP导入清单!$X$5:$X$204,32)=0,"",INDEX(ERP导入清单!A:A,IFERROR(MATCH(32,ERP导入清单!$X$5:$X$204,0)+4,"")))</f>
        <v/>
      </c>
      <c r="B36" s="37" t="str">
        <f>IF(COUNTIF(ERP导入清单!$X$5:$X$204,32)=0,"",INDEX(ERP导入清单!B:B,IFERROR(MATCH(32,ERP导入清单!$X$5:$X$204,0)+4,"")))</f>
        <v/>
      </c>
      <c r="C36" s="38" t="str">
        <f>IF(COUNTIF(ERP导入清单!$X$5:$X$204,32)=0,"",INDEX(ERP导入清单!C:C,IFERROR(MATCH(32,ERP导入清单!$X$5:$X$204,0)+4,"")))</f>
        <v/>
      </c>
      <c r="D36" s="37" t="str">
        <f>IF(COUNTIF(ERP导入清单!$X$5:$X$204,32)=0,"",INDEX(ERP导入清单!D:D,IFERROR(MATCH(32,ERP导入清单!$X$5:$X$204,0)+4,"")))</f>
        <v/>
      </c>
      <c r="E36" s="37" t="str">
        <f>IF(COUNTIF(ERP导入清单!$X$5:$X$204,32)=0,"",INDEX(ERP导入清单!E:E,IFERROR(MATCH(32,ERP导入清单!$X$5:$X$204,0)+4,"")))</f>
        <v/>
      </c>
      <c r="F36" s="37" t="str">
        <f>IF(COUNTIF(ERP导入清单!$X$5:$X$204,32)=0,"",INDEX(ERP导入清单!F:F,IFERROR(MATCH(32,ERP导入清单!$X$5:$X$204,0)+4,"")))</f>
        <v/>
      </c>
      <c r="G36" s="57" t="str">
        <f>IF(COUNTIF(ERP导入清单!$X$5:$X$204,32)=0,"",INDEX(ERP导入清单!G:G,IFERROR(MATCH(32,ERP导入清单!$X$5:$X$204,0)+4,"")))</f>
        <v/>
      </c>
      <c r="H36" s="37" t="str">
        <f>IF(COUNTIF(ERP导入清单!$X$5:$X$204,32)=0,"",INDEX(ERP导入清单!H:H,IFERROR(MATCH(32,ERP导入清单!$X$5:$X$204,0)+4,"")))</f>
        <v/>
      </c>
      <c r="I36" s="57" t="str">
        <f>IF(COUNTIF(ERP导入清单!$X$5:$X$204,32)=0,"",INDEX(ERP导入清单!I:I,IFERROR(MATCH(32,ERP导入清单!$X$5:$X$204,0)+4,"")))</f>
        <v/>
      </c>
      <c r="J36" s="57" t="str">
        <f>IF(COUNTIF(ERP导入清单!$X$5:$X$204,32)=0,"",INDEX(ERP导入清单!J:J,IFERROR(MATCH(32,ERP导入清单!$X$5:$X$204,0)+4,"")))</f>
        <v/>
      </c>
      <c r="K36" s="37" t="str">
        <f>IF(COUNTIF(ERP导入清单!$X$5:$X$204,32)=0,"",INDEX(ERP导入清单!K:K,IFERROR(MATCH(32,ERP导入清单!$X$5:$X$204,0)+4,"")))</f>
        <v/>
      </c>
      <c r="L36" s="37" t="str">
        <f>IF(COUNTIF(ERP导入清单!$X$5:$X$204,32)=0,"",INDEX(ERP导入清单!L:L,IFERROR(MATCH(32,ERP导入清单!$X$5:$X$204,0)+4,"")))</f>
        <v/>
      </c>
      <c r="M36" s="37" t="str">
        <f>IF(COUNTIF(ERP导入清单!$X$5:$X$204,32)=0,"",INDEX(ERP导入清单!M:M,IFERROR(MATCH(32,ERP导入清单!$X$5:$X$204,0)+4,"")))</f>
        <v/>
      </c>
      <c r="N36" s="37" t="str">
        <f>IF(COUNTIF(ERP导入清单!$X$5:$X$204,32)=0,"",INDEX(ERP导入清单!N:N,IFERROR(MATCH(32,ERP导入清单!$X$5:$X$204,0)+4,"")))</f>
        <v/>
      </c>
      <c r="O36" s="37" t="str">
        <f>IF(COUNTIF(ERP导入清单!$X$5:$X$204,32)=0,"",INDEX(ERP导入清单!O:O,IFERROR(MATCH(32,ERP导入清单!$X$5:$X$204,0)+4,"")))</f>
        <v/>
      </c>
      <c r="P36" s="39" t="str">
        <f>IF(COUNTIF(ERP导入清单!$X$5:$X$204,32)=0,"",INDEX(ERP导入清单!P:P,IFERROR(MATCH(32,ERP导入清单!$X$5:$X$204,0)+4,"")))</f>
        <v/>
      </c>
      <c r="Q36" s="39" t="str">
        <f>IF(COUNTIF(ERP导入清单!$X$5:$X$204,32)=0,"",INDEX(ERP导入清单!Q:Q,IFERROR(MATCH(32,ERP导入清单!$X$5:$X$204,0)+4,"")))</f>
        <v/>
      </c>
      <c r="R36" s="59" t="str">
        <f>IF(COUNTIF(ERP导入清单!$X$5:$X$204,32)=0,"",INDEX(ERP导入清单!R:R,IFERROR(MATCH(32,ERP导入清单!$X$5:$X$204,0)+4,"")))</f>
        <v/>
      </c>
      <c r="S36" s="37" t="str">
        <f>IF(COUNTIF(ERP导入清单!$X$5:$X$204,32)=0,"",INDEX(ERP导入清单!S:S,IFERROR(MATCH(32,ERP导入清单!$X$5:$X$204,0)+4,"")))</f>
        <v/>
      </c>
      <c r="T36" s="37" t="str">
        <f>IF(COUNTIF(ERP导入清单!$X$5:$X$204,32)=0,"",INDEX(ERP导入清单!T:T,IFERROR(MATCH(32,ERP导入清单!$X$5:$X$204,0)+4,"")))</f>
        <v/>
      </c>
      <c r="U36" s="37" t="str">
        <f>IF(COUNTIF(ERP导入清单!$X$5:$X$204,32)=0,"",INDEX(ERP导入清单!U:U,IFERROR(MATCH(32,ERP导入清单!$X$5:$X$204,0)+4,"")))</f>
        <v/>
      </c>
      <c r="V36" s="38" t="str">
        <f>IF(COUNTIF(ERP导入清单!$X$5:$X$204,32)=0,"",INDEX(ERP导入清单!V:V,IFERROR(MATCH(32,ERP导入清单!$X$5:$X$204,0)+4,"")))</f>
        <v/>
      </c>
      <c r="W36" s="50" t="str">
        <f>IF(COUNTIF(ERP导入清单!$X$5:$X$204,32)=0,"",INDEX(ERP导入清单!W:W,IFERROR(MATCH(32,ERP导入清单!$X$5:$X$204,0)+4,"")))</f>
        <v/>
      </c>
    </row>
    <row r="37" spans="1:23" ht="24" customHeight="1">
      <c r="A37" s="55" t="str">
        <f>IF(COUNTIF(ERP导入清单!$X$5:$X$204,33)=0,"",INDEX(ERP导入清单!A:A,IFERROR(MATCH(33,ERP导入清单!$X$5:$X$204,0)+4,"")))</f>
        <v/>
      </c>
      <c r="B37" s="37" t="str">
        <f>IF(COUNTIF(ERP导入清单!$X$5:$X$204,33)=0,"",INDEX(ERP导入清单!B:B,IFERROR(MATCH(33,ERP导入清单!$X$5:$X$204,0)+4,"")))</f>
        <v/>
      </c>
      <c r="C37" s="38" t="str">
        <f>IF(COUNTIF(ERP导入清单!$X$5:$X$204,33)=0,"",INDEX(ERP导入清单!C:C,IFERROR(MATCH(33,ERP导入清单!$X$5:$X$204,0)+4,"")))</f>
        <v/>
      </c>
      <c r="D37" s="37" t="str">
        <f>IF(COUNTIF(ERP导入清单!$X$5:$X$204,33)=0,"",INDEX(ERP导入清单!D:D,IFERROR(MATCH(33,ERP导入清单!$X$5:$X$204,0)+4,"")))</f>
        <v/>
      </c>
      <c r="E37" s="37" t="str">
        <f>IF(COUNTIF(ERP导入清单!$X$5:$X$204,33)=0,"",INDEX(ERP导入清单!E:E,IFERROR(MATCH(33,ERP导入清单!$X$5:$X$204,0)+4,"")))</f>
        <v/>
      </c>
      <c r="F37" s="37" t="str">
        <f>IF(COUNTIF(ERP导入清单!$X$5:$X$204,33)=0,"",INDEX(ERP导入清单!F:F,IFERROR(MATCH(33,ERP导入清单!$X$5:$X$204,0)+4,"")))</f>
        <v/>
      </c>
      <c r="G37" s="57" t="str">
        <f>IF(COUNTIF(ERP导入清单!$X$5:$X$204,33)=0,"",INDEX(ERP导入清单!G:G,IFERROR(MATCH(33,ERP导入清单!$X$5:$X$204,0)+4,"")))</f>
        <v/>
      </c>
      <c r="H37" s="37" t="str">
        <f>IF(COUNTIF(ERP导入清单!$X$5:$X$204,33)=0,"",INDEX(ERP导入清单!H:H,IFERROR(MATCH(33,ERP导入清单!$X$5:$X$204,0)+4,"")))</f>
        <v/>
      </c>
      <c r="I37" s="57" t="str">
        <f>IF(COUNTIF(ERP导入清单!$X$5:$X$204,33)=0,"",INDEX(ERP导入清单!I:I,IFERROR(MATCH(33,ERP导入清单!$X$5:$X$204,0)+4,"")))</f>
        <v/>
      </c>
      <c r="J37" s="57" t="str">
        <f>IF(COUNTIF(ERP导入清单!$X$5:$X$204,33)=0,"",INDEX(ERP导入清单!J:J,IFERROR(MATCH(33,ERP导入清单!$X$5:$X$204,0)+4,"")))</f>
        <v/>
      </c>
      <c r="K37" s="37" t="str">
        <f>IF(COUNTIF(ERP导入清单!$X$5:$X$204,33)=0,"",INDEX(ERP导入清单!K:K,IFERROR(MATCH(33,ERP导入清单!$X$5:$X$204,0)+4,"")))</f>
        <v/>
      </c>
      <c r="L37" s="37" t="str">
        <f>IF(COUNTIF(ERP导入清单!$X$5:$X$204,33)=0,"",INDEX(ERP导入清单!L:L,IFERROR(MATCH(33,ERP导入清单!$X$5:$X$204,0)+4,"")))</f>
        <v/>
      </c>
      <c r="M37" s="37" t="str">
        <f>IF(COUNTIF(ERP导入清单!$X$5:$X$204,33)=0,"",INDEX(ERP导入清单!M:M,IFERROR(MATCH(33,ERP导入清单!$X$5:$X$204,0)+4,"")))</f>
        <v/>
      </c>
      <c r="N37" s="37" t="str">
        <f>IF(COUNTIF(ERP导入清单!$X$5:$X$204,33)=0,"",INDEX(ERP导入清单!N:N,IFERROR(MATCH(33,ERP导入清单!$X$5:$X$204,0)+4,"")))</f>
        <v/>
      </c>
      <c r="O37" s="37" t="str">
        <f>IF(COUNTIF(ERP导入清单!$X$5:$X$204,33)=0,"",INDEX(ERP导入清单!O:O,IFERROR(MATCH(33,ERP导入清单!$X$5:$X$204,0)+4,"")))</f>
        <v/>
      </c>
      <c r="P37" s="39" t="str">
        <f>IF(COUNTIF(ERP导入清单!$X$5:$X$204,33)=0,"",INDEX(ERP导入清单!P:P,IFERROR(MATCH(33,ERP导入清单!$X$5:$X$204,0)+4,"")))</f>
        <v/>
      </c>
      <c r="Q37" s="39" t="str">
        <f>IF(COUNTIF(ERP导入清单!$X$5:$X$204,33)=0,"",INDEX(ERP导入清单!Q:Q,IFERROR(MATCH(33,ERP导入清单!$X$5:$X$204,0)+4,"")))</f>
        <v/>
      </c>
      <c r="R37" s="59" t="str">
        <f>IF(COUNTIF(ERP导入清单!$X$5:$X$204,33)=0,"",INDEX(ERP导入清单!R:R,IFERROR(MATCH(33,ERP导入清单!$X$5:$X$204,0)+4,"")))</f>
        <v/>
      </c>
      <c r="S37" s="37" t="str">
        <f>IF(COUNTIF(ERP导入清单!$X$5:$X$204,33)=0,"",INDEX(ERP导入清单!S:S,IFERROR(MATCH(33,ERP导入清单!$X$5:$X$204,0)+4,"")))</f>
        <v/>
      </c>
      <c r="T37" s="37" t="str">
        <f>IF(COUNTIF(ERP导入清单!$X$5:$X$204,33)=0,"",INDEX(ERP导入清单!T:T,IFERROR(MATCH(33,ERP导入清单!$X$5:$X$204,0)+4,"")))</f>
        <v/>
      </c>
      <c r="U37" s="37" t="str">
        <f>IF(COUNTIF(ERP导入清单!$X$5:$X$204,33)=0,"",INDEX(ERP导入清单!U:U,IFERROR(MATCH(33,ERP导入清单!$X$5:$X$204,0)+4,"")))</f>
        <v/>
      </c>
      <c r="V37" s="38" t="str">
        <f>IF(COUNTIF(ERP导入清单!$X$5:$X$204,33)=0,"",INDEX(ERP导入清单!V:V,IFERROR(MATCH(33,ERP导入清单!$X$5:$X$204,0)+4,"")))</f>
        <v/>
      </c>
      <c r="W37" s="50" t="str">
        <f>IF(COUNTIF(ERP导入清单!$X$5:$X$204,33)=0,"",INDEX(ERP导入清单!W:W,IFERROR(MATCH(33,ERP导入清单!$X$5:$X$204,0)+4,"")))</f>
        <v/>
      </c>
    </row>
    <row r="38" spans="1:23" ht="24" customHeight="1">
      <c r="A38" s="55" t="str">
        <f>IF(COUNTIF(ERP导入清单!$X$5:$X$204,34)=0,"",INDEX(ERP导入清单!A:A,IFERROR(MATCH(34,ERP导入清单!$X$5:$X$204,0)+4,"")))</f>
        <v/>
      </c>
      <c r="B38" s="37" t="str">
        <f>IF(COUNTIF(ERP导入清单!$X$5:$X$204,34)=0,"",INDEX(ERP导入清单!B:B,IFERROR(MATCH(34,ERP导入清单!$X$5:$X$204,0)+4,"")))</f>
        <v/>
      </c>
      <c r="C38" s="38" t="str">
        <f>IF(COUNTIF(ERP导入清单!$X$5:$X$204,34)=0,"",INDEX(ERP导入清单!C:C,IFERROR(MATCH(34,ERP导入清单!$X$5:$X$204,0)+4,"")))</f>
        <v/>
      </c>
      <c r="D38" s="37" t="str">
        <f>IF(COUNTIF(ERP导入清单!$X$5:$X$204,34)=0,"",INDEX(ERP导入清单!D:D,IFERROR(MATCH(34,ERP导入清单!$X$5:$X$204,0)+4,"")))</f>
        <v/>
      </c>
      <c r="E38" s="37" t="str">
        <f>IF(COUNTIF(ERP导入清单!$X$5:$X$204,34)=0,"",INDEX(ERP导入清单!E:E,IFERROR(MATCH(34,ERP导入清单!$X$5:$X$204,0)+4,"")))</f>
        <v/>
      </c>
      <c r="F38" s="37" t="str">
        <f>IF(COUNTIF(ERP导入清单!$X$5:$X$204,34)=0,"",INDEX(ERP导入清单!F:F,IFERROR(MATCH(34,ERP导入清单!$X$5:$X$204,0)+4,"")))</f>
        <v/>
      </c>
      <c r="G38" s="57" t="str">
        <f>IF(COUNTIF(ERP导入清单!$X$5:$X$204,34)=0,"",INDEX(ERP导入清单!G:G,IFERROR(MATCH(34,ERP导入清单!$X$5:$X$204,0)+4,"")))</f>
        <v/>
      </c>
      <c r="H38" s="37" t="str">
        <f>IF(COUNTIF(ERP导入清单!$X$5:$X$204,34)=0,"",INDEX(ERP导入清单!H:H,IFERROR(MATCH(34,ERP导入清单!$X$5:$X$204,0)+4,"")))</f>
        <v/>
      </c>
      <c r="I38" s="57" t="str">
        <f>IF(COUNTIF(ERP导入清单!$X$5:$X$204,34)=0,"",INDEX(ERP导入清单!I:I,IFERROR(MATCH(34,ERP导入清单!$X$5:$X$204,0)+4,"")))</f>
        <v/>
      </c>
      <c r="J38" s="57" t="str">
        <f>IF(COUNTIF(ERP导入清单!$X$5:$X$204,34)=0,"",INDEX(ERP导入清单!J:J,IFERROR(MATCH(34,ERP导入清单!$X$5:$X$204,0)+4,"")))</f>
        <v/>
      </c>
      <c r="K38" s="37" t="str">
        <f>IF(COUNTIF(ERP导入清单!$X$5:$X$204,34)=0,"",INDEX(ERP导入清单!K:K,IFERROR(MATCH(34,ERP导入清单!$X$5:$X$204,0)+4,"")))</f>
        <v/>
      </c>
      <c r="L38" s="37" t="str">
        <f>IF(COUNTIF(ERP导入清单!$X$5:$X$204,34)=0,"",INDEX(ERP导入清单!L:L,IFERROR(MATCH(34,ERP导入清单!$X$5:$X$204,0)+4,"")))</f>
        <v/>
      </c>
      <c r="M38" s="37" t="str">
        <f>IF(COUNTIF(ERP导入清单!$X$5:$X$204,34)=0,"",INDEX(ERP导入清单!M:M,IFERROR(MATCH(34,ERP导入清单!$X$5:$X$204,0)+4,"")))</f>
        <v/>
      </c>
      <c r="N38" s="37" t="str">
        <f>IF(COUNTIF(ERP导入清单!$X$5:$X$204,34)=0,"",INDEX(ERP导入清单!N:N,IFERROR(MATCH(34,ERP导入清单!$X$5:$X$204,0)+4,"")))</f>
        <v/>
      </c>
      <c r="O38" s="37" t="str">
        <f>IF(COUNTIF(ERP导入清单!$X$5:$X$204,34)=0,"",INDEX(ERP导入清单!O:O,IFERROR(MATCH(34,ERP导入清单!$X$5:$X$204,0)+4,"")))</f>
        <v/>
      </c>
      <c r="P38" s="39" t="str">
        <f>IF(COUNTIF(ERP导入清单!$X$5:$X$204,34)=0,"",INDEX(ERP导入清单!P:P,IFERROR(MATCH(34,ERP导入清单!$X$5:$X$204,0)+4,"")))</f>
        <v/>
      </c>
      <c r="Q38" s="39" t="str">
        <f>IF(COUNTIF(ERP导入清单!$X$5:$X$204,34)=0,"",INDEX(ERP导入清单!Q:Q,IFERROR(MATCH(34,ERP导入清单!$X$5:$X$204,0)+4,"")))</f>
        <v/>
      </c>
      <c r="R38" s="59" t="str">
        <f>IF(COUNTIF(ERP导入清单!$X$5:$X$204,34)=0,"",INDEX(ERP导入清单!R:R,IFERROR(MATCH(34,ERP导入清单!$X$5:$X$204,0)+4,"")))</f>
        <v/>
      </c>
      <c r="S38" s="37" t="str">
        <f>IF(COUNTIF(ERP导入清单!$X$5:$X$204,34)=0,"",INDEX(ERP导入清单!S:S,IFERROR(MATCH(34,ERP导入清单!$X$5:$X$204,0)+4,"")))</f>
        <v/>
      </c>
      <c r="T38" s="37" t="str">
        <f>IF(COUNTIF(ERP导入清单!$X$5:$X$204,34)=0,"",INDEX(ERP导入清单!T:T,IFERROR(MATCH(34,ERP导入清单!$X$5:$X$204,0)+4,"")))</f>
        <v/>
      </c>
      <c r="U38" s="37" t="str">
        <f>IF(COUNTIF(ERP导入清单!$X$5:$X$204,34)=0,"",INDEX(ERP导入清单!U:U,IFERROR(MATCH(34,ERP导入清单!$X$5:$X$204,0)+4,"")))</f>
        <v/>
      </c>
      <c r="V38" s="38" t="str">
        <f>IF(COUNTIF(ERP导入清单!$X$5:$X$204,34)=0,"",INDEX(ERP导入清单!V:V,IFERROR(MATCH(34,ERP导入清单!$X$5:$X$204,0)+4,"")))</f>
        <v/>
      </c>
      <c r="W38" s="50" t="str">
        <f>IF(COUNTIF(ERP导入清单!$X$5:$X$204,34)=0,"",INDEX(ERP导入清单!W:W,IFERROR(MATCH(34,ERP导入清单!$X$5:$X$204,0)+4,"")))</f>
        <v/>
      </c>
    </row>
    <row r="39" spans="1:23" ht="24" customHeight="1">
      <c r="A39" s="55" t="str">
        <f>IF(COUNTIF(ERP导入清单!$X$5:$X$204,35)=0,"",INDEX(ERP导入清单!A:A,IFERROR(MATCH(35,ERP导入清单!$X$5:$X$204,0)+4,"")))</f>
        <v/>
      </c>
      <c r="B39" s="37" t="str">
        <f>IF(COUNTIF(ERP导入清单!$X$5:$X$204,35)=0,"",INDEX(ERP导入清单!B:B,IFERROR(MATCH(35,ERP导入清单!$X$5:$X$204,0)+4,"")))</f>
        <v/>
      </c>
      <c r="C39" s="38" t="str">
        <f>IF(COUNTIF(ERP导入清单!$X$5:$X$204,35)=0,"",INDEX(ERP导入清单!C:C,IFERROR(MATCH(35,ERP导入清单!$X$5:$X$204,0)+4,"")))</f>
        <v/>
      </c>
      <c r="D39" s="37" t="str">
        <f>IF(COUNTIF(ERP导入清单!$X$5:$X$204,35)=0,"",INDEX(ERP导入清单!D:D,IFERROR(MATCH(35,ERP导入清单!$X$5:$X$204,0)+4,"")))</f>
        <v/>
      </c>
      <c r="E39" s="37" t="str">
        <f>IF(COUNTIF(ERP导入清单!$X$5:$X$204,35)=0,"",INDEX(ERP导入清单!E:E,IFERROR(MATCH(35,ERP导入清单!$X$5:$X$204,0)+4,"")))</f>
        <v/>
      </c>
      <c r="F39" s="37" t="str">
        <f>IF(COUNTIF(ERP导入清单!$X$5:$X$204,35)=0,"",INDEX(ERP导入清单!F:F,IFERROR(MATCH(35,ERP导入清单!$X$5:$X$204,0)+4,"")))</f>
        <v/>
      </c>
      <c r="G39" s="57" t="str">
        <f>IF(COUNTIF(ERP导入清单!$X$5:$X$204,35)=0,"",INDEX(ERP导入清单!G:G,IFERROR(MATCH(35,ERP导入清单!$X$5:$X$204,0)+4,"")))</f>
        <v/>
      </c>
      <c r="H39" s="37" t="str">
        <f>IF(COUNTIF(ERP导入清单!$X$5:$X$204,35)=0,"",INDEX(ERP导入清单!H:H,IFERROR(MATCH(35,ERP导入清单!$X$5:$X$204,0)+4,"")))</f>
        <v/>
      </c>
      <c r="I39" s="57" t="str">
        <f>IF(COUNTIF(ERP导入清单!$X$5:$X$204,35)=0,"",INDEX(ERP导入清单!I:I,IFERROR(MATCH(35,ERP导入清单!$X$5:$X$204,0)+4,"")))</f>
        <v/>
      </c>
      <c r="J39" s="57" t="str">
        <f>IF(COUNTIF(ERP导入清单!$X$5:$X$204,35)=0,"",INDEX(ERP导入清单!J:J,IFERROR(MATCH(35,ERP导入清单!$X$5:$X$204,0)+4,"")))</f>
        <v/>
      </c>
      <c r="K39" s="37" t="str">
        <f>IF(COUNTIF(ERP导入清单!$X$5:$X$204,35)=0,"",INDEX(ERP导入清单!K:K,IFERROR(MATCH(35,ERP导入清单!$X$5:$X$204,0)+4,"")))</f>
        <v/>
      </c>
      <c r="L39" s="37" t="str">
        <f>IF(COUNTIF(ERP导入清单!$X$5:$X$204,35)=0,"",INDEX(ERP导入清单!L:L,IFERROR(MATCH(35,ERP导入清单!$X$5:$X$204,0)+4,"")))</f>
        <v/>
      </c>
      <c r="M39" s="37" t="str">
        <f>IF(COUNTIF(ERP导入清单!$X$5:$X$204,35)=0,"",INDEX(ERP导入清单!M:M,IFERROR(MATCH(35,ERP导入清单!$X$5:$X$204,0)+4,"")))</f>
        <v/>
      </c>
      <c r="N39" s="37" t="str">
        <f>IF(COUNTIF(ERP导入清单!$X$5:$X$204,35)=0,"",INDEX(ERP导入清单!N:N,IFERROR(MATCH(35,ERP导入清单!$X$5:$X$204,0)+4,"")))</f>
        <v/>
      </c>
      <c r="O39" s="37" t="str">
        <f>IF(COUNTIF(ERP导入清单!$X$5:$X$204,35)=0,"",INDEX(ERP导入清单!O:O,IFERROR(MATCH(35,ERP导入清单!$X$5:$X$204,0)+4,"")))</f>
        <v/>
      </c>
      <c r="P39" s="39" t="str">
        <f>IF(COUNTIF(ERP导入清单!$X$5:$X$204,35)=0,"",INDEX(ERP导入清单!P:P,IFERROR(MATCH(35,ERP导入清单!$X$5:$X$204,0)+4,"")))</f>
        <v/>
      </c>
      <c r="Q39" s="39" t="str">
        <f>IF(COUNTIF(ERP导入清单!$X$5:$X$204,35)=0,"",INDEX(ERP导入清单!Q:Q,IFERROR(MATCH(35,ERP导入清单!$X$5:$X$204,0)+4,"")))</f>
        <v/>
      </c>
      <c r="R39" s="59" t="str">
        <f>IF(COUNTIF(ERP导入清单!$X$5:$X$204,35)=0,"",INDEX(ERP导入清单!R:R,IFERROR(MATCH(35,ERP导入清单!$X$5:$X$204,0)+4,"")))</f>
        <v/>
      </c>
      <c r="S39" s="37" t="str">
        <f>IF(COUNTIF(ERP导入清单!$X$5:$X$204,35)=0,"",INDEX(ERP导入清单!S:S,IFERROR(MATCH(35,ERP导入清单!$X$5:$X$204,0)+4,"")))</f>
        <v/>
      </c>
      <c r="T39" s="37" t="str">
        <f>IF(COUNTIF(ERP导入清单!$X$5:$X$204,35)=0,"",INDEX(ERP导入清单!T:T,IFERROR(MATCH(35,ERP导入清单!$X$5:$X$204,0)+4,"")))</f>
        <v/>
      </c>
      <c r="U39" s="37" t="str">
        <f>IF(COUNTIF(ERP导入清单!$X$5:$X$204,35)=0,"",INDEX(ERP导入清单!U:U,IFERROR(MATCH(35,ERP导入清单!$X$5:$X$204,0)+4,"")))</f>
        <v/>
      </c>
      <c r="V39" s="38" t="str">
        <f>IF(COUNTIF(ERP导入清单!$X$5:$X$204,35)=0,"",INDEX(ERP导入清单!V:V,IFERROR(MATCH(35,ERP导入清单!$X$5:$X$204,0)+4,"")))</f>
        <v/>
      </c>
      <c r="W39" s="50" t="str">
        <f>IF(COUNTIF(ERP导入清单!$X$5:$X$204,35)=0,"",INDEX(ERP导入清单!W:W,IFERROR(MATCH(35,ERP导入清单!$X$5:$X$204,0)+4,"")))</f>
        <v/>
      </c>
    </row>
    <row r="40" spans="1:23" ht="24" customHeight="1">
      <c r="A40" s="55" t="str">
        <f>IF(COUNTIF(ERP导入清单!$X$5:$X$204,36)=0,"",INDEX(ERP导入清单!A:A,IFERROR(MATCH(36,ERP导入清单!$X$5:$X$204,0)+4,"")))</f>
        <v/>
      </c>
      <c r="B40" s="37" t="str">
        <f>IF(COUNTIF(ERP导入清单!$X$5:$X$204,36)=0,"",INDEX(ERP导入清单!B:B,IFERROR(MATCH(36,ERP导入清单!$X$5:$X$204,0)+4,"")))</f>
        <v/>
      </c>
      <c r="C40" s="38" t="str">
        <f>IF(COUNTIF(ERP导入清单!$X$5:$X$204,36)=0,"",INDEX(ERP导入清单!C:C,IFERROR(MATCH(36,ERP导入清单!$X$5:$X$204,0)+4,"")))</f>
        <v/>
      </c>
      <c r="D40" s="37" t="str">
        <f>IF(COUNTIF(ERP导入清单!$X$5:$X$204,36)=0,"",INDEX(ERP导入清单!D:D,IFERROR(MATCH(36,ERP导入清单!$X$5:$X$204,0)+4,"")))</f>
        <v/>
      </c>
      <c r="E40" s="37" t="str">
        <f>IF(COUNTIF(ERP导入清单!$X$5:$X$204,36)=0,"",INDEX(ERP导入清单!E:E,IFERROR(MATCH(36,ERP导入清单!$X$5:$X$204,0)+4,"")))</f>
        <v/>
      </c>
      <c r="F40" s="37" t="str">
        <f>IF(COUNTIF(ERP导入清单!$X$5:$X$204,36)=0,"",INDEX(ERP导入清单!F:F,IFERROR(MATCH(36,ERP导入清单!$X$5:$X$204,0)+4,"")))</f>
        <v/>
      </c>
      <c r="G40" s="57" t="str">
        <f>IF(COUNTIF(ERP导入清单!$X$5:$X$204,36)=0,"",INDEX(ERP导入清单!G:G,IFERROR(MATCH(36,ERP导入清单!$X$5:$X$204,0)+4,"")))</f>
        <v/>
      </c>
      <c r="H40" s="37" t="str">
        <f>IF(COUNTIF(ERP导入清单!$X$5:$X$204,36)=0,"",INDEX(ERP导入清单!H:H,IFERROR(MATCH(36,ERP导入清单!$X$5:$X$204,0)+4,"")))</f>
        <v/>
      </c>
      <c r="I40" s="57" t="str">
        <f>IF(COUNTIF(ERP导入清单!$X$5:$X$204,36)=0,"",INDEX(ERP导入清单!I:I,IFERROR(MATCH(36,ERP导入清单!$X$5:$X$204,0)+4,"")))</f>
        <v/>
      </c>
      <c r="J40" s="57" t="str">
        <f>IF(COUNTIF(ERP导入清单!$X$5:$X$204,36)=0,"",INDEX(ERP导入清单!J:J,IFERROR(MATCH(36,ERP导入清单!$X$5:$X$204,0)+4,"")))</f>
        <v/>
      </c>
      <c r="K40" s="37" t="str">
        <f>IF(COUNTIF(ERP导入清单!$X$5:$X$204,36)=0,"",INDEX(ERP导入清单!K:K,IFERROR(MATCH(36,ERP导入清单!$X$5:$X$204,0)+4,"")))</f>
        <v/>
      </c>
      <c r="L40" s="37" t="str">
        <f>IF(COUNTIF(ERP导入清单!$X$5:$X$204,36)=0,"",INDEX(ERP导入清单!L:L,IFERROR(MATCH(36,ERP导入清单!$X$5:$X$204,0)+4,"")))</f>
        <v/>
      </c>
      <c r="M40" s="37" t="str">
        <f>IF(COUNTIF(ERP导入清单!$X$5:$X$204,36)=0,"",INDEX(ERP导入清单!M:M,IFERROR(MATCH(36,ERP导入清单!$X$5:$X$204,0)+4,"")))</f>
        <v/>
      </c>
      <c r="N40" s="37" t="str">
        <f>IF(COUNTIF(ERP导入清单!$X$5:$X$204,36)=0,"",INDEX(ERP导入清单!N:N,IFERROR(MATCH(36,ERP导入清单!$X$5:$X$204,0)+4,"")))</f>
        <v/>
      </c>
      <c r="O40" s="37" t="str">
        <f>IF(COUNTIF(ERP导入清单!$X$5:$X$204,36)=0,"",INDEX(ERP导入清单!O:O,IFERROR(MATCH(36,ERP导入清单!$X$5:$X$204,0)+4,"")))</f>
        <v/>
      </c>
      <c r="P40" s="39" t="str">
        <f>IF(COUNTIF(ERP导入清单!$X$5:$X$204,36)=0,"",INDEX(ERP导入清单!P:P,IFERROR(MATCH(36,ERP导入清单!$X$5:$X$204,0)+4,"")))</f>
        <v/>
      </c>
      <c r="Q40" s="39" t="str">
        <f>IF(COUNTIF(ERP导入清单!$X$5:$X$204,36)=0,"",INDEX(ERP导入清单!Q:Q,IFERROR(MATCH(36,ERP导入清单!$X$5:$X$204,0)+4,"")))</f>
        <v/>
      </c>
      <c r="R40" s="59" t="str">
        <f>IF(COUNTIF(ERP导入清单!$X$5:$X$204,36)=0,"",INDEX(ERP导入清单!R:R,IFERROR(MATCH(36,ERP导入清单!$X$5:$X$204,0)+4,"")))</f>
        <v/>
      </c>
      <c r="S40" s="37" t="str">
        <f>IF(COUNTIF(ERP导入清单!$X$5:$X$204,36)=0,"",INDEX(ERP导入清单!S:S,IFERROR(MATCH(36,ERP导入清单!$X$5:$X$204,0)+4,"")))</f>
        <v/>
      </c>
      <c r="T40" s="37" t="str">
        <f>IF(COUNTIF(ERP导入清单!$X$5:$X$204,36)=0,"",INDEX(ERP导入清单!T:T,IFERROR(MATCH(36,ERP导入清单!$X$5:$X$204,0)+4,"")))</f>
        <v/>
      </c>
      <c r="U40" s="37" t="str">
        <f>IF(COUNTIF(ERP导入清单!$X$5:$X$204,36)=0,"",INDEX(ERP导入清单!U:U,IFERROR(MATCH(36,ERP导入清单!$X$5:$X$204,0)+4,"")))</f>
        <v/>
      </c>
      <c r="V40" s="38" t="str">
        <f>IF(COUNTIF(ERP导入清单!$X$5:$X$204,36)=0,"",INDEX(ERP导入清单!V:V,IFERROR(MATCH(36,ERP导入清单!$X$5:$X$204,0)+4,"")))</f>
        <v/>
      </c>
      <c r="W40" s="50" t="str">
        <f>IF(COUNTIF(ERP导入清单!$X$5:$X$204,36)=0,"",INDEX(ERP导入清单!W:W,IFERROR(MATCH(36,ERP导入清单!$X$5:$X$204,0)+4,"")))</f>
        <v/>
      </c>
    </row>
    <row r="41" spans="1:23" ht="24" customHeight="1">
      <c r="A41" s="55" t="str">
        <f>IF(COUNTIF(ERP导入清单!$X$5:$X$204,37)=0,"",INDEX(ERP导入清单!A:A,IFERROR(MATCH(37,ERP导入清单!$X$5:$X$204,0)+4,"")))</f>
        <v/>
      </c>
      <c r="B41" s="37" t="str">
        <f>IF(COUNTIF(ERP导入清单!$X$5:$X$204,37)=0,"",INDEX(ERP导入清单!B:B,IFERROR(MATCH(37,ERP导入清单!$X$5:$X$204,0)+4,"")))</f>
        <v/>
      </c>
      <c r="C41" s="38" t="str">
        <f>IF(COUNTIF(ERP导入清单!$X$5:$X$204,37)=0,"",INDEX(ERP导入清单!C:C,IFERROR(MATCH(37,ERP导入清单!$X$5:$X$204,0)+4,"")))</f>
        <v/>
      </c>
      <c r="D41" s="37" t="str">
        <f>IF(COUNTIF(ERP导入清单!$X$5:$X$204,37)=0,"",INDEX(ERP导入清单!D:D,IFERROR(MATCH(37,ERP导入清单!$X$5:$X$204,0)+4,"")))</f>
        <v/>
      </c>
      <c r="E41" s="37" t="str">
        <f>IF(COUNTIF(ERP导入清单!$X$5:$X$204,37)=0,"",INDEX(ERP导入清单!E:E,IFERROR(MATCH(37,ERP导入清单!$X$5:$X$204,0)+4,"")))</f>
        <v/>
      </c>
      <c r="F41" s="37" t="str">
        <f>IF(COUNTIF(ERP导入清单!$X$5:$X$204,37)=0,"",INDEX(ERP导入清单!F:F,IFERROR(MATCH(37,ERP导入清单!$X$5:$X$204,0)+4,"")))</f>
        <v/>
      </c>
      <c r="G41" s="57" t="str">
        <f>IF(COUNTIF(ERP导入清单!$X$5:$X$204,37)=0,"",INDEX(ERP导入清单!G:G,IFERROR(MATCH(37,ERP导入清单!$X$5:$X$204,0)+4,"")))</f>
        <v/>
      </c>
      <c r="H41" s="37" t="str">
        <f>IF(COUNTIF(ERP导入清单!$X$5:$X$204,37)=0,"",INDEX(ERP导入清单!H:H,IFERROR(MATCH(37,ERP导入清单!$X$5:$X$204,0)+4,"")))</f>
        <v/>
      </c>
      <c r="I41" s="57" t="str">
        <f>IF(COUNTIF(ERP导入清单!$X$5:$X$204,37)=0,"",INDEX(ERP导入清单!I:I,IFERROR(MATCH(37,ERP导入清单!$X$5:$X$204,0)+4,"")))</f>
        <v/>
      </c>
      <c r="J41" s="57" t="str">
        <f>IF(COUNTIF(ERP导入清单!$X$5:$X$204,37)=0,"",INDEX(ERP导入清单!J:J,IFERROR(MATCH(37,ERP导入清单!$X$5:$X$204,0)+4,"")))</f>
        <v/>
      </c>
      <c r="K41" s="37" t="str">
        <f>IF(COUNTIF(ERP导入清单!$X$5:$X$204,37)=0,"",INDEX(ERP导入清单!K:K,IFERROR(MATCH(37,ERP导入清单!$X$5:$X$204,0)+4,"")))</f>
        <v/>
      </c>
      <c r="L41" s="37" t="str">
        <f>IF(COUNTIF(ERP导入清单!$X$5:$X$204,37)=0,"",INDEX(ERP导入清单!L:L,IFERROR(MATCH(37,ERP导入清单!$X$5:$X$204,0)+4,"")))</f>
        <v/>
      </c>
      <c r="M41" s="37" t="str">
        <f>IF(COUNTIF(ERP导入清单!$X$5:$X$204,37)=0,"",INDEX(ERP导入清单!M:M,IFERROR(MATCH(37,ERP导入清单!$X$5:$X$204,0)+4,"")))</f>
        <v/>
      </c>
      <c r="N41" s="37" t="str">
        <f>IF(COUNTIF(ERP导入清单!$X$5:$X$204,37)=0,"",INDEX(ERP导入清单!N:N,IFERROR(MATCH(37,ERP导入清单!$X$5:$X$204,0)+4,"")))</f>
        <v/>
      </c>
      <c r="O41" s="37" t="str">
        <f>IF(COUNTIF(ERP导入清单!$X$5:$X$204,37)=0,"",INDEX(ERP导入清单!O:O,IFERROR(MATCH(37,ERP导入清单!$X$5:$X$204,0)+4,"")))</f>
        <v/>
      </c>
      <c r="P41" s="39" t="str">
        <f>IF(COUNTIF(ERP导入清单!$X$5:$X$204,37)=0,"",INDEX(ERP导入清单!P:P,IFERROR(MATCH(37,ERP导入清单!$X$5:$X$204,0)+4,"")))</f>
        <v/>
      </c>
      <c r="Q41" s="39" t="str">
        <f>IF(COUNTIF(ERP导入清单!$X$5:$X$204,37)=0,"",INDEX(ERP导入清单!Q:Q,IFERROR(MATCH(37,ERP导入清单!$X$5:$X$204,0)+4,"")))</f>
        <v/>
      </c>
      <c r="R41" s="59" t="str">
        <f>IF(COUNTIF(ERP导入清单!$X$5:$X$204,37)=0,"",INDEX(ERP导入清单!R:R,IFERROR(MATCH(37,ERP导入清单!$X$5:$X$204,0)+4,"")))</f>
        <v/>
      </c>
      <c r="S41" s="37" t="str">
        <f>IF(COUNTIF(ERP导入清单!$X$5:$X$204,37)=0,"",INDEX(ERP导入清单!S:S,IFERROR(MATCH(37,ERP导入清单!$X$5:$X$204,0)+4,"")))</f>
        <v/>
      </c>
      <c r="T41" s="37" t="str">
        <f>IF(COUNTIF(ERP导入清单!$X$5:$X$204,37)=0,"",INDEX(ERP导入清单!T:T,IFERROR(MATCH(37,ERP导入清单!$X$5:$X$204,0)+4,"")))</f>
        <v/>
      </c>
      <c r="U41" s="37" t="str">
        <f>IF(COUNTIF(ERP导入清单!$X$5:$X$204,37)=0,"",INDEX(ERP导入清单!U:U,IFERROR(MATCH(37,ERP导入清单!$X$5:$X$204,0)+4,"")))</f>
        <v/>
      </c>
      <c r="V41" s="38" t="str">
        <f>IF(COUNTIF(ERP导入清单!$X$5:$X$204,37)=0,"",INDEX(ERP导入清单!V:V,IFERROR(MATCH(37,ERP导入清单!$X$5:$X$204,0)+4,"")))</f>
        <v/>
      </c>
      <c r="W41" s="50" t="str">
        <f>IF(COUNTIF(ERP导入清单!$X$5:$X$204,37)=0,"",INDEX(ERP导入清单!W:W,IFERROR(MATCH(37,ERP导入清单!$X$5:$X$204,0)+4,"")))</f>
        <v/>
      </c>
    </row>
    <row r="42" spans="1:23" ht="24" customHeight="1">
      <c r="A42" s="55" t="str">
        <f>IF(COUNTIF(ERP导入清单!$X$5:$X$204,38)=0,"",INDEX(ERP导入清单!A:A,IFERROR(MATCH(38,ERP导入清单!$X$5:$X$204,0)+4,"")))</f>
        <v/>
      </c>
      <c r="B42" s="37" t="str">
        <f>IF(COUNTIF(ERP导入清单!$X$5:$X$204,38)=0,"",INDEX(ERP导入清单!B:B,IFERROR(MATCH(38,ERP导入清单!$X$5:$X$204,0)+4,"")))</f>
        <v/>
      </c>
      <c r="C42" s="38" t="str">
        <f>IF(COUNTIF(ERP导入清单!$X$5:$X$204,38)=0,"",INDEX(ERP导入清单!C:C,IFERROR(MATCH(38,ERP导入清单!$X$5:$X$204,0)+4,"")))</f>
        <v/>
      </c>
      <c r="D42" s="37" t="str">
        <f>IF(COUNTIF(ERP导入清单!$X$5:$X$204,38)=0,"",INDEX(ERP导入清单!D:D,IFERROR(MATCH(38,ERP导入清单!$X$5:$X$204,0)+4,"")))</f>
        <v/>
      </c>
      <c r="E42" s="37" t="str">
        <f>IF(COUNTIF(ERP导入清单!$X$5:$X$204,38)=0,"",INDEX(ERP导入清单!E:E,IFERROR(MATCH(38,ERP导入清单!$X$5:$X$204,0)+4,"")))</f>
        <v/>
      </c>
      <c r="F42" s="37" t="str">
        <f>IF(COUNTIF(ERP导入清单!$X$5:$X$204,38)=0,"",INDEX(ERP导入清单!F:F,IFERROR(MATCH(38,ERP导入清单!$X$5:$X$204,0)+4,"")))</f>
        <v/>
      </c>
      <c r="G42" s="57" t="str">
        <f>IF(COUNTIF(ERP导入清单!$X$5:$X$204,38)=0,"",INDEX(ERP导入清单!G:G,IFERROR(MATCH(38,ERP导入清单!$X$5:$X$204,0)+4,"")))</f>
        <v/>
      </c>
      <c r="H42" s="37" t="str">
        <f>IF(COUNTIF(ERP导入清单!$X$5:$X$204,38)=0,"",INDEX(ERP导入清单!H:H,IFERROR(MATCH(38,ERP导入清单!$X$5:$X$204,0)+4,"")))</f>
        <v/>
      </c>
      <c r="I42" s="57" t="str">
        <f>IF(COUNTIF(ERP导入清单!$X$5:$X$204,38)=0,"",INDEX(ERP导入清单!I:I,IFERROR(MATCH(38,ERP导入清单!$X$5:$X$204,0)+4,"")))</f>
        <v/>
      </c>
      <c r="J42" s="57" t="str">
        <f>IF(COUNTIF(ERP导入清单!$X$5:$X$204,38)=0,"",INDEX(ERP导入清单!J:J,IFERROR(MATCH(38,ERP导入清单!$X$5:$X$204,0)+4,"")))</f>
        <v/>
      </c>
      <c r="K42" s="37" t="str">
        <f>IF(COUNTIF(ERP导入清单!$X$5:$X$204,38)=0,"",INDEX(ERP导入清单!K:K,IFERROR(MATCH(38,ERP导入清单!$X$5:$X$204,0)+4,"")))</f>
        <v/>
      </c>
      <c r="L42" s="37" t="str">
        <f>IF(COUNTIF(ERP导入清单!$X$5:$X$204,38)=0,"",INDEX(ERP导入清单!L:L,IFERROR(MATCH(38,ERP导入清单!$X$5:$X$204,0)+4,"")))</f>
        <v/>
      </c>
      <c r="M42" s="37" t="str">
        <f>IF(COUNTIF(ERP导入清单!$X$5:$X$204,38)=0,"",INDEX(ERP导入清单!M:M,IFERROR(MATCH(38,ERP导入清单!$X$5:$X$204,0)+4,"")))</f>
        <v/>
      </c>
      <c r="N42" s="37" t="str">
        <f>IF(COUNTIF(ERP导入清单!$X$5:$X$204,38)=0,"",INDEX(ERP导入清单!N:N,IFERROR(MATCH(38,ERP导入清单!$X$5:$X$204,0)+4,"")))</f>
        <v/>
      </c>
      <c r="O42" s="37" t="str">
        <f>IF(COUNTIF(ERP导入清单!$X$5:$X$204,38)=0,"",INDEX(ERP导入清单!O:O,IFERROR(MATCH(38,ERP导入清单!$X$5:$X$204,0)+4,"")))</f>
        <v/>
      </c>
      <c r="P42" s="39" t="str">
        <f>IF(COUNTIF(ERP导入清单!$X$5:$X$204,38)=0,"",INDEX(ERP导入清单!P:P,IFERROR(MATCH(38,ERP导入清单!$X$5:$X$204,0)+4,"")))</f>
        <v/>
      </c>
      <c r="Q42" s="39" t="str">
        <f>IF(COUNTIF(ERP导入清单!$X$5:$X$204,38)=0,"",INDEX(ERP导入清单!Q:Q,IFERROR(MATCH(38,ERP导入清单!$X$5:$X$204,0)+4,"")))</f>
        <v/>
      </c>
      <c r="R42" s="59" t="str">
        <f>IF(COUNTIF(ERP导入清单!$X$5:$X$204,38)=0,"",INDEX(ERP导入清单!R:R,IFERROR(MATCH(38,ERP导入清单!$X$5:$X$204,0)+4,"")))</f>
        <v/>
      </c>
      <c r="S42" s="37" t="str">
        <f>IF(COUNTIF(ERP导入清单!$X$5:$X$204,38)=0,"",INDEX(ERP导入清单!S:S,IFERROR(MATCH(38,ERP导入清单!$X$5:$X$204,0)+4,"")))</f>
        <v/>
      </c>
      <c r="T42" s="37" t="str">
        <f>IF(COUNTIF(ERP导入清单!$X$5:$X$204,38)=0,"",INDEX(ERP导入清单!T:T,IFERROR(MATCH(38,ERP导入清单!$X$5:$X$204,0)+4,"")))</f>
        <v/>
      </c>
      <c r="U42" s="37" t="str">
        <f>IF(COUNTIF(ERP导入清单!$X$5:$X$204,38)=0,"",INDEX(ERP导入清单!U:U,IFERROR(MATCH(38,ERP导入清单!$X$5:$X$204,0)+4,"")))</f>
        <v/>
      </c>
      <c r="V42" s="38" t="str">
        <f>IF(COUNTIF(ERP导入清单!$X$5:$X$204,38)=0,"",INDEX(ERP导入清单!V:V,IFERROR(MATCH(38,ERP导入清单!$X$5:$X$204,0)+4,"")))</f>
        <v/>
      </c>
      <c r="W42" s="50" t="str">
        <f>IF(COUNTIF(ERP导入清单!$X$5:$X$204,38)=0,"",INDEX(ERP导入清单!W:W,IFERROR(MATCH(38,ERP导入清单!$X$5:$X$204,0)+4,"")))</f>
        <v/>
      </c>
    </row>
    <row r="43" spans="1:23" ht="24" customHeight="1">
      <c r="A43" s="55" t="str">
        <f>IF(COUNTIF(ERP导入清单!$X$5:$X$204,39)=0,"",INDEX(ERP导入清单!A:A,IFERROR(MATCH(39,ERP导入清单!$X$5:$X$204,0)+4,"")))</f>
        <v/>
      </c>
      <c r="B43" s="37" t="str">
        <f>IF(COUNTIF(ERP导入清单!$X$5:$X$204,39)=0,"",INDEX(ERP导入清单!B:B,IFERROR(MATCH(39,ERP导入清单!$X$5:$X$204,0)+4,"")))</f>
        <v/>
      </c>
      <c r="C43" s="38" t="str">
        <f>IF(COUNTIF(ERP导入清单!$X$5:$X$204,39)=0,"",INDEX(ERP导入清单!C:C,IFERROR(MATCH(39,ERP导入清单!$X$5:$X$204,0)+4,"")))</f>
        <v/>
      </c>
      <c r="D43" s="37" t="str">
        <f>IF(COUNTIF(ERP导入清单!$X$5:$X$204,39)=0,"",INDEX(ERP导入清单!D:D,IFERROR(MATCH(39,ERP导入清单!$X$5:$X$204,0)+4,"")))</f>
        <v/>
      </c>
      <c r="E43" s="37" t="str">
        <f>IF(COUNTIF(ERP导入清单!$X$5:$X$204,39)=0,"",INDEX(ERP导入清单!E:E,IFERROR(MATCH(39,ERP导入清单!$X$5:$X$204,0)+4,"")))</f>
        <v/>
      </c>
      <c r="F43" s="37" t="str">
        <f>IF(COUNTIF(ERP导入清单!$X$5:$X$204,39)=0,"",INDEX(ERP导入清单!F:F,IFERROR(MATCH(39,ERP导入清单!$X$5:$X$204,0)+4,"")))</f>
        <v/>
      </c>
      <c r="G43" s="57" t="str">
        <f>IF(COUNTIF(ERP导入清单!$X$5:$X$204,39)=0,"",INDEX(ERP导入清单!G:G,IFERROR(MATCH(39,ERP导入清单!$X$5:$X$204,0)+4,"")))</f>
        <v/>
      </c>
      <c r="H43" s="37" t="str">
        <f>IF(COUNTIF(ERP导入清单!$X$5:$X$204,39)=0,"",INDEX(ERP导入清单!H:H,IFERROR(MATCH(39,ERP导入清单!$X$5:$X$204,0)+4,"")))</f>
        <v/>
      </c>
      <c r="I43" s="57" t="str">
        <f>IF(COUNTIF(ERP导入清单!$X$5:$X$204,39)=0,"",INDEX(ERP导入清单!I:I,IFERROR(MATCH(39,ERP导入清单!$X$5:$X$204,0)+4,"")))</f>
        <v/>
      </c>
      <c r="J43" s="57" t="str">
        <f>IF(COUNTIF(ERP导入清单!$X$5:$X$204,39)=0,"",INDEX(ERP导入清单!J:J,IFERROR(MATCH(39,ERP导入清单!$X$5:$X$204,0)+4,"")))</f>
        <v/>
      </c>
      <c r="K43" s="37" t="str">
        <f>IF(COUNTIF(ERP导入清单!$X$5:$X$204,39)=0,"",INDEX(ERP导入清单!K:K,IFERROR(MATCH(39,ERP导入清单!$X$5:$X$204,0)+4,"")))</f>
        <v/>
      </c>
      <c r="L43" s="37" t="str">
        <f>IF(COUNTIF(ERP导入清单!$X$5:$X$204,39)=0,"",INDEX(ERP导入清单!L:L,IFERROR(MATCH(39,ERP导入清单!$X$5:$X$204,0)+4,"")))</f>
        <v/>
      </c>
      <c r="M43" s="37" t="str">
        <f>IF(COUNTIF(ERP导入清单!$X$5:$X$204,39)=0,"",INDEX(ERP导入清单!M:M,IFERROR(MATCH(39,ERP导入清单!$X$5:$X$204,0)+4,"")))</f>
        <v/>
      </c>
      <c r="N43" s="37" t="str">
        <f>IF(COUNTIF(ERP导入清单!$X$5:$X$204,39)=0,"",INDEX(ERP导入清单!N:N,IFERROR(MATCH(39,ERP导入清单!$X$5:$X$204,0)+4,"")))</f>
        <v/>
      </c>
      <c r="O43" s="37" t="str">
        <f>IF(COUNTIF(ERP导入清单!$X$5:$X$204,39)=0,"",INDEX(ERP导入清单!O:O,IFERROR(MATCH(39,ERP导入清单!$X$5:$X$204,0)+4,"")))</f>
        <v/>
      </c>
      <c r="P43" s="39" t="str">
        <f>IF(COUNTIF(ERP导入清单!$X$5:$X$204,39)=0,"",INDEX(ERP导入清单!P:P,IFERROR(MATCH(39,ERP导入清单!$X$5:$X$204,0)+4,"")))</f>
        <v/>
      </c>
      <c r="Q43" s="39" t="str">
        <f>IF(COUNTIF(ERP导入清单!$X$5:$X$204,39)=0,"",INDEX(ERP导入清单!Q:Q,IFERROR(MATCH(39,ERP导入清单!$X$5:$X$204,0)+4,"")))</f>
        <v/>
      </c>
      <c r="R43" s="59" t="str">
        <f>IF(COUNTIF(ERP导入清单!$X$5:$X$204,39)=0,"",INDEX(ERP导入清单!R:R,IFERROR(MATCH(39,ERP导入清单!$X$5:$X$204,0)+4,"")))</f>
        <v/>
      </c>
      <c r="S43" s="37" t="str">
        <f>IF(COUNTIF(ERP导入清单!$X$5:$X$204,39)=0,"",INDEX(ERP导入清单!S:S,IFERROR(MATCH(39,ERP导入清单!$X$5:$X$204,0)+4,"")))</f>
        <v/>
      </c>
      <c r="T43" s="37" t="str">
        <f>IF(COUNTIF(ERP导入清单!$X$5:$X$204,39)=0,"",INDEX(ERP导入清单!T:T,IFERROR(MATCH(39,ERP导入清单!$X$5:$X$204,0)+4,"")))</f>
        <v/>
      </c>
      <c r="U43" s="37" t="str">
        <f>IF(COUNTIF(ERP导入清单!$X$5:$X$204,39)=0,"",INDEX(ERP导入清单!U:U,IFERROR(MATCH(39,ERP导入清单!$X$5:$X$204,0)+4,"")))</f>
        <v/>
      </c>
      <c r="V43" s="38" t="str">
        <f>IF(COUNTIF(ERP导入清单!$X$5:$X$204,39)=0,"",INDEX(ERP导入清单!V:V,IFERROR(MATCH(39,ERP导入清单!$X$5:$X$204,0)+4,"")))</f>
        <v/>
      </c>
      <c r="W43" s="50" t="str">
        <f>IF(COUNTIF(ERP导入清单!$X$5:$X$204,39)=0,"",INDEX(ERP导入清单!W:W,IFERROR(MATCH(39,ERP导入清单!$X$5:$X$204,0)+4,"")))</f>
        <v/>
      </c>
    </row>
    <row r="44" spans="1:23" ht="24" customHeight="1">
      <c r="A44" s="55" t="str">
        <f>IF(COUNTIF(ERP导入清单!$X$5:$X$204,40)=0,"",INDEX(ERP导入清单!A:A,IFERROR(MATCH(40,ERP导入清单!$X$5:$X$204,0)+4,"")))</f>
        <v/>
      </c>
      <c r="B44" s="37" t="str">
        <f>IF(COUNTIF(ERP导入清单!$X$5:$X$204,40)=0,"",INDEX(ERP导入清单!B:B,IFERROR(MATCH(40,ERP导入清单!$X$5:$X$204,0)+4,"")))</f>
        <v/>
      </c>
      <c r="C44" s="38" t="str">
        <f>IF(COUNTIF(ERP导入清单!$X$5:$X$204,40)=0,"",INDEX(ERP导入清单!C:C,IFERROR(MATCH(40,ERP导入清单!$X$5:$X$204,0)+4,"")))</f>
        <v/>
      </c>
      <c r="D44" s="37" t="str">
        <f>IF(COUNTIF(ERP导入清单!$X$5:$X$204,40)=0,"",INDEX(ERP导入清单!D:D,IFERROR(MATCH(40,ERP导入清单!$X$5:$X$204,0)+4,"")))</f>
        <v/>
      </c>
      <c r="E44" s="37" t="str">
        <f>IF(COUNTIF(ERP导入清单!$X$5:$X$204,40)=0,"",INDEX(ERP导入清单!E:E,IFERROR(MATCH(40,ERP导入清单!$X$5:$X$204,0)+4,"")))</f>
        <v/>
      </c>
      <c r="F44" s="37" t="str">
        <f>IF(COUNTIF(ERP导入清单!$X$5:$X$204,40)=0,"",INDEX(ERP导入清单!F:F,IFERROR(MATCH(40,ERP导入清单!$X$5:$X$204,0)+4,"")))</f>
        <v/>
      </c>
      <c r="G44" s="57" t="str">
        <f>IF(COUNTIF(ERP导入清单!$X$5:$X$204,40)=0,"",INDEX(ERP导入清单!G:G,IFERROR(MATCH(40,ERP导入清单!$X$5:$X$204,0)+4,"")))</f>
        <v/>
      </c>
      <c r="H44" s="37" t="str">
        <f>IF(COUNTIF(ERP导入清单!$X$5:$X$204,40)=0,"",INDEX(ERP导入清单!H:H,IFERROR(MATCH(40,ERP导入清单!$X$5:$X$204,0)+4,"")))</f>
        <v/>
      </c>
      <c r="I44" s="57" t="str">
        <f>IF(COUNTIF(ERP导入清单!$X$5:$X$204,40)=0,"",INDEX(ERP导入清单!I:I,IFERROR(MATCH(40,ERP导入清单!$X$5:$X$204,0)+4,"")))</f>
        <v/>
      </c>
      <c r="J44" s="57" t="str">
        <f>IF(COUNTIF(ERP导入清单!$X$5:$X$204,40)=0,"",INDEX(ERP导入清单!J:J,IFERROR(MATCH(40,ERP导入清单!$X$5:$X$204,0)+4,"")))</f>
        <v/>
      </c>
      <c r="K44" s="37" t="str">
        <f>IF(COUNTIF(ERP导入清单!$X$5:$X$204,40)=0,"",INDEX(ERP导入清单!K:K,IFERROR(MATCH(40,ERP导入清单!$X$5:$X$204,0)+4,"")))</f>
        <v/>
      </c>
      <c r="L44" s="37" t="str">
        <f>IF(COUNTIF(ERP导入清单!$X$5:$X$204,40)=0,"",INDEX(ERP导入清单!L:L,IFERROR(MATCH(40,ERP导入清单!$X$5:$X$204,0)+4,"")))</f>
        <v/>
      </c>
      <c r="M44" s="37" t="str">
        <f>IF(COUNTIF(ERP导入清单!$X$5:$X$204,40)=0,"",INDEX(ERP导入清单!M:M,IFERROR(MATCH(40,ERP导入清单!$X$5:$X$204,0)+4,"")))</f>
        <v/>
      </c>
      <c r="N44" s="37" t="str">
        <f>IF(COUNTIF(ERP导入清单!$X$5:$X$204,40)=0,"",INDEX(ERP导入清单!N:N,IFERROR(MATCH(40,ERP导入清单!$X$5:$X$204,0)+4,"")))</f>
        <v/>
      </c>
      <c r="O44" s="37" t="str">
        <f>IF(COUNTIF(ERP导入清单!$X$5:$X$204,40)=0,"",INDEX(ERP导入清单!O:O,IFERROR(MATCH(40,ERP导入清单!$X$5:$X$204,0)+4,"")))</f>
        <v/>
      </c>
      <c r="P44" s="39" t="str">
        <f>IF(COUNTIF(ERP导入清单!$X$5:$X$204,40)=0,"",INDEX(ERP导入清单!P:P,IFERROR(MATCH(40,ERP导入清单!$X$5:$X$204,0)+4,"")))</f>
        <v/>
      </c>
      <c r="Q44" s="39" t="str">
        <f>IF(COUNTIF(ERP导入清单!$X$5:$X$204,40)=0,"",INDEX(ERP导入清单!Q:Q,IFERROR(MATCH(40,ERP导入清单!$X$5:$X$204,0)+4,"")))</f>
        <v/>
      </c>
      <c r="R44" s="59" t="str">
        <f>IF(COUNTIF(ERP导入清单!$X$5:$X$204,40)=0,"",INDEX(ERP导入清单!R:R,IFERROR(MATCH(40,ERP导入清单!$X$5:$X$204,0)+4,"")))</f>
        <v/>
      </c>
      <c r="S44" s="37" t="str">
        <f>IF(COUNTIF(ERP导入清单!$X$5:$X$204,40)=0,"",INDEX(ERP导入清单!S:S,IFERROR(MATCH(40,ERP导入清单!$X$5:$X$204,0)+4,"")))</f>
        <v/>
      </c>
      <c r="T44" s="37" t="str">
        <f>IF(COUNTIF(ERP导入清单!$X$5:$X$204,40)=0,"",INDEX(ERP导入清单!T:T,IFERROR(MATCH(40,ERP导入清单!$X$5:$X$204,0)+4,"")))</f>
        <v/>
      </c>
      <c r="U44" s="37" t="str">
        <f>IF(COUNTIF(ERP导入清单!$X$5:$X$204,40)=0,"",INDEX(ERP导入清单!U:U,IFERROR(MATCH(40,ERP导入清单!$X$5:$X$204,0)+4,"")))</f>
        <v/>
      </c>
      <c r="V44" s="38" t="str">
        <f>IF(COUNTIF(ERP导入清单!$X$5:$X$204,40)=0,"",INDEX(ERP导入清单!V:V,IFERROR(MATCH(40,ERP导入清单!$X$5:$X$204,0)+4,"")))</f>
        <v/>
      </c>
      <c r="W44" s="50" t="str">
        <f>IF(COUNTIF(ERP导入清单!$X$5:$X$204,40)=0,"",INDEX(ERP导入清单!W:W,IFERROR(MATCH(40,ERP导入清单!$X$5:$X$204,0)+4,"")))</f>
        <v/>
      </c>
    </row>
    <row r="45" spans="1:23" ht="24" customHeight="1">
      <c r="A45" s="55" t="str">
        <f>IF(COUNTIF(ERP导入清单!$X$5:$X$204,41)=0,"",INDEX(ERP导入清单!A:A,IFERROR(MATCH(41,ERP导入清单!$X$5:$X$204,0)+4,"")))</f>
        <v/>
      </c>
      <c r="B45" s="37" t="str">
        <f>IF(COUNTIF(ERP导入清单!$X$5:$X$204,41)=0,"",INDEX(ERP导入清单!B:B,IFERROR(MATCH(41,ERP导入清单!$X$5:$X$204,0)+4,"")))</f>
        <v/>
      </c>
      <c r="C45" s="38" t="str">
        <f>IF(COUNTIF(ERP导入清单!$X$5:$X$204,41)=0,"",INDEX(ERP导入清单!C:C,IFERROR(MATCH(41,ERP导入清单!$X$5:$X$204,0)+4,"")))</f>
        <v/>
      </c>
      <c r="D45" s="37" t="str">
        <f>IF(COUNTIF(ERP导入清单!$X$5:$X$204,41)=0,"",INDEX(ERP导入清单!D:D,IFERROR(MATCH(41,ERP导入清单!$X$5:$X$204,0)+4,"")))</f>
        <v/>
      </c>
      <c r="E45" s="37" t="str">
        <f>IF(COUNTIF(ERP导入清单!$X$5:$X$204,41)=0,"",INDEX(ERP导入清单!E:E,IFERROR(MATCH(41,ERP导入清单!$X$5:$X$204,0)+4,"")))</f>
        <v/>
      </c>
      <c r="F45" s="37" t="str">
        <f>IF(COUNTIF(ERP导入清单!$X$5:$X$204,41)=0,"",INDEX(ERP导入清单!F:F,IFERROR(MATCH(41,ERP导入清单!$X$5:$X$204,0)+4,"")))</f>
        <v/>
      </c>
      <c r="G45" s="57" t="str">
        <f>IF(COUNTIF(ERP导入清单!$X$5:$X$204,41)=0,"",INDEX(ERP导入清单!G:G,IFERROR(MATCH(41,ERP导入清单!$X$5:$X$204,0)+4,"")))</f>
        <v/>
      </c>
      <c r="H45" s="37" t="str">
        <f>IF(COUNTIF(ERP导入清单!$X$5:$X$204,41)=0,"",INDEX(ERP导入清单!H:H,IFERROR(MATCH(41,ERP导入清单!$X$5:$X$204,0)+4,"")))</f>
        <v/>
      </c>
      <c r="I45" s="57" t="str">
        <f>IF(COUNTIF(ERP导入清单!$X$5:$X$204,41)=0,"",INDEX(ERP导入清单!I:I,IFERROR(MATCH(41,ERP导入清单!$X$5:$X$204,0)+4,"")))</f>
        <v/>
      </c>
      <c r="J45" s="57" t="str">
        <f>IF(COUNTIF(ERP导入清单!$X$5:$X$204,41)=0,"",INDEX(ERP导入清单!J:J,IFERROR(MATCH(41,ERP导入清单!$X$5:$X$204,0)+4,"")))</f>
        <v/>
      </c>
      <c r="K45" s="37" t="str">
        <f>IF(COUNTIF(ERP导入清单!$X$5:$X$204,41)=0,"",INDEX(ERP导入清单!K:K,IFERROR(MATCH(41,ERP导入清单!$X$5:$X$204,0)+4,"")))</f>
        <v/>
      </c>
      <c r="L45" s="37" t="str">
        <f>IF(COUNTIF(ERP导入清单!$X$5:$X$204,41)=0,"",INDEX(ERP导入清单!L:L,IFERROR(MATCH(41,ERP导入清单!$X$5:$X$204,0)+4,"")))</f>
        <v/>
      </c>
      <c r="M45" s="37" t="str">
        <f>IF(COUNTIF(ERP导入清单!$X$5:$X$204,41)=0,"",INDEX(ERP导入清单!M:M,IFERROR(MATCH(41,ERP导入清单!$X$5:$X$204,0)+4,"")))</f>
        <v/>
      </c>
      <c r="N45" s="37" t="str">
        <f>IF(COUNTIF(ERP导入清单!$X$5:$X$204,41)=0,"",INDEX(ERP导入清单!N:N,IFERROR(MATCH(41,ERP导入清单!$X$5:$X$204,0)+4,"")))</f>
        <v/>
      </c>
      <c r="O45" s="37" t="str">
        <f>IF(COUNTIF(ERP导入清单!$X$5:$X$204,41)=0,"",INDEX(ERP导入清单!O:O,IFERROR(MATCH(41,ERP导入清单!$X$5:$X$204,0)+4,"")))</f>
        <v/>
      </c>
      <c r="P45" s="39" t="str">
        <f>IF(COUNTIF(ERP导入清单!$X$5:$X$204,41)=0,"",INDEX(ERP导入清单!P:P,IFERROR(MATCH(41,ERP导入清单!$X$5:$X$204,0)+4,"")))</f>
        <v/>
      </c>
      <c r="Q45" s="39" t="str">
        <f>IF(COUNTIF(ERP导入清单!$X$5:$X$204,41)=0,"",INDEX(ERP导入清单!Q:Q,IFERROR(MATCH(41,ERP导入清单!$X$5:$X$204,0)+4,"")))</f>
        <v/>
      </c>
      <c r="R45" s="59" t="str">
        <f>IF(COUNTIF(ERP导入清单!$X$5:$X$204,41)=0,"",INDEX(ERP导入清单!R:R,IFERROR(MATCH(41,ERP导入清单!$X$5:$X$204,0)+4,"")))</f>
        <v/>
      </c>
      <c r="S45" s="37" t="str">
        <f>IF(COUNTIF(ERP导入清单!$X$5:$X$204,41)=0,"",INDEX(ERP导入清单!S:S,IFERROR(MATCH(41,ERP导入清单!$X$5:$X$204,0)+4,"")))</f>
        <v/>
      </c>
      <c r="T45" s="37" t="str">
        <f>IF(COUNTIF(ERP导入清单!$X$5:$X$204,41)=0,"",INDEX(ERP导入清单!T:T,IFERROR(MATCH(41,ERP导入清单!$X$5:$X$204,0)+4,"")))</f>
        <v/>
      </c>
      <c r="U45" s="37" t="str">
        <f>IF(COUNTIF(ERP导入清单!$X$5:$X$204,41)=0,"",INDEX(ERP导入清单!U:U,IFERROR(MATCH(41,ERP导入清单!$X$5:$X$204,0)+4,"")))</f>
        <v/>
      </c>
      <c r="V45" s="38" t="str">
        <f>IF(COUNTIF(ERP导入清单!$X$5:$X$204,41)=0,"",INDEX(ERP导入清单!V:V,IFERROR(MATCH(41,ERP导入清单!$X$5:$X$204,0)+4,"")))</f>
        <v/>
      </c>
      <c r="W45" s="50" t="str">
        <f>IF(COUNTIF(ERP导入清单!$X$5:$X$204,41)=0,"",INDEX(ERP导入清单!W:W,IFERROR(MATCH(41,ERP导入清单!$X$5:$X$204,0)+4,"")))</f>
        <v/>
      </c>
    </row>
    <row r="46" spans="1:23" ht="24" customHeight="1">
      <c r="A46" s="55" t="str">
        <f>IF(COUNTIF(ERP导入清单!$X$5:$X$204,42)=0,"",INDEX(ERP导入清单!A:A,IFERROR(MATCH(42,ERP导入清单!$X$5:$X$204,0)+4,"")))</f>
        <v/>
      </c>
      <c r="B46" s="37" t="str">
        <f>IF(COUNTIF(ERP导入清单!$X$5:$X$204,42)=0,"",INDEX(ERP导入清单!B:B,IFERROR(MATCH(42,ERP导入清单!$X$5:$X$204,0)+4,"")))</f>
        <v/>
      </c>
      <c r="C46" s="38" t="str">
        <f>IF(COUNTIF(ERP导入清单!$X$5:$X$204,42)=0,"",INDEX(ERP导入清单!C:C,IFERROR(MATCH(42,ERP导入清单!$X$5:$X$204,0)+4,"")))</f>
        <v/>
      </c>
      <c r="D46" s="37" t="str">
        <f>IF(COUNTIF(ERP导入清单!$X$5:$X$204,42)=0,"",INDEX(ERP导入清单!D:D,IFERROR(MATCH(42,ERP导入清单!$X$5:$X$204,0)+4,"")))</f>
        <v/>
      </c>
      <c r="E46" s="37" t="str">
        <f>IF(COUNTIF(ERP导入清单!$X$5:$X$204,42)=0,"",INDEX(ERP导入清单!E:E,IFERROR(MATCH(42,ERP导入清单!$X$5:$X$204,0)+4,"")))</f>
        <v/>
      </c>
      <c r="F46" s="37" t="str">
        <f>IF(COUNTIF(ERP导入清单!$X$5:$X$204,42)=0,"",INDEX(ERP导入清单!F:F,IFERROR(MATCH(42,ERP导入清单!$X$5:$X$204,0)+4,"")))</f>
        <v/>
      </c>
      <c r="G46" s="57" t="str">
        <f>IF(COUNTIF(ERP导入清单!$X$5:$X$204,42)=0,"",INDEX(ERP导入清单!G:G,IFERROR(MATCH(42,ERP导入清单!$X$5:$X$204,0)+4,"")))</f>
        <v/>
      </c>
      <c r="H46" s="37" t="str">
        <f>IF(COUNTIF(ERP导入清单!$X$5:$X$204,42)=0,"",INDEX(ERP导入清单!H:H,IFERROR(MATCH(42,ERP导入清单!$X$5:$X$204,0)+4,"")))</f>
        <v/>
      </c>
      <c r="I46" s="57" t="str">
        <f>IF(COUNTIF(ERP导入清单!$X$5:$X$204,42)=0,"",INDEX(ERP导入清单!I:I,IFERROR(MATCH(42,ERP导入清单!$X$5:$X$204,0)+4,"")))</f>
        <v/>
      </c>
      <c r="J46" s="57" t="str">
        <f>IF(COUNTIF(ERP导入清单!$X$5:$X$204,42)=0,"",INDEX(ERP导入清单!J:J,IFERROR(MATCH(42,ERP导入清单!$X$5:$X$204,0)+4,"")))</f>
        <v/>
      </c>
      <c r="K46" s="37" t="str">
        <f>IF(COUNTIF(ERP导入清单!$X$5:$X$204,42)=0,"",INDEX(ERP导入清单!K:K,IFERROR(MATCH(42,ERP导入清单!$X$5:$X$204,0)+4,"")))</f>
        <v/>
      </c>
      <c r="L46" s="37" t="str">
        <f>IF(COUNTIF(ERP导入清单!$X$5:$X$204,42)=0,"",INDEX(ERP导入清单!L:L,IFERROR(MATCH(42,ERP导入清单!$X$5:$X$204,0)+4,"")))</f>
        <v/>
      </c>
      <c r="M46" s="37" t="str">
        <f>IF(COUNTIF(ERP导入清单!$X$5:$X$204,42)=0,"",INDEX(ERP导入清单!M:M,IFERROR(MATCH(42,ERP导入清单!$X$5:$X$204,0)+4,"")))</f>
        <v/>
      </c>
      <c r="N46" s="37" t="str">
        <f>IF(COUNTIF(ERP导入清单!$X$5:$X$204,42)=0,"",INDEX(ERP导入清单!N:N,IFERROR(MATCH(42,ERP导入清单!$X$5:$X$204,0)+4,"")))</f>
        <v/>
      </c>
      <c r="O46" s="37" t="str">
        <f>IF(COUNTIF(ERP导入清单!$X$5:$X$204,42)=0,"",INDEX(ERP导入清单!O:O,IFERROR(MATCH(42,ERP导入清单!$X$5:$X$204,0)+4,"")))</f>
        <v/>
      </c>
      <c r="P46" s="39" t="str">
        <f>IF(COUNTIF(ERP导入清单!$X$5:$X$204,42)=0,"",INDEX(ERP导入清单!P:P,IFERROR(MATCH(42,ERP导入清单!$X$5:$X$204,0)+4,"")))</f>
        <v/>
      </c>
      <c r="Q46" s="39" t="str">
        <f>IF(COUNTIF(ERP导入清单!$X$5:$X$204,42)=0,"",INDEX(ERP导入清单!Q:Q,IFERROR(MATCH(42,ERP导入清单!$X$5:$X$204,0)+4,"")))</f>
        <v/>
      </c>
      <c r="R46" s="59" t="str">
        <f>IF(COUNTIF(ERP导入清单!$X$5:$X$204,42)=0,"",INDEX(ERP导入清单!R:R,IFERROR(MATCH(42,ERP导入清单!$X$5:$X$204,0)+4,"")))</f>
        <v/>
      </c>
      <c r="S46" s="37" t="str">
        <f>IF(COUNTIF(ERP导入清单!$X$5:$X$204,42)=0,"",INDEX(ERP导入清单!S:S,IFERROR(MATCH(42,ERP导入清单!$X$5:$X$204,0)+4,"")))</f>
        <v/>
      </c>
      <c r="T46" s="37" t="str">
        <f>IF(COUNTIF(ERP导入清单!$X$5:$X$204,42)=0,"",INDEX(ERP导入清单!T:T,IFERROR(MATCH(42,ERP导入清单!$X$5:$X$204,0)+4,"")))</f>
        <v/>
      </c>
      <c r="U46" s="37" t="str">
        <f>IF(COUNTIF(ERP导入清单!$X$5:$X$204,42)=0,"",INDEX(ERP导入清单!U:U,IFERROR(MATCH(42,ERP导入清单!$X$5:$X$204,0)+4,"")))</f>
        <v/>
      </c>
      <c r="V46" s="38" t="str">
        <f>IF(COUNTIF(ERP导入清单!$X$5:$X$204,42)=0,"",INDEX(ERP导入清单!V:V,IFERROR(MATCH(42,ERP导入清单!$X$5:$X$204,0)+4,"")))</f>
        <v/>
      </c>
      <c r="W46" s="50" t="str">
        <f>IF(COUNTIF(ERP导入清单!$X$5:$X$204,42)=0,"",INDEX(ERP导入清单!W:W,IFERROR(MATCH(42,ERP导入清单!$X$5:$X$204,0)+4,"")))</f>
        <v/>
      </c>
    </row>
    <row r="47" spans="1:23" ht="24" customHeight="1">
      <c r="A47" s="55" t="str">
        <f>IF(COUNTIF(ERP导入清单!$X$5:$X$204,43)=0,"",INDEX(ERP导入清单!A:A,IFERROR(MATCH(43,ERP导入清单!$X$5:$X$204,0)+4,"")))</f>
        <v/>
      </c>
      <c r="B47" s="37" t="str">
        <f>IF(COUNTIF(ERP导入清单!$X$5:$X$204,43)=0,"",INDEX(ERP导入清单!B:B,IFERROR(MATCH(43,ERP导入清单!$X$5:$X$204,0)+4,"")))</f>
        <v/>
      </c>
      <c r="C47" s="38" t="str">
        <f>IF(COUNTIF(ERP导入清单!$X$5:$X$204,43)=0,"",INDEX(ERP导入清单!C:C,IFERROR(MATCH(43,ERP导入清单!$X$5:$X$204,0)+4,"")))</f>
        <v/>
      </c>
      <c r="D47" s="37" t="str">
        <f>IF(COUNTIF(ERP导入清单!$X$5:$X$204,43)=0,"",INDEX(ERP导入清单!D:D,IFERROR(MATCH(43,ERP导入清单!$X$5:$X$204,0)+4,"")))</f>
        <v/>
      </c>
      <c r="E47" s="37" t="str">
        <f>IF(COUNTIF(ERP导入清单!$X$5:$X$204,43)=0,"",INDEX(ERP导入清单!E:E,IFERROR(MATCH(43,ERP导入清单!$X$5:$X$204,0)+4,"")))</f>
        <v/>
      </c>
      <c r="F47" s="37" t="str">
        <f>IF(COUNTIF(ERP导入清单!$X$5:$X$204,43)=0,"",INDEX(ERP导入清单!F:F,IFERROR(MATCH(43,ERP导入清单!$X$5:$X$204,0)+4,"")))</f>
        <v/>
      </c>
      <c r="G47" s="57" t="str">
        <f>IF(COUNTIF(ERP导入清单!$X$5:$X$204,43)=0,"",INDEX(ERP导入清单!G:G,IFERROR(MATCH(43,ERP导入清单!$X$5:$X$204,0)+4,"")))</f>
        <v/>
      </c>
      <c r="H47" s="37" t="str">
        <f>IF(COUNTIF(ERP导入清单!$X$5:$X$204,43)=0,"",INDEX(ERP导入清单!H:H,IFERROR(MATCH(43,ERP导入清单!$X$5:$X$204,0)+4,"")))</f>
        <v/>
      </c>
      <c r="I47" s="57" t="str">
        <f>IF(COUNTIF(ERP导入清单!$X$5:$X$204,43)=0,"",INDEX(ERP导入清单!I:I,IFERROR(MATCH(43,ERP导入清单!$X$5:$X$204,0)+4,"")))</f>
        <v/>
      </c>
      <c r="J47" s="57" t="str">
        <f>IF(COUNTIF(ERP导入清单!$X$5:$X$204,43)=0,"",INDEX(ERP导入清单!J:J,IFERROR(MATCH(43,ERP导入清单!$X$5:$X$204,0)+4,"")))</f>
        <v/>
      </c>
      <c r="K47" s="37" t="str">
        <f>IF(COUNTIF(ERP导入清单!$X$5:$X$204,43)=0,"",INDEX(ERP导入清单!K:K,IFERROR(MATCH(43,ERP导入清单!$X$5:$X$204,0)+4,"")))</f>
        <v/>
      </c>
      <c r="L47" s="37" t="str">
        <f>IF(COUNTIF(ERP导入清单!$X$5:$X$204,43)=0,"",INDEX(ERP导入清单!L:L,IFERROR(MATCH(43,ERP导入清单!$X$5:$X$204,0)+4,"")))</f>
        <v/>
      </c>
      <c r="M47" s="37" t="str">
        <f>IF(COUNTIF(ERP导入清单!$X$5:$X$204,43)=0,"",INDEX(ERP导入清单!M:M,IFERROR(MATCH(43,ERP导入清单!$X$5:$X$204,0)+4,"")))</f>
        <v/>
      </c>
      <c r="N47" s="37" t="str">
        <f>IF(COUNTIF(ERP导入清单!$X$5:$X$204,43)=0,"",INDEX(ERP导入清单!N:N,IFERROR(MATCH(43,ERP导入清单!$X$5:$X$204,0)+4,"")))</f>
        <v/>
      </c>
      <c r="O47" s="37" t="str">
        <f>IF(COUNTIF(ERP导入清单!$X$5:$X$204,43)=0,"",INDEX(ERP导入清单!O:O,IFERROR(MATCH(43,ERP导入清单!$X$5:$X$204,0)+4,"")))</f>
        <v/>
      </c>
      <c r="P47" s="39" t="str">
        <f>IF(COUNTIF(ERP导入清单!$X$5:$X$204,43)=0,"",INDEX(ERP导入清单!P:P,IFERROR(MATCH(43,ERP导入清单!$X$5:$X$204,0)+4,"")))</f>
        <v/>
      </c>
      <c r="Q47" s="39" t="str">
        <f>IF(COUNTIF(ERP导入清单!$X$5:$X$204,43)=0,"",INDEX(ERP导入清单!Q:Q,IFERROR(MATCH(43,ERP导入清单!$X$5:$X$204,0)+4,"")))</f>
        <v/>
      </c>
      <c r="R47" s="59" t="str">
        <f>IF(COUNTIF(ERP导入清单!$X$5:$X$204,43)=0,"",INDEX(ERP导入清单!R:R,IFERROR(MATCH(43,ERP导入清单!$X$5:$X$204,0)+4,"")))</f>
        <v/>
      </c>
      <c r="S47" s="37" t="str">
        <f>IF(COUNTIF(ERP导入清单!$X$5:$X$204,43)=0,"",INDEX(ERP导入清单!S:S,IFERROR(MATCH(43,ERP导入清单!$X$5:$X$204,0)+4,"")))</f>
        <v/>
      </c>
      <c r="T47" s="37" t="str">
        <f>IF(COUNTIF(ERP导入清单!$X$5:$X$204,43)=0,"",INDEX(ERP导入清单!T:T,IFERROR(MATCH(43,ERP导入清单!$X$5:$X$204,0)+4,"")))</f>
        <v/>
      </c>
      <c r="U47" s="37" t="str">
        <f>IF(COUNTIF(ERP导入清单!$X$5:$X$204,43)=0,"",INDEX(ERP导入清单!U:U,IFERROR(MATCH(43,ERP导入清单!$X$5:$X$204,0)+4,"")))</f>
        <v/>
      </c>
      <c r="V47" s="38" t="str">
        <f>IF(COUNTIF(ERP导入清单!$X$5:$X$204,43)=0,"",INDEX(ERP导入清单!V:V,IFERROR(MATCH(43,ERP导入清单!$X$5:$X$204,0)+4,"")))</f>
        <v/>
      </c>
      <c r="W47" s="50" t="str">
        <f>IF(COUNTIF(ERP导入清单!$X$5:$X$204,43)=0,"",INDEX(ERP导入清单!W:W,IFERROR(MATCH(43,ERP导入清单!$X$5:$X$204,0)+4,"")))</f>
        <v/>
      </c>
    </row>
    <row r="48" spans="1:23" ht="24" customHeight="1">
      <c r="A48" s="55" t="str">
        <f>IF(COUNTIF(ERP导入清单!$X$5:$X$204,44)=0,"",INDEX(ERP导入清单!A:A,IFERROR(MATCH(44,ERP导入清单!$X$5:$X$204,0)+4,"")))</f>
        <v/>
      </c>
      <c r="B48" s="37" t="str">
        <f>IF(COUNTIF(ERP导入清单!$X$5:$X$204,44)=0,"",INDEX(ERP导入清单!B:B,IFERROR(MATCH(44,ERP导入清单!$X$5:$X$204,0)+4,"")))</f>
        <v/>
      </c>
      <c r="C48" s="38" t="str">
        <f>IF(COUNTIF(ERP导入清单!$X$5:$X$204,44)=0,"",INDEX(ERP导入清单!C:C,IFERROR(MATCH(44,ERP导入清单!$X$5:$X$204,0)+4,"")))</f>
        <v/>
      </c>
      <c r="D48" s="37" t="str">
        <f>IF(COUNTIF(ERP导入清单!$X$5:$X$204,44)=0,"",INDEX(ERP导入清单!D:D,IFERROR(MATCH(44,ERP导入清单!$X$5:$X$204,0)+4,"")))</f>
        <v/>
      </c>
      <c r="E48" s="37" t="str">
        <f>IF(COUNTIF(ERP导入清单!$X$5:$X$204,44)=0,"",INDEX(ERP导入清单!E:E,IFERROR(MATCH(44,ERP导入清单!$X$5:$X$204,0)+4,"")))</f>
        <v/>
      </c>
      <c r="F48" s="37" t="str">
        <f>IF(COUNTIF(ERP导入清单!$X$5:$X$204,44)=0,"",INDEX(ERP导入清单!F:F,IFERROR(MATCH(44,ERP导入清单!$X$5:$X$204,0)+4,"")))</f>
        <v/>
      </c>
      <c r="G48" s="57" t="str">
        <f>IF(COUNTIF(ERP导入清单!$X$5:$X$204,44)=0,"",INDEX(ERP导入清单!G:G,IFERROR(MATCH(44,ERP导入清单!$X$5:$X$204,0)+4,"")))</f>
        <v/>
      </c>
      <c r="H48" s="37" t="str">
        <f>IF(COUNTIF(ERP导入清单!$X$5:$X$204,44)=0,"",INDEX(ERP导入清单!H:H,IFERROR(MATCH(44,ERP导入清单!$X$5:$X$204,0)+4,"")))</f>
        <v/>
      </c>
      <c r="I48" s="57" t="str">
        <f>IF(COUNTIF(ERP导入清单!$X$5:$X$204,44)=0,"",INDEX(ERP导入清单!I:I,IFERROR(MATCH(44,ERP导入清单!$X$5:$X$204,0)+4,"")))</f>
        <v/>
      </c>
      <c r="J48" s="57" t="str">
        <f>IF(COUNTIF(ERP导入清单!$X$5:$X$204,44)=0,"",INDEX(ERP导入清单!J:J,IFERROR(MATCH(44,ERP导入清单!$X$5:$X$204,0)+4,"")))</f>
        <v/>
      </c>
      <c r="K48" s="37" t="str">
        <f>IF(COUNTIF(ERP导入清单!$X$5:$X$204,44)=0,"",INDEX(ERP导入清单!K:K,IFERROR(MATCH(44,ERP导入清单!$X$5:$X$204,0)+4,"")))</f>
        <v/>
      </c>
      <c r="L48" s="37" t="str">
        <f>IF(COUNTIF(ERP导入清单!$X$5:$X$204,44)=0,"",INDEX(ERP导入清单!L:L,IFERROR(MATCH(44,ERP导入清单!$X$5:$X$204,0)+4,"")))</f>
        <v/>
      </c>
      <c r="M48" s="37" t="str">
        <f>IF(COUNTIF(ERP导入清单!$X$5:$X$204,44)=0,"",INDEX(ERP导入清单!M:M,IFERROR(MATCH(44,ERP导入清单!$X$5:$X$204,0)+4,"")))</f>
        <v/>
      </c>
      <c r="N48" s="37" t="str">
        <f>IF(COUNTIF(ERP导入清单!$X$5:$X$204,44)=0,"",INDEX(ERP导入清单!N:N,IFERROR(MATCH(44,ERP导入清单!$X$5:$X$204,0)+4,"")))</f>
        <v/>
      </c>
      <c r="O48" s="37" t="str">
        <f>IF(COUNTIF(ERP导入清单!$X$5:$X$204,44)=0,"",INDEX(ERP导入清单!O:O,IFERROR(MATCH(44,ERP导入清单!$X$5:$X$204,0)+4,"")))</f>
        <v/>
      </c>
      <c r="P48" s="39" t="str">
        <f>IF(COUNTIF(ERP导入清单!$X$5:$X$204,44)=0,"",INDEX(ERP导入清单!P:P,IFERROR(MATCH(44,ERP导入清单!$X$5:$X$204,0)+4,"")))</f>
        <v/>
      </c>
      <c r="Q48" s="39" t="str">
        <f>IF(COUNTIF(ERP导入清单!$X$5:$X$204,44)=0,"",INDEX(ERP导入清单!Q:Q,IFERROR(MATCH(44,ERP导入清单!$X$5:$X$204,0)+4,"")))</f>
        <v/>
      </c>
      <c r="R48" s="59" t="str">
        <f>IF(COUNTIF(ERP导入清单!$X$5:$X$204,44)=0,"",INDEX(ERP导入清单!R:R,IFERROR(MATCH(44,ERP导入清单!$X$5:$X$204,0)+4,"")))</f>
        <v/>
      </c>
      <c r="S48" s="37" t="str">
        <f>IF(COUNTIF(ERP导入清单!$X$5:$X$204,44)=0,"",INDEX(ERP导入清单!S:S,IFERROR(MATCH(44,ERP导入清单!$X$5:$X$204,0)+4,"")))</f>
        <v/>
      </c>
      <c r="T48" s="37" t="str">
        <f>IF(COUNTIF(ERP导入清单!$X$5:$X$204,44)=0,"",INDEX(ERP导入清单!T:T,IFERROR(MATCH(44,ERP导入清单!$X$5:$X$204,0)+4,"")))</f>
        <v/>
      </c>
      <c r="U48" s="37" t="str">
        <f>IF(COUNTIF(ERP导入清单!$X$5:$X$204,44)=0,"",INDEX(ERP导入清单!U:U,IFERROR(MATCH(44,ERP导入清单!$X$5:$X$204,0)+4,"")))</f>
        <v/>
      </c>
      <c r="V48" s="38" t="str">
        <f>IF(COUNTIF(ERP导入清单!$X$5:$X$204,44)=0,"",INDEX(ERP导入清单!V:V,IFERROR(MATCH(44,ERP导入清单!$X$5:$X$204,0)+4,"")))</f>
        <v/>
      </c>
      <c r="W48" s="50" t="str">
        <f>IF(COUNTIF(ERP导入清单!$X$5:$X$204,44)=0,"",INDEX(ERP导入清单!W:W,IFERROR(MATCH(44,ERP导入清单!$X$5:$X$204,0)+4,"")))</f>
        <v/>
      </c>
    </row>
    <row r="49" spans="1:23" ht="24" customHeight="1">
      <c r="A49" s="55" t="str">
        <f>IF(COUNTIF(ERP导入清单!$X$5:$X$204,45)=0,"",INDEX(ERP导入清单!A:A,IFERROR(MATCH(45,ERP导入清单!$X$5:$X$204,0)+4,"")))</f>
        <v/>
      </c>
      <c r="B49" s="37" t="str">
        <f>IF(COUNTIF(ERP导入清单!$X$5:$X$204,45)=0,"",INDEX(ERP导入清单!B:B,IFERROR(MATCH(45,ERP导入清单!$X$5:$X$204,0)+4,"")))</f>
        <v/>
      </c>
      <c r="C49" s="38" t="str">
        <f>IF(COUNTIF(ERP导入清单!$X$5:$X$204,45)=0,"",INDEX(ERP导入清单!C:C,IFERROR(MATCH(45,ERP导入清单!$X$5:$X$204,0)+4,"")))</f>
        <v/>
      </c>
      <c r="D49" s="37" t="str">
        <f>IF(COUNTIF(ERP导入清单!$X$5:$X$204,45)=0,"",INDEX(ERP导入清单!D:D,IFERROR(MATCH(45,ERP导入清单!$X$5:$X$204,0)+4,"")))</f>
        <v/>
      </c>
      <c r="E49" s="37" t="str">
        <f>IF(COUNTIF(ERP导入清单!$X$5:$X$204,45)=0,"",INDEX(ERP导入清单!E:E,IFERROR(MATCH(45,ERP导入清单!$X$5:$X$204,0)+4,"")))</f>
        <v/>
      </c>
      <c r="F49" s="37" t="str">
        <f>IF(COUNTIF(ERP导入清单!$X$5:$X$204,45)=0,"",INDEX(ERP导入清单!F:F,IFERROR(MATCH(45,ERP导入清单!$X$5:$X$204,0)+4,"")))</f>
        <v/>
      </c>
      <c r="G49" s="57" t="str">
        <f>IF(COUNTIF(ERP导入清单!$X$5:$X$204,45)=0,"",INDEX(ERP导入清单!G:G,IFERROR(MATCH(45,ERP导入清单!$X$5:$X$204,0)+4,"")))</f>
        <v/>
      </c>
      <c r="H49" s="37" t="str">
        <f>IF(COUNTIF(ERP导入清单!$X$5:$X$204,45)=0,"",INDEX(ERP导入清单!H:H,IFERROR(MATCH(45,ERP导入清单!$X$5:$X$204,0)+4,"")))</f>
        <v/>
      </c>
      <c r="I49" s="57" t="str">
        <f>IF(COUNTIF(ERP导入清单!$X$5:$X$204,45)=0,"",INDEX(ERP导入清单!I:I,IFERROR(MATCH(45,ERP导入清单!$X$5:$X$204,0)+4,"")))</f>
        <v/>
      </c>
      <c r="J49" s="57" t="str">
        <f>IF(COUNTIF(ERP导入清单!$X$5:$X$204,45)=0,"",INDEX(ERP导入清单!J:J,IFERROR(MATCH(45,ERP导入清单!$X$5:$X$204,0)+4,"")))</f>
        <v/>
      </c>
      <c r="K49" s="37" t="str">
        <f>IF(COUNTIF(ERP导入清单!$X$5:$X$204,45)=0,"",INDEX(ERP导入清单!K:K,IFERROR(MATCH(45,ERP导入清单!$X$5:$X$204,0)+4,"")))</f>
        <v/>
      </c>
      <c r="L49" s="37" t="str">
        <f>IF(COUNTIF(ERP导入清单!$X$5:$X$204,45)=0,"",INDEX(ERP导入清单!L:L,IFERROR(MATCH(45,ERP导入清单!$X$5:$X$204,0)+4,"")))</f>
        <v/>
      </c>
      <c r="M49" s="37" t="str">
        <f>IF(COUNTIF(ERP导入清单!$X$5:$X$204,45)=0,"",INDEX(ERP导入清单!M:M,IFERROR(MATCH(45,ERP导入清单!$X$5:$X$204,0)+4,"")))</f>
        <v/>
      </c>
      <c r="N49" s="37" t="str">
        <f>IF(COUNTIF(ERP导入清单!$X$5:$X$204,45)=0,"",INDEX(ERP导入清单!N:N,IFERROR(MATCH(45,ERP导入清单!$X$5:$X$204,0)+4,"")))</f>
        <v/>
      </c>
      <c r="O49" s="37" t="str">
        <f>IF(COUNTIF(ERP导入清单!$X$5:$X$204,45)=0,"",INDEX(ERP导入清单!O:O,IFERROR(MATCH(45,ERP导入清单!$X$5:$X$204,0)+4,"")))</f>
        <v/>
      </c>
      <c r="P49" s="39" t="str">
        <f>IF(COUNTIF(ERP导入清单!$X$5:$X$204,45)=0,"",INDEX(ERP导入清单!P:P,IFERROR(MATCH(45,ERP导入清单!$X$5:$X$204,0)+4,"")))</f>
        <v/>
      </c>
      <c r="Q49" s="39" t="str">
        <f>IF(COUNTIF(ERP导入清单!$X$5:$X$204,45)=0,"",INDEX(ERP导入清单!Q:Q,IFERROR(MATCH(45,ERP导入清单!$X$5:$X$204,0)+4,"")))</f>
        <v/>
      </c>
      <c r="R49" s="59" t="str">
        <f>IF(COUNTIF(ERP导入清单!$X$5:$X$204,45)=0,"",INDEX(ERP导入清单!R:R,IFERROR(MATCH(45,ERP导入清单!$X$5:$X$204,0)+4,"")))</f>
        <v/>
      </c>
      <c r="S49" s="37" t="str">
        <f>IF(COUNTIF(ERP导入清单!$X$5:$X$204,45)=0,"",INDEX(ERP导入清单!S:S,IFERROR(MATCH(45,ERP导入清单!$X$5:$X$204,0)+4,"")))</f>
        <v/>
      </c>
      <c r="T49" s="37" t="str">
        <f>IF(COUNTIF(ERP导入清单!$X$5:$X$204,45)=0,"",INDEX(ERP导入清单!T:T,IFERROR(MATCH(45,ERP导入清单!$X$5:$X$204,0)+4,"")))</f>
        <v/>
      </c>
      <c r="U49" s="37" t="str">
        <f>IF(COUNTIF(ERP导入清单!$X$5:$X$204,45)=0,"",INDEX(ERP导入清单!U:U,IFERROR(MATCH(45,ERP导入清单!$X$5:$X$204,0)+4,"")))</f>
        <v/>
      </c>
      <c r="V49" s="38" t="str">
        <f>IF(COUNTIF(ERP导入清单!$X$5:$X$204,45)=0,"",INDEX(ERP导入清单!V:V,IFERROR(MATCH(45,ERP导入清单!$X$5:$X$204,0)+4,"")))</f>
        <v/>
      </c>
      <c r="W49" s="50" t="str">
        <f>IF(COUNTIF(ERP导入清单!$X$5:$X$204,45)=0,"",INDEX(ERP导入清单!W:W,IFERROR(MATCH(45,ERP导入清单!$X$5:$X$204,0)+4,"")))</f>
        <v/>
      </c>
    </row>
    <row r="50" spans="1:23" ht="24" customHeight="1">
      <c r="A50" s="55" t="str">
        <f>IF(COUNTIF(ERP导入清单!$X$5:$X$204,46)=0,"",INDEX(ERP导入清单!A:A,IFERROR(MATCH(46,ERP导入清单!$X$5:$X$204,0)+4,"")))</f>
        <v/>
      </c>
      <c r="B50" s="37" t="str">
        <f>IF(COUNTIF(ERP导入清单!$X$5:$X$204,46)=0,"",INDEX(ERP导入清单!B:B,IFERROR(MATCH(46,ERP导入清单!$X$5:$X$204,0)+4,"")))</f>
        <v/>
      </c>
      <c r="C50" s="38" t="str">
        <f>IF(COUNTIF(ERP导入清单!$X$5:$X$204,46)=0,"",INDEX(ERP导入清单!C:C,IFERROR(MATCH(46,ERP导入清单!$X$5:$X$204,0)+4,"")))</f>
        <v/>
      </c>
      <c r="D50" s="37" t="str">
        <f>IF(COUNTIF(ERP导入清单!$X$5:$X$204,46)=0,"",INDEX(ERP导入清单!D:D,IFERROR(MATCH(46,ERP导入清单!$X$5:$X$204,0)+4,"")))</f>
        <v/>
      </c>
      <c r="E50" s="37" t="str">
        <f>IF(COUNTIF(ERP导入清单!$X$5:$X$204,46)=0,"",INDEX(ERP导入清单!E:E,IFERROR(MATCH(46,ERP导入清单!$X$5:$X$204,0)+4,"")))</f>
        <v/>
      </c>
      <c r="F50" s="37" t="str">
        <f>IF(COUNTIF(ERP导入清单!$X$5:$X$204,46)=0,"",INDEX(ERP导入清单!F:F,IFERROR(MATCH(46,ERP导入清单!$X$5:$X$204,0)+4,"")))</f>
        <v/>
      </c>
      <c r="G50" s="57" t="str">
        <f>IF(COUNTIF(ERP导入清单!$X$5:$X$204,46)=0,"",INDEX(ERP导入清单!G:G,IFERROR(MATCH(46,ERP导入清单!$X$5:$X$204,0)+4,"")))</f>
        <v/>
      </c>
      <c r="H50" s="37" t="str">
        <f>IF(COUNTIF(ERP导入清单!$X$5:$X$204,46)=0,"",INDEX(ERP导入清单!H:H,IFERROR(MATCH(46,ERP导入清单!$X$5:$X$204,0)+4,"")))</f>
        <v/>
      </c>
      <c r="I50" s="57" t="str">
        <f>IF(COUNTIF(ERP导入清单!$X$5:$X$204,46)=0,"",INDEX(ERP导入清单!I:I,IFERROR(MATCH(46,ERP导入清单!$X$5:$X$204,0)+4,"")))</f>
        <v/>
      </c>
      <c r="J50" s="57" t="str">
        <f>IF(COUNTIF(ERP导入清单!$X$5:$X$204,46)=0,"",INDEX(ERP导入清单!J:J,IFERROR(MATCH(46,ERP导入清单!$X$5:$X$204,0)+4,"")))</f>
        <v/>
      </c>
      <c r="K50" s="37" t="str">
        <f>IF(COUNTIF(ERP导入清单!$X$5:$X$204,46)=0,"",INDEX(ERP导入清单!K:K,IFERROR(MATCH(46,ERP导入清单!$X$5:$X$204,0)+4,"")))</f>
        <v/>
      </c>
      <c r="L50" s="37" t="str">
        <f>IF(COUNTIF(ERP导入清单!$X$5:$X$204,46)=0,"",INDEX(ERP导入清单!L:L,IFERROR(MATCH(46,ERP导入清单!$X$5:$X$204,0)+4,"")))</f>
        <v/>
      </c>
      <c r="M50" s="37" t="str">
        <f>IF(COUNTIF(ERP导入清单!$X$5:$X$204,46)=0,"",INDEX(ERP导入清单!M:M,IFERROR(MATCH(46,ERP导入清单!$X$5:$X$204,0)+4,"")))</f>
        <v/>
      </c>
      <c r="N50" s="37" t="str">
        <f>IF(COUNTIF(ERP导入清单!$X$5:$X$204,46)=0,"",INDEX(ERP导入清单!N:N,IFERROR(MATCH(46,ERP导入清单!$X$5:$X$204,0)+4,"")))</f>
        <v/>
      </c>
      <c r="O50" s="37" t="str">
        <f>IF(COUNTIF(ERP导入清单!$X$5:$X$204,46)=0,"",INDEX(ERP导入清单!O:O,IFERROR(MATCH(46,ERP导入清单!$X$5:$X$204,0)+4,"")))</f>
        <v/>
      </c>
      <c r="P50" s="39" t="str">
        <f>IF(COUNTIF(ERP导入清单!$X$5:$X$204,46)=0,"",INDEX(ERP导入清单!P:P,IFERROR(MATCH(46,ERP导入清单!$X$5:$X$204,0)+4,"")))</f>
        <v/>
      </c>
      <c r="Q50" s="39" t="str">
        <f>IF(COUNTIF(ERP导入清单!$X$5:$X$204,46)=0,"",INDEX(ERP导入清单!Q:Q,IFERROR(MATCH(46,ERP导入清单!$X$5:$X$204,0)+4,"")))</f>
        <v/>
      </c>
      <c r="R50" s="59" t="str">
        <f>IF(COUNTIF(ERP导入清单!$X$5:$X$204,46)=0,"",INDEX(ERP导入清单!R:R,IFERROR(MATCH(46,ERP导入清单!$X$5:$X$204,0)+4,"")))</f>
        <v/>
      </c>
      <c r="S50" s="37" t="str">
        <f>IF(COUNTIF(ERP导入清单!$X$5:$X$204,46)=0,"",INDEX(ERP导入清单!S:S,IFERROR(MATCH(46,ERP导入清单!$X$5:$X$204,0)+4,"")))</f>
        <v/>
      </c>
      <c r="T50" s="37" t="str">
        <f>IF(COUNTIF(ERP导入清单!$X$5:$X$204,46)=0,"",INDEX(ERP导入清单!T:T,IFERROR(MATCH(46,ERP导入清单!$X$5:$X$204,0)+4,"")))</f>
        <v/>
      </c>
      <c r="U50" s="37" t="str">
        <f>IF(COUNTIF(ERP导入清单!$X$5:$X$204,46)=0,"",INDEX(ERP导入清单!U:U,IFERROR(MATCH(46,ERP导入清单!$X$5:$X$204,0)+4,"")))</f>
        <v/>
      </c>
      <c r="V50" s="38" t="str">
        <f>IF(COUNTIF(ERP导入清单!$X$5:$X$204,46)=0,"",INDEX(ERP导入清单!V:V,IFERROR(MATCH(46,ERP导入清单!$X$5:$X$204,0)+4,"")))</f>
        <v/>
      </c>
      <c r="W50" s="50" t="str">
        <f>IF(COUNTIF(ERP导入清单!$X$5:$X$204,46)=0,"",INDEX(ERP导入清单!W:W,IFERROR(MATCH(46,ERP导入清单!$X$5:$X$204,0)+4,"")))</f>
        <v/>
      </c>
    </row>
    <row r="51" spans="1:23" ht="24" customHeight="1">
      <c r="A51" s="55" t="str">
        <f>IF(COUNTIF(ERP导入清单!$X$5:$X$204,47)=0,"",INDEX(ERP导入清单!A:A,IFERROR(MATCH(47,ERP导入清单!$X$5:$X$204,0)+4,"")))</f>
        <v/>
      </c>
      <c r="B51" s="37" t="str">
        <f>IF(COUNTIF(ERP导入清单!$X$5:$X$204,47)=0,"",INDEX(ERP导入清单!B:B,IFERROR(MATCH(47,ERP导入清单!$X$5:$X$204,0)+4,"")))</f>
        <v/>
      </c>
      <c r="C51" s="38" t="str">
        <f>IF(COUNTIF(ERP导入清单!$X$5:$X$204,47)=0,"",INDEX(ERP导入清单!C:C,IFERROR(MATCH(47,ERP导入清单!$X$5:$X$204,0)+4,"")))</f>
        <v/>
      </c>
      <c r="D51" s="37" t="str">
        <f>IF(COUNTIF(ERP导入清单!$X$5:$X$204,47)=0,"",INDEX(ERP导入清单!D:D,IFERROR(MATCH(47,ERP导入清单!$X$5:$X$204,0)+4,"")))</f>
        <v/>
      </c>
      <c r="E51" s="37" t="str">
        <f>IF(COUNTIF(ERP导入清单!$X$5:$X$204,47)=0,"",INDEX(ERP导入清单!E:E,IFERROR(MATCH(47,ERP导入清单!$X$5:$X$204,0)+4,"")))</f>
        <v/>
      </c>
      <c r="F51" s="37" t="str">
        <f>IF(COUNTIF(ERP导入清单!$X$5:$X$204,47)=0,"",INDEX(ERP导入清单!F:F,IFERROR(MATCH(47,ERP导入清单!$X$5:$X$204,0)+4,"")))</f>
        <v/>
      </c>
      <c r="G51" s="57" t="str">
        <f>IF(COUNTIF(ERP导入清单!$X$5:$X$204,47)=0,"",INDEX(ERP导入清单!G:G,IFERROR(MATCH(47,ERP导入清单!$X$5:$X$204,0)+4,"")))</f>
        <v/>
      </c>
      <c r="H51" s="37" t="str">
        <f>IF(COUNTIF(ERP导入清单!$X$5:$X$204,47)=0,"",INDEX(ERP导入清单!H:H,IFERROR(MATCH(47,ERP导入清单!$X$5:$X$204,0)+4,"")))</f>
        <v/>
      </c>
      <c r="I51" s="57" t="str">
        <f>IF(COUNTIF(ERP导入清单!$X$5:$X$204,47)=0,"",INDEX(ERP导入清单!I:I,IFERROR(MATCH(47,ERP导入清单!$X$5:$X$204,0)+4,"")))</f>
        <v/>
      </c>
      <c r="J51" s="57" t="str">
        <f>IF(COUNTIF(ERP导入清单!$X$5:$X$204,47)=0,"",INDEX(ERP导入清单!J:J,IFERROR(MATCH(47,ERP导入清单!$X$5:$X$204,0)+4,"")))</f>
        <v/>
      </c>
      <c r="K51" s="37" t="str">
        <f>IF(COUNTIF(ERP导入清单!$X$5:$X$204,47)=0,"",INDEX(ERP导入清单!K:K,IFERROR(MATCH(47,ERP导入清单!$X$5:$X$204,0)+4,"")))</f>
        <v/>
      </c>
      <c r="L51" s="37" t="str">
        <f>IF(COUNTIF(ERP导入清单!$X$5:$X$204,47)=0,"",INDEX(ERP导入清单!L:L,IFERROR(MATCH(47,ERP导入清单!$X$5:$X$204,0)+4,"")))</f>
        <v/>
      </c>
      <c r="M51" s="37" t="str">
        <f>IF(COUNTIF(ERP导入清单!$X$5:$X$204,47)=0,"",INDEX(ERP导入清单!M:M,IFERROR(MATCH(47,ERP导入清单!$X$5:$X$204,0)+4,"")))</f>
        <v/>
      </c>
      <c r="N51" s="37" t="str">
        <f>IF(COUNTIF(ERP导入清单!$X$5:$X$204,47)=0,"",INDEX(ERP导入清单!N:N,IFERROR(MATCH(47,ERP导入清单!$X$5:$X$204,0)+4,"")))</f>
        <v/>
      </c>
      <c r="O51" s="37" t="str">
        <f>IF(COUNTIF(ERP导入清单!$X$5:$X$204,47)=0,"",INDEX(ERP导入清单!O:O,IFERROR(MATCH(47,ERP导入清单!$X$5:$X$204,0)+4,"")))</f>
        <v/>
      </c>
      <c r="P51" s="39" t="str">
        <f>IF(COUNTIF(ERP导入清单!$X$5:$X$204,47)=0,"",INDEX(ERP导入清单!P:P,IFERROR(MATCH(47,ERP导入清单!$X$5:$X$204,0)+4,"")))</f>
        <v/>
      </c>
      <c r="Q51" s="39" t="str">
        <f>IF(COUNTIF(ERP导入清单!$X$5:$X$204,47)=0,"",INDEX(ERP导入清单!Q:Q,IFERROR(MATCH(47,ERP导入清单!$X$5:$X$204,0)+4,"")))</f>
        <v/>
      </c>
      <c r="R51" s="59" t="str">
        <f>IF(COUNTIF(ERP导入清单!$X$5:$X$204,47)=0,"",INDEX(ERP导入清单!R:R,IFERROR(MATCH(47,ERP导入清单!$X$5:$X$204,0)+4,"")))</f>
        <v/>
      </c>
      <c r="S51" s="37" t="str">
        <f>IF(COUNTIF(ERP导入清单!$X$5:$X$204,47)=0,"",INDEX(ERP导入清单!S:S,IFERROR(MATCH(47,ERP导入清单!$X$5:$X$204,0)+4,"")))</f>
        <v/>
      </c>
      <c r="T51" s="37" t="str">
        <f>IF(COUNTIF(ERP导入清单!$X$5:$X$204,47)=0,"",INDEX(ERP导入清单!T:T,IFERROR(MATCH(47,ERP导入清单!$X$5:$X$204,0)+4,"")))</f>
        <v/>
      </c>
      <c r="U51" s="37" t="str">
        <f>IF(COUNTIF(ERP导入清单!$X$5:$X$204,47)=0,"",INDEX(ERP导入清单!U:U,IFERROR(MATCH(47,ERP导入清单!$X$5:$X$204,0)+4,"")))</f>
        <v/>
      </c>
      <c r="V51" s="38" t="str">
        <f>IF(COUNTIF(ERP导入清单!$X$5:$X$204,47)=0,"",INDEX(ERP导入清单!V:V,IFERROR(MATCH(47,ERP导入清单!$X$5:$X$204,0)+4,"")))</f>
        <v/>
      </c>
      <c r="W51" s="50" t="str">
        <f>IF(COUNTIF(ERP导入清单!$X$5:$X$204,47)=0,"",INDEX(ERP导入清单!W:W,IFERROR(MATCH(47,ERP导入清单!$X$5:$X$204,0)+4,"")))</f>
        <v/>
      </c>
    </row>
    <row r="52" spans="1:23" ht="24" customHeight="1">
      <c r="A52" s="55" t="str">
        <f>IF(COUNTIF(ERP导入清单!$X$5:$X$204,48)=0,"",INDEX(ERP导入清单!A:A,IFERROR(MATCH(48,ERP导入清单!$X$5:$X$204,0)+4,"")))</f>
        <v/>
      </c>
      <c r="B52" s="37" t="str">
        <f>IF(COUNTIF(ERP导入清单!$X$5:$X$204,48)=0,"",INDEX(ERP导入清单!B:B,IFERROR(MATCH(48,ERP导入清单!$X$5:$X$204,0)+4,"")))</f>
        <v/>
      </c>
      <c r="C52" s="38" t="str">
        <f>IF(COUNTIF(ERP导入清单!$X$5:$X$204,48)=0,"",INDEX(ERP导入清单!C:C,IFERROR(MATCH(48,ERP导入清单!$X$5:$X$204,0)+4,"")))</f>
        <v/>
      </c>
      <c r="D52" s="37" t="str">
        <f>IF(COUNTIF(ERP导入清单!$X$5:$X$204,48)=0,"",INDEX(ERP导入清单!D:D,IFERROR(MATCH(48,ERP导入清单!$X$5:$X$204,0)+4,"")))</f>
        <v/>
      </c>
      <c r="E52" s="37" t="str">
        <f>IF(COUNTIF(ERP导入清单!$X$5:$X$204,48)=0,"",INDEX(ERP导入清单!E:E,IFERROR(MATCH(48,ERP导入清单!$X$5:$X$204,0)+4,"")))</f>
        <v/>
      </c>
      <c r="F52" s="37" t="str">
        <f>IF(COUNTIF(ERP导入清单!$X$5:$X$204,48)=0,"",INDEX(ERP导入清单!F:F,IFERROR(MATCH(48,ERP导入清单!$X$5:$X$204,0)+4,"")))</f>
        <v/>
      </c>
      <c r="G52" s="57" t="str">
        <f>IF(COUNTIF(ERP导入清单!$X$5:$X$204,48)=0,"",INDEX(ERP导入清单!G:G,IFERROR(MATCH(48,ERP导入清单!$X$5:$X$204,0)+4,"")))</f>
        <v/>
      </c>
      <c r="H52" s="37" t="str">
        <f>IF(COUNTIF(ERP导入清单!$X$5:$X$204,48)=0,"",INDEX(ERP导入清单!H:H,IFERROR(MATCH(48,ERP导入清单!$X$5:$X$204,0)+4,"")))</f>
        <v/>
      </c>
      <c r="I52" s="57" t="str">
        <f>IF(COUNTIF(ERP导入清单!$X$5:$X$204,48)=0,"",INDEX(ERP导入清单!I:I,IFERROR(MATCH(48,ERP导入清单!$X$5:$X$204,0)+4,"")))</f>
        <v/>
      </c>
      <c r="J52" s="57" t="str">
        <f>IF(COUNTIF(ERP导入清单!$X$5:$X$204,48)=0,"",INDEX(ERP导入清单!J:J,IFERROR(MATCH(48,ERP导入清单!$X$5:$X$204,0)+4,"")))</f>
        <v/>
      </c>
      <c r="K52" s="37" t="str">
        <f>IF(COUNTIF(ERP导入清单!$X$5:$X$204,48)=0,"",INDEX(ERP导入清单!K:K,IFERROR(MATCH(48,ERP导入清单!$X$5:$X$204,0)+4,"")))</f>
        <v/>
      </c>
      <c r="L52" s="37" t="str">
        <f>IF(COUNTIF(ERP导入清单!$X$5:$X$204,48)=0,"",INDEX(ERP导入清单!L:L,IFERROR(MATCH(48,ERP导入清单!$X$5:$X$204,0)+4,"")))</f>
        <v/>
      </c>
      <c r="M52" s="37" t="str">
        <f>IF(COUNTIF(ERP导入清单!$X$5:$X$204,48)=0,"",INDEX(ERP导入清单!M:M,IFERROR(MATCH(48,ERP导入清单!$X$5:$X$204,0)+4,"")))</f>
        <v/>
      </c>
      <c r="N52" s="37" t="str">
        <f>IF(COUNTIF(ERP导入清单!$X$5:$X$204,48)=0,"",INDEX(ERP导入清单!N:N,IFERROR(MATCH(48,ERP导入清单!$X$5:$X$204,0)+4,"")))</f>
        <v/>
      </c>
      <c r="O52" s="37" t="str">
        <f>IF(COUNTIF(ERP导入清单!$X$5:$X$204,48)=0,"",INDEX(ERP导入清单!O:O,IFERROR(MATCH(48,ERP导入清单!$X$5:$X$204,0)+4,"")))</f>
        <v/>
      </c>
      <c r="P52" s="39" t="str">
        <f>IF(COUNTIF(ERP导入清单!$X$5:$X$204,48)=0,"",INDEX(ERP导入清单!P:P,IFERROR(MATCH(48,ERP导入清单!$X$5:$X$204,0)+4,"")))</f>
        <v/>
      </c>
      <c r="Q52" s="39" t="str">
        <f>IF(COUNTIF(ERP导入清单!$X$5:$X$204,48)=0,"",INDEX(ERP导入清单!Q:Q,IFERROR(MATCH(48,ERP导入清单!$X$5:$X$204,0)+4,"")))</f>
        <v/>
      </c>
      <c r="R52" s="59" t="str">
        <f>IF(COUNTIF(ERP导入清单!$X$5:$X$204,48)=0,"",INDEX(ERP导入清单!R:R,IFERROR(MATCH(48,ERP导入清单!$X$5:$X$204,0)+4,"")))</f>
        <v/>
      </c>
      <c r="S52" s="37" t="str">
        <f>IF(COUNTIF(ERP导入清单!$X$5:$X$204,48)=0,"",INDEX(ERP导入清单!S:S,IFERROR(MATCH(48,ERP导入清单!$X$5:$X$204,0)+4,"")))</f>
        <v/>
      </c>
      <c r="T52" s="37" t="str">
        <f>IF(COUNTIF(ERP导入清单!$X$5:$X$204,48)=0,"",INDEX(ERP导入清单!T:T,IFERROR(MATCH(48,ERP导入清单!$X$5:$X$204,0)+4,"")))</f>
        <v/>
      </c>
      <c r="U52" s="37" t="str">
        <f>IF(COUNTIF(ERP导入清单!$X$5:$X$204,48)=0,"",INDEX(ERP导入清单!U:U,IFERROR(MATCH(48,ERP导入清单!$X$5:$X$204,0)+4,"")))</f>
        <v/>
      </c>
      <c r="V52" s="38" t="str">
        <f>IF(COUNTIF(ERP导入清单!$X$5:$X$204,48)=0,"",INDEX(ERP导入清单!V:V,IFERROR(MATCH(48,ERP导入清单!$X$5:$X$204,0)+4,"")))</f>
        <v/>
      </c>
      <c r="W52" s="50" t="str">
        <f>IF(COUNTIF(ERP导入清单!$X$5:$X$204,48)=0,"",INDEX(ERP导入清单!W:W,IFERROR(MATCH(48,ERP导入清单!$X$5:$X$204,0)+4,"")))</f>
        <v/>
      </c>
    </row>
    <row r="53" spans="1:23" ht="24" customHeight="1">
      <c r="A53" s="55" t="str">
        <f>IF(COUNTIF(ERP导入清单!$X$5:$X$204,49)=0,"",INDEX(ERP导入清单!A:A,IFERROR(MATCH(49,ERP导入清单!$X$5:$X$204,0)+4,"")))</f>
        <v/>
      </c>
      <c r="B53" s="37" t="str">
        <f>IF(COUNTIF(ERP导入清单!$X$5:$X$204,49)=0,"",INDEX(ERP导入清单!B:B,IFERROR(MATCH(49,ERP导入清单!$X$5:$X$204,0)+4,"")))</f>
        <v/>
      </c>
      <c r="C53" s="38" t="str">
        <f>IF(COUNTIF(ERP导入清单!$X$5:$X$204,49)=0,"",INDEX(ERP导入清单!C:C,IFERROR(MATCH(49,ERP导入清单!$X$5:$X$204,0)+4,"")))</f>
        <v/>
      </c>
      <c r="D53" s="37" t="str">
        <f>IF(COUNTIF(ERP导入清单!$X$5:$X$204,49)=0,"",INDEX(ERP导入清单!D:D,IFERROR(MATCH(49,ERP导入清单!$X$5:$X$204,0)+4,"")))</f>
        <v/>
      </c>
      <c r="E53" s="37" t="str">
        <f>IF(COUNTIF(ERP导入清单!$X$5:$X$204,49)=0,"",INDEX(ERP导入清单!E:E,IFERROR(MATCH(49,ERP导入清单!$X$5:$X$204,0)+4,"")))</f>
        <v/>
      </c>
      <c r="F53" s="37" t="str">
        <f>IF(COUNTIF(ERP导入清单!$X$5:$X$204,49)=0,"",INDEX(ERP导入清单!F:F,IFERROR(MATCH(49,ERP导入清单!$X$5:$X$204,0)+4,"")))</f>
        <v/>
      </c>
      <c r="G53" s="57" t="str">
        <f>IF(COUNTIF(ERP导入清单!$X$5:$X$204,49)=0,"",INDEX(ERP导入清单!G:G,IFERROR(MATCH(49,ERP导入清单!$X$5:$X$204,0)+4,"")))</f>
        <v/>
      </c>
      <c r="H53" s="37" t="str">
        <f>IF(COUNTIF(ERP导入清单!$X$5:$X$204,49)=0,"",INDEX(ERP导入清单!H:H,IFERROR(MATCH(49,ERP导入清单!$X$5:$X$204,0)+4,"")))</f>
        <v/>
      </c>
      <c r="I53" s="57" t="str">
        <f>IF(COUNTIF(ERP导入清单!$X$5:$X$204,49)=0,"",INDEX(ERP导入清单!I:I,IFERROR(MATCH(49,ERP导入清单!$X$5:$X$204,0)+4,"")))</f>
        <v/>
      </c>
      <c r="J53" s="57" t="str">
        <f>IF(COUNTIF(ERP导入清单!$X$5:$X$204,49)=0,"",INDEX(ERP导入清单!J:J,IFERROR(MATCH(49,ERP导入清单!$X$5:$X$204,0)+4,"")))</f>
        <v/>
      </c>
      <c r="K53" s="37" t="str">
        <f>IF(COUNTIF(ERP导入清单!$X$5:$X$204,49)=0,"",INDEX(ERP导入清单!K:K,IFERROR(MATCH(49,ERP导入清单!$X$5:$X$204,0)+4,"")))</f>
        <v/>
      </c>
      <c r="L53" s="37" t="str">
        <f>IF(COUNTIF(ERP导入清单!$X$5:$X$204,49)=0,"",INDEX(ERP导入清单!L:L,IFERROR(MATCH(49,ERP导入清单!$X$5:$X$204,0)+4,"")))</f>
        <v/>
      </c>
      <c r="M53" s="37" t="str">
        <f>IF(COUNTIF(ERP导入清单!$X$5:$X$204,49)=0,"",INDEX(ERP导入清单!M:M,IFERROR(MATCH(49,ERP导入清单!$X$5:$X$204,0)+4,"")))</f>
        <v/>
      </c>
      <c r="N53" s="37" t="str">
        <f>IF(COUNTIF(ERP导入清单!$X$5:$X$204,49)=0,"",INDEX(ERP导入清单!N:N,IFERROR(MATCH(49,ERP导入清单!$X$5:$X$204,0)+4,"")))</f>
        <v/>
      </c>
      <c r="O53" s="37" t="str">
        <f>IF(COUNTIF(ERP导入清单!$X$5:$X$204,49)=0,"",INDEX(ERP导入清单!O:O,IFERROR(MATCH(49,ERP导入清单!$X$5:$X$204,0)+4,"")))</f>
        <v/>
      </c>
      <c r="P53" s="39" t="str">
        <f>IF(COUNTIF(ERP导入清单!$X$5:$X$204,49)=0,"",INDEX(ERP导入清单!P:P,IFERROR(MATCH(49,ERP导入清单!$X$5:$X$204,0)+4,"")))</f>
        <v/>
      </c>
      <c r="Q53" s="39" t="str">
        <f>IF(COUNTIF(ERP导入清单!$X$5:$X$204,49)=0,"",INDEX(ERP导入清单!Q:Q,IFERROR(MATCH(49,ERP导入清单!$X$5:$X$204,0)+4,"")))</f>
        <v/>
      </c>
      <c r="R53" s="59" t="str">
        <f>IF(COUNTIF(ERP导入清单!$X$5:$X$204,49)=0,"",INDEX(ERP导入清单!R:R,IFERROR(MATCH(49,ERP导入清单!$X$5:$X$204,0)+4,"")))</f>
        <v/>
      </c>
      <c r="S53" s="37" t="str">
        <f>IF(COUNTIF(ERP导入清单!$X$5:$X$204,49)=0,"",INDEX(ERP导入清单!S:S,IFERROR(MATCH(49,ERP导入清单!$X$5:$X$204,0)+4,"")))</f>
        <v/>
      </c>
      <c r="T53" s="37" t="str">
        <f>IF(COUNTIF(ERP导入清单!$X$5:$X$204,49)=0,"",INDEX(ERP导入清单!T:T,IFERROR(MATCH(49,ERP导入清单!$X$5:$X$204,0)+4,"")))</f>
        <v/>
      </c>
      <c r="U53" s="37" t="str">
        <f>IF(COUNTIF(ERP导入清单!$X$5:$X$204,49)=0,"",INDEX(ERP导入清单!U:U,IFERROR(MATCH(49,ERP导入清单!$X$5:$X$204,0)+4,"")))</f>
        <v/>
      </c>
      <c r="V53" s="38" t="str">
        <f>IF(COUNTIF(ERP导入清单!$X$5:$X$204,49)=0,"",INDEX(ERP导入清单!V:V,IFERROR(MATCH(49,ERP导入清单!$X$5:$X$204,0)+4,"")))</f>
        <v/>
      </c>
      <c r="W53" s="50" t="str">
        <f>IF(COUNTIF(ERP导入清单!$X$5:$X$204,49)=0,"",INDEX(ERP导入清单!W:W,IFERROR(MATCH(49,ERP导入清单!$X$5:$X$204,0)+4,"")))</f>
        <v/>
      </c>
    </row>
    <row r="54" spans="1:23" ht="24" customHeight="1">
      <c r="A54" s="55" t="str">
        <f>IF(COUNTIF(ERP导入清单!$X$5:$X$204,50)=0,"",INDEX(ERP导入清单!A:A,IFERROR(MATCH(50,ERP导入清单!$X$5:$X$204,0)+4,"")))</f>
        <v/>
      </c>
      <c r="B54" s="37" t="str">
        <f>IF(COUNTIF(ERP导入清单!$X$5:$X$204,50)=0,"",INDEX(ERP导入清单!B:B,IFERROR(MATCH(50,ERP导入清单!$X$5:$X$204,0)+4,"")))</f>
        <v/>
      </c>
      <c r="C54" s="38" t="str">
        <f>IF(COUNTIF(ERP导入清单!$X$5:$X$204,50)=0,"",INDEX(ERP导入清单!C:C,IFERROR(MATCH(50,ERP导入清单!$X$5:$X$204,0)+4,"")))</f>
        <v/>
      </c>
      <c r="D54" s="37" t="str">
        <f>IF(COUNTIF(ERP导入清单!$X$5:$X$204,50)=0,"",INDEX(ERP导入清单!D:D,IFERROR(MATCH(50,ERP导入清单!$X$5:$X$204,0)+4,"")))</f>
        <v/>
      </c>
      <c r="E54" s="37" t="str">
        <f>IF(COUNTIF(ERP导入清单!$X$5:$X$204,50)=0,"",INDEX(ERP导入清单!E:E,IFERROR(MATCH(50,ERP导入清单!$X$5:$X$204,0)+4,"")))</f>
        <v/>
      </c>
      <c r="F54" s="37" t="str">
        <f>IF(COUNTIF(ERP导入清单!$X$5:$X$204,50)=0,"",INDEX(ERP导入清单!F:F,IFERROR(MATCH(50,ERP导入清单!$X$5:$X$204,0)+4,"")))</f>
        <v/>
      </c>
      <c r="G54" s="57" t="str">
        <f>IF(COUNTIF(ERP导入清单!$X$5:$X$204,50)=0,"",INDEX(ERP导入清单!G:G,IFERROR(MATCH(50,ERP导入清单!$X$5:$X$204,0)+4,"")))</f>
        <v/>
      </c>
      <c r="H54" s="37" t="str">
        <f>IF(COUNTIF(ERP导入清单!$X$5:$X$204,50)=0,"",INDEX(ERP导入清单!H:H,IFERROR(MATCH(50,ERP导入清单!$X$5:$X$204,0)+4,"")))</f>
        <v/>
      </c>
      <c r="I54" s="57" t="str">
        <f>IF(COUNTIF(ERP导入清单!$X$5:$X$204,50)=0,"",INDEX(ERP导入清单!I:I,IFERROR(MATCH(50,ERP导入清单!$X$5:$X$204,0)+4,"")))</f>
        <v/>
      </c>
      <c r="J54" s="57" t="str">
        <f>IF(COUNTIF(ERP导入清单!$X$5:$X$204,50)=0,"",INDEX(ERP导入清单!J:J,IFERROR(MATCH(50,ERP导入清单!$X$5:$X$204,0)+4,"")))</f>
        <v/>
      </c>
      <c r="K54" s="37" t="str">
        <f>IF(COUNTIF(ERP导入清单!$X$5:$X$204,50)=0,"",INDEX(ERP导入清单!K:K,IFERROR(MATCH(50,ERP导入清单!$X$5:$X$204,0)+4,"")))</f>
        <v/>
      </c>
      <c r="L54" s="37" t="str">
        <f>IF(COUNTIF(ERP导入清单!$X$5:$X$204,50)=0,"",INDEX(ERP导入清单!L:L,IFERROR(MATCH(50,ERP导入清单!$X$5:$X$204,0)+4,"")))</f>
        <v/>
      </c>
      <c r="M54" s="37" t="str">
        <f>IF(COUNTIF(ERP导入清单!$X$5:$X$204,50)=0,"",INDEX(ERP导入清单!M:M,IFERROR(MATCH(50,ERP导入清单!$X$5:$X$204,0)+4,"")))</f>
        <v/>
      </c>
      <c r="N54" s="37" t="str">
        <f>IF(COUNTIF(ERP导入清单!$X$5:$X$204,50)=0,"",INDEX(ERP导入清单!N:N,IFERROR(MATCH(50,ERP导入清单!$X$5:$X$204,0)+4,"")))</f>
        <v/>
      </c>
      <c r="O54" s="37" t="str">
        <f>IF(COUNTIF(ERP导入清单!$X$5:$X$204,50)=0,"",INDEX(ERP导入清单!O:O,IFERROR(MATCH(50,ERP导入清单!$X$5:$X$204,0)+4,"")))</f>
        <v/>
      </c>
      <c r="P54" s="39" t="str">
        <f>IF(COUNTIF(ERP导入清单!$X$5:$X$204,50)=0,"",INDEX(ERP导入清单!P:P,IFERROR(MATCH(50,ERP导入清单!$X$5:$X$204,0)+4,"")))</f>
        <v/>
      </c>
      <c r="Q54" s="39" t="str">
        <f>IF(COUNTIF(ERP导入清单!$X$5:$X$204,50)=0,"",INDEX(ERP导入清单!Q:Q,IFERROR(MATCH(50,ERP导入清单!$X$5:$X$204,0)+4,"")))</f>
        <v/>
      </c>
      <c r="R54" s="59" t="str">
        <f>IF(COUNTIF(ERP导入清单!$X$5:$X$204,50)=0,"",INDEX(ERP导入清单!R:R,IFERROR(MATCH(50,ERP导入清单!$X$5:$X$204,0)+4,"")))</f>
        <v/>
      </c>
      <c r="S54" s="37" t="str">
        <f>IF(COUNTIF(ERP导入清单!$X$5:$X$204,50)=0,"",INDEX(ERP导入清单!S:S,IFERROR(MATCH(50,ERP导入清单!$X$5:$X$204,0)+4,"")))</f>
        <v/>
      </c>
      <c r="T54" s="37" t="str">
        <f>IF(COUNTIF(ERP导入清单!$X$5:$X$204,50)=0,"",INDEX(ERP导入清单!T:T,IFERROR(MATCH(50,ERP导入清单!$X$5:$X$204,0)+4,"")))</f>
        <v/>
      </c>
      <c r="U54" s="37" t="str">
        <f>IF(COUNTIF(ERP导入清单!$X$5:$X$204,50)=0,"",INDEX(ERP导入清单!U:U,IFERROR(MATCH(50,ERP导入清单!$X$5:$X$204,0)+4,"")))</f>
        <v/>
      </c>
      <c r="V54" s="38" t="str">
        <f>IF(COUNTIF(ERP导入清单!$X$5:$X$204,50)=0,"",INDEX(ERP导入清单!V:V,IFERROR(MATCH(50,ERP导入清单!$X$5:$X$204,0)+4,"")))</f>
        <v/>
      </c>
      <c r="W54" s="50" t="str">
        <f>IF(COUNTIF(ERP导入清单!$X$5:$X$204,50)=0,"",INDEX(ERP导入清单!W:W,IFERROR(MATCH(50,ERP导入清单!$X$5:$X$204,0)+4,"")))</f>
        <v/>
      </c>
    </row>
    <row r="55" spans="1:23" ht="24" customHeight="1">
      <c r="A55" s="55" t="str">
        <f>IF(COUNTIF(ERP导入清单!$X$5:$X$204,51)=0,"",INDEX(ERP导入清单!A:A,IFERROR(MATCH(51,ERP导入清单!$X$5:$X$204,0)+4,"")))</f>
        <v/>
      </c>
      <c r="B55" s="37" t="str">
        <f>IF(COUNTIF(ERP导入清单!$X$5:$X$204,51)=0,"",INDEX(ERP导入清单!B:B,IFERROR(MATCH(51,ERP导入清单!$X$5:$X$204,0)+4,"")))</f>
        <v/>
      </c>
      <c r="C55" s="38" t="str">
        <f>IF(COUNTIF(ERP导入清单!$X$5:$X$204,51)=0,"",INDEX(ERP导入清单!C:C,IFERROR(MATCH(51,ERP导入清单!$X$5:$X$204,0)+4,"")))</f>
        <v/>
      </c>
      <c r="D55" s="37" t="str">
        <f>IF(COUNTIF(ERP导入清单!$X$5:$X$204,51)=0,"",INDEX(ERP导入清单!D:D,IFERROR(MATCH(51,ERP导入清单!$X$5:$X$204,0)+4,"")))</f>
        <v/>
      </c>
      <c r="E55" s="37" t="str">
        <f>IF(COUNTIF(ERP导入清单!$X$5:$X$204,51)=0,"",INDEX(ERP导入清单!E:E,IFERROR(MATCH(51,ERP导入清单!$X$5:$X$204,0)+4,"")))</f>
        <v/>
      </c>
      <c r="F55" s="37" t="str">
        <f>IF(COUNTIF(ERP导入清单!$X$5:$X$204,51)=0,"",INDEX(ERP导入清单!F:F,IFERROR(MATCH(51,ERP导入清单!$X$5:$X$204,0)+4,"")))</f>
        <v/>
      </c>
      <c r="G55" s="57" t="str">
        <f>IF(COUNTIF(ERP导入清单!$X$5:$X$204,51)=0,"",INDEX(ERP导入清单!G:G,IFERROR(MATCH(51,ERP导入清单!$X$5:$X$204,0)+4,"")))</f>
        <v/>
      </c>
      <c r="H55" s="37" t="str">
        <f>IF(COUNTIF(ERP导入清单!$X$5:$X$204,51)=0,"",INDEX(ERP导入清单!H:H,IFERROR(MATCH(51,ERP导入清单!$X$5:$X$204,0)+4,"")))</f>
        <v/>
      </c>
      <c r="I55" s="57" t="str">
        <f>IF(COUNTIF(ERP导入清单!$X$5:$X$204,51)=0,"",INDEX(ERP导入清单!I:I,IFERROR(MATCH(51,ERP导入清单!$X$5:$X$204,0)+4,"")))</f>
        <v/>
      </c>
      <c r="J55" s="57" t="str">
        <f>IF(COUNTIF(ERP导入清单!$X$5:$X$204,51)=0,"",INDEX(ERP导入清单!J:J,IFERROR(MATCH(51,ERP导入清单!$X$5:$X$204,0)+4,"")))</f>
        <v/>
      </c>
      <c r="K55" s="37" t="str">
        <f>IF(COUNTIF(ERP导入清单!$X$5:$X$204,51)=0,"",INDEX(ERP导入清单!K:K,IFERROR(MATCH(51,ERP导入清单!$X$5:$X$204,0)+4,"")))</f>
        <v/>
      </c>
      <c r="L55" s="37" t="str">
        <f>IF(COUNTIF(ERP导入清单!$X$5:$X$204,51)=0,"",INDEX(ERP导入清单!L:L,IFERROR(MATCH(51,ERP导入清单!$X$5:$X$204,0)+4,"")))</f>
        <v/>
      </c>
      <c r="M55" s="37" t="str">
        <f>IF(COUNTIF(ERP导入清单!$X$5:$X$204,51)=0,"",INDEX(ERP导入清单!M:M,IFERROR(MATCH(51,ERP导入清单!$X$5:$X$204,0)+4,"")))</f>
        <v/>
      </c>
      <c r="N55" s="37" t="str">
        <f>IF(COUNTIF(ERP导入清单!$X$5:$X$204,51)=0,"",INDEX(ERP导入清单!N:N,IFERROR(MATCH(51,ERP导入清单!$X$5:$X$204,0)+4,"")))</f>
        <v/>
      </c>
      <c r="O55" s="37" t="str">
        <f>IF(COUNTIF(ERP导入清单!$X$5:$X$204,51)=0,"",INDEX(ERP导入清单!O:O,IFERROR(MATCH(51,ERP导入清单!$X$5:$X$204,0)+4,"")))</f>
        <v/>
      </c>
      <c r="P55" s="39" t="str">
        <f>IF(COUNTIF(ERP导入清单!$X$5:$X$204,51)=0,"",INDEX(ERP导入清单!P:P,IFERROR(MATCH(51,ERP导入清单!$X$5:$X$204,0)+4,"")))</f>
        <v/>
      </c>
      <c r="Q55" s="39" t="str">
        <f>IF(COUNTIF(ERP导入清单!$X$5:$X$204,51)=0,"",INDEX(ERP导入清单!Q:Q,IFERROR(MATCH(51,ERP导入清单!$X$5:$X$204,0)+4,"")))</f>
        <v/>
      </c>
      <c r="R55" s="59" t="str">
        <f>IF(COUNTIF(ERP导入清单!$X$5:$X$204,51)=0,"",INDEX(ERP导入清单!R:R,IFERROR(MATCH(51,ERP导入清单!$X$5:$X$204,0)+4,"")))</f>
        <v/>
      </c>
      <c r="S55" s="37" t="str">
        <f>IF(COUNTIF(ERP导入清单!$X$5:$X$204,51)=0,"",INDEX(ERP导入清单!S:S,IFERROR(MATCH(51,ERP导入清单!$X$5:$X$204,0)+4,"")))</f>
        <v/>
      </c>
      <c r="T55" s="37" t="str">
        <f>IF(COUNTIF(ERP导入清单!$X$5:$X$204,51)=0,"",INDEX(ERP导入清单!T:T,IFERROR(MATCH(51,ERP导入清单!$X$5:$X$204,0)+4,"")))</f>
        <v/>
      </c>
      <c r="U55" s="37" t="str">
        <f>IF(COUNTIF(ERP导入清单!$X$5:$X$204,51)=0,"",INDEX(ERP导入清单!U:U,IFERROR(MATCH(51,ERP导入清单!$X$5:$X$204,0)+4,"")))</f>
        <v/>
      </c>
      <c r="V55" s="38" t="str">
        <f>IF(COUNTIF(ERP导入清单!$X$5:$X$204,51)=0,"",INDEX(ERP导入清单!V:V,IFERROR(MATCH(51,ERP导入清单!$X$5:$X$204,0)+4,"")))</f>
        <v/>
      </c>
      <c r="W55" s="50" t="str">
        <f>IF(COUNTIF(ERP导入清单!$X$5:$X$204,51)=0,"",INDEX(ERP导入清单!W:W,IFERROR(MATCH(51,ERP导入清单!$X$5:$X$204,0)+4,"")))</f>
        <v/>
      </c>
    </row>
    <row r="56" spans="1:23" ht="24" customHeight="1">
      <c r="A56" s="55" t="str">
        <f>IF(COUNTIF(ERP导入清单!$X$5:$X$204,52)=0,"",INDEX(ERP导入清单!A:A,IFERROR(MATCH(52,ERP导入清单!$X$5:$X$204,0)+4,"")))</f>
        <v/>
      </c>
      <c r="B56" s="37" t="str">
        <f>IF(COUNTIF(ERP导入清单!$X$5:$X$204,52)=0,"",INDEX(ERP导入清单!B:B,IFERROR(MATCH(52,ERP导入清单!$X$5:$X$204,0)+4,"")))</f>
        <v/>
      </c>
      <c r="C56" s="38" t="str">
        <f>IF(COUNTIF(ERP导入清单!$X$5:$X$204,52)=0,"",INDEX(ERP导入清单!C:C,IFERROR(MATCH(52,ERP导入清单!$X$5:$X$204,0)+4,"")))</f>
        <v/>
      </c>
      <c r="D56" s="37" t="str">
        <f>IF(COUNTIF(ERP导入清单!$X$5:$X$204,52)=0,"",INDEX(ERP导入清单!D:D,IFERROR(MATCH(52,ERP导入清单!$X$5:$X$204,0)+4,"")))</f>
        <v/>
      </c>
      <c r="E56" s="37" t="str">
        <f>IF(COUNTIF(ERP导入清单!$X$5:$X$204,52)=0,"",INDEX(ERP导入清单!E:E,IFERROR(MATCH(52,ERP导入清单!$X$5:$X$204,0)+4,"")))</f>
        <v/>
      </c>
      <c r="F56" s="37" t="str">
        <f>IF(COUNTIF(ERP导入清单!$X$5:$X$204,52)=0,"",INDEX(ERP导入清单!F:F,IFERROR(MATCH(52,ERP导入清单!$X$5:$X$204,0)+4,"")))</f>
        <v/>
      </c>
      <c r="G56" s="57" t="str">
        <f>IF(COUNTIF(ERP导入清单!$X$5:$X$204,52)=0,"",INDEX(ERP导入清单!G:G,IFERROR(MATCH(52,ERP导入清单!$X$5:$X$204,0)+4,"")))</f>
        <v/>
      </c>
      <c r="H56" s="37" t="str">
        <f>IF(COUNTIF(ERP导入清单!$X$5:$X$204,52)=0,"",INDEX(ERP导入清单!H:H,IFERROR(MATCH(52,ERP导入清单!$X$5:$X$204,0)+4,"")))</f>
        <v/>
      </c>
      <c r="I56" s="57" t="str">
        <f>IF(COUNTIF(ERP导入清单!$X$5:$X$204,52)=0,"",INDEX(ERP导入清单!I:I,IFERROR(MATCH(52,ERP导入清单!$X$5:$X$204,0)+4,"")))</f>
        <v/>
      </c>
      <c r="J56" s="57" t="str">
        <f>IF(COUNTIF(ERP导入清单!$X$5:$X$204,52)=0,"",INDEX(ERP导入清单!J:J,IFERROR(MATCH(52,ERP导入清单!$X$5:$X$204,0)+4,"")))</f>
        <v/>
      </c>
      <c r="K56" s="37" t="str">
        <f>IF(COUNTIF(ERP导入清单!$X$5:$X$204,52)=0,"",INDEX(ERP导入清单!K:K,IFERROR(MATCH(52,ERP导入清单!$X$5:$X$204,0)+4,"")))</f>
        <v/>
      </c>
      <c r="L56" s="37" t="str">
        <f>IF(COUNTIF(ERP导入清单!$X$5:$X$204,52)=0,"",INDEX(ERP导入清单!L:L,IFERROR(MATCH(52,ERP导入清单!$X$5:$X$204,0)+4,"")))</f>
        <v/>
      </c>
      <c r="M56" s="37" t="str">
        <f>IF(COUNTIF(ERP导入清单!$X$5:$X$204,52)=0,"",INDEX(ERP导入清单!M:M,IFERROR(MATCH(52,ERP导入清单!$X$5:$X$204,0)+4,"")))</f>
        <v/>
      </c>
      <c r="N56" s="37" t="str">
        <f>IF(COUNTIF(ERP导入清单!$X$5:$X$204,52)=0,"",INDEX(ERP导入清单!N:N,IFERROR(MATCH(52,ERP导入清单!$X$5:$X$204,0)+4,"")))</f>
        <v/>
      </c>
      <c r="O56" s="37" t="str">
        <f>IF(COUNTIF(ERP导入清单!$X$5:$X$204,52)=0,"",INDEX(ERP导入清单!O:O,IFERROR(MATCH(52,ERP导入清单!$X$5:$X$204,0)+4,"")))</f>
        <v/>
      </c>
      <c r="P56" s="39" t="str">
        <f>IF(COUNTIF(ERP导入清单!$X$5:$X$204,52)=0,"",INDEX(ERP导入清单!P:P,IFERROR(MATCH(52,ERP导入清单!$X$5:$X$204,0)+4,"")))</f>
        <v/>
      </c>
      <c r="Q56" s="39" t="str">
        <f>IF(COUNTIF(ERP导入清单!$X$5:$X$204,52)=0,"",INDEX(ERP导入清单!Q:Q,IFERROR(MATCH(52,ERP导入清单!$X$5:$X$204,0)+4,"")))</f>
        <v/>
      </c>
      <c r="R56" s="59" t="str">
        <f>IF(COUNTIF(ERP导入清单!$X$5:$X$204,52)=0,"",INDEX(ERP导入清单!R:R,IFERROR(MATCH(52,ERP导入清单!$X$5:$X$204,0)+4,"")))</f>
        <v/>
      </c>
      <c r="S56" s="37" t="str">
        <f>IF(COUNTIF(ERP导入清单!$X$5:$X$204,52)=0,"",INDEX(ERP导入清单!S:S,IFERROR(MATCH(52,ERP导入清单!$X$5:$X$204,0)+4,"")))</f>
        <v/>
      </c>
      <c r="T56" s="37" t="str">
        <f>IF(COUNTIF(ERP导入清单!$X$5:$X$204,52)=0,"",INDEX(ERP导入清单!T:T,IFERROR(MATCH(52,ERP导入清单!$X$5:$X$204,0)+4,"")))</f>
        <v/>
      </c>
      <c r="U56" s="37" t="str">
        <f>IF(COUNTIF(ERP导入清单!$X$5:$X$204,52)=0,"",INDEX(ERP导入清单!U:U,IFERROR(MATCH(52,ERP导入清单!$X$5:$X$204,0)+4,"")))</f>
        <v/>
      </c>
      <c r="V56" s="38" t="str">
        <f>IF(COUNTIF(ERP导入清单!$X$5:$X$204,52)=0,"",INDEX(ERP导入清单!V:V,IFERROR(MATCH(52,ERP导入清单!$X$5:$X$204,0)+4,"")))</f>
        <v/>
      </c>
      <c r="W56" s="50" t="str">
        <f>IF(COUNTIF(ERP导入清单!$X$5:$X$204,52)=0,"",INDEX(ERP导入清单!W:W,IFERROR(MATCH(52,ERP导入清单!$X$5:$X$204,0)+4,"")))</f>
        <v/>
      </c>
    </row>
    <row r="57" spans="1:23" ht="24" customHeight="1">
      <c r="A57" s="55" t="str">
        <f>IF(COUNTIF(ERP导入清单!$X$5:$X$204,53)=0,"",INDEX(ERP导入清单!A:A,IFERROR(MATCH(53,ERP导入清单!$X$5:$X$204,0)+4,"")))</f>
        <v/>
      </c>
      <c r="B57" s="37" t="str">
        <f>IF(COUNTIF(ERP导入清单!$X$5:$X$204,53)=0,"",INDEX(ERP导入清单!B:B,IFERROR(MATCH(53,ERP导入清单!$X$5:$X$204,0)+4,"")))</f>
        <v/>
      </c>
      <c r="C57" s="38" t="str">
        <f>IF(COUNTIF(ERP导入清单!$X$5:$X$204,53)=0,"",INDEX(ERP导入清单!C:C,IFERROR(MATCH(53,ERP导入清单!$X$5:$X$204,0)+4,"")))</f>
        <v/>
      </c>
      <c r="D57" s="37" t="str">
        <f>IF(COUNTIF(ERP导入清单!$X$5:$X$204,53)=0,"",INDEX(ERP导入清单!D:D,IFERROR(MATCH(53,ERP导入清单!$X$5:$X$204,0)+4,"")))</f>
        <v/>
      </c>
      <c r="E57" s="37" t="str">
        <f>IF(COUNTIF(ERP导入清单!$X$5:$X$204,53)=0,"",INDEX(ERP导入清单!E:E,IFERROR(MATCH(53,ERP导入清单!$X$5:$X$204,0)+4,"")))</f>
        <v/>
      </c>
      <c r="F57" s="37" t="str">
        <f>IF(COUNTIF(ERP导入清单!$X$5:$X$204,53)=0,"",INDEX(ERP导入清单!F:F,IFERROR(MATCH(53,ERP导入清单!$X$5:$X$204,0)+4,"")))</f>
        <v/>
      </c>
      <c r="G57" s="57" t="str">
        <f>IF(COUNTIF(ERP导入清单!$X$5:$X$204,53)=0,"",INDEX(ERP导入清单!G:G,IFERROR(MATCH(53,ERP导入清单!$X$5:$X$204,0)+4,"")))</f>
        <v/>
      </c>
      <c r="H57" s="37" t="str">
        <f>IF(COUNTIF(ERP导入清单!$X$5:$X$204,53)=0,"",INDEX(ERP导入清单!H:H,IFERROR(MATCH(53,ERP导入清单!$X$5:$X$204,0)+4,"")))</f>
        <v/>
      </c>
      <c r="I57" s="57" t="str">
        <f>IF(COUNTIF(ERP导入清单!$X$5:$X$204,53)=0,"",INDEX(ERP导入清单!I:I,IFERROR(MATCH(53,ERP导入清单!$X$5:$X$204,0)+4,"")))</f>
        <v/>
      </c>
      <c r="J57" s="57" t="str">
        <f>IF(COUNTIF(ERP导入清单!$X$5:$X$204,53)=0,"",INDEX(ERP导入清单!J:J,IFERROR(MATCH(53,ERP导入清单!$X$5:$X$204,0)+4,"")))</f>
        <v/>
      </c>
      <c r="K57" s="37" t="str">
        <f>IF(COUNTIF(ERP导入清单!$X$5:$X$204,53)=0,"",INDEX(ERP导入清单!K:K,IFERROR(MATCH(53,ERP导入清单!$X$5:$X$204,0)+4,"")))</f>
        <v/>
      </c>
      <c r="L57" s="37" t="str">
        <f>IF(COUNTIF(ERP导入清单!$X$5:$X$204,53)=0,"",INDEX(ERP导入清单!L:L,IFERROR(MATCH(53,ERP导入清单!$X$5:$X$204,0)+4,"")))</f>
        <v/>
      </c>
      <c r="M57" s="37" t="str">
        <f>IF(COUNTIF(ERP导入清单!$X$5:$X$204,53)=0,"",INDEX(ERP导入清单!M:M,IFERROR(MATCH(53,ERP导入清单!$X$5:$X$204,0)+4,"")))</f>
        <v/>
      </c>
      <c r="N57" s="37" t="str">
        <f>IF(COUNTIF(ERP导入清单!$X$5:$X$204,53)=0,"",INDEX(ERP导入清单!N:N,IFERROR(MATCH(53,ERP导入清单!$X$5:$X$204,0)+4,"")))</f>
        <v/>
      </c>
      <c r="O57" s="37" t="str">
        <f>IF(COUNTIF(ERP导入清单!$X$5:$X$204,53)=0,"",INDEX(ERP导入清单!O:O,IFERROR(MATCH(53,ERP导入清单!$X$5:$X$204,0)+4,"")))</f>
        <v/>
      </c>
      <c r="P57" s="39" t="str">
        <f>IF(COUNTIF(ERP导入清单!$X$5:$X$204,53)=0,"",INDEX(ERP导入清单!P:P,IFERROR(MATCH(53,ERP导入清单!$X$5:$X$204,0)+4,"")))</f>
        <v/>
      </c>
      <c r="Q57" s="39" t="str">
        <f>IF(COUNTIF(ERP导入清单!$X$5:$X$204,53)=0,"",INDEX(ERP导入清单!Q:Q,IFERROR(MATCH(53,ERP导入清单!$X$5:$X$204,0)+4,"")))</f>
        <v/>
      </c>
      <c r="R57" s="59" t="str">
        <f>IF(COUNTIF(ERP导入清单!$X$5:$X$204,53)=0,"",INDEX(ERP导入清单!R:R,IFERROR(MATCH(53,ERP导入清单!$X$5:$X$204,0)+4,"")))</f>
        <v/>
      </c>
      <c r="S57" s="37" t="str">
        <f>IF(COUNTIF(ERP导入清单!$X$5:$X$204,53)=0,"",INDEX(ERP导入清单!S:S,IFERROR(MATCH(53,ERP导入清单!$X$5:$X$204,0)+4,"")))</f>
        <v/>
      </c>
      <c r="T57" s="37" t="str">
        <f>IF(COUNTIF(ERP导入清单!$X$5:$X$204,53)=0,"",INDEX(ERP导入清单!T:T,IFERROR(MATCH(53,ERP导入清单!$X$5:$X$204,0)+4,"")))</f>
        <v/>
      </c>
      <c r="U57" s="37" t="str">
        <f>IF(COUNTIF(ERP导入清单!$X$5:$X$204,53)=0,"",INDEX(ERP导入清单!U:U,IFERROR(MATCH(53,ERP导入清单!$X$5:$X$204,0)+4,"")))</f>
        <v/>
      </c>
      <c r="V57" s="38" t="str">
        <f>IF(COUNTIF(ERP导入清单!$X$5:$X$204,53)=0,"",INDEX(ERP导入清单!V:V,IFERROR(MATCH(53,ERP导入清单!$X$5:$X$204,0)+4,"")))</f>
        <v/>
      </c>
      <c r="W57" s="50" t="str">
        <f>IF(COUNTIF(ERP导入清单!$X$5:$X$204,53)=0,"",INDEX(ERP导入清单!W:W,IFERROR(MATCH(53,ERP导入清单!$X$5:$X$204,0)+4,"")))</f>
        <v/>
      </c>
    </row>
    <row r="58" spans="1:23" ht="24" customHeight="1">
      <c r="A58" s="55" t="str">
        <f>IF(COUNTIF(ERP导入清单!$X$5:$X$204,54)=0,"",INDEX(ERP导入清单!A:A,IFERROR(MATCH(54,ERP导入清单!$X$5:$X$204,0)+4,"")))</f>
        <v/>
      </c>
      <c r="B58" s="37" t="str">
        <f>IF(COUNTIF(ERP导入清单!$X$5:$X$204,54)=0,"",INDEX(ERP导入清单!B:B,IFERROR(MATCH(54,ERP导入清单!$X$5:$X$204,0)+4,"")))</f>
        <v/>
      </c>
      <c r="C58" s="38" t="str">
        <f>IF(COUNTIF(ERP导入清单!$X$5:$X$204,54)=0,"",INDEX(ERP导入清单!C:C,IFERROR(MATCH(54,ERP导入清单!$X$5:$X$204,0)+4,"")))</f>
        <v/>
      </c>
      <c r="D58" s="37" t="str">
        <f>IF(COUNTIF(ERP导入清单!$X$5:$X$204,54)=0,"",INDEX(ERP导入清单!D:D,IFERROR(MATCH(54,ERP导入清单!$X$5:$X$204,0)+4,"")))</f>
        <v/>
      </c>
      <c r="E58" s="37" t="str">
        <f>IF(COUNTIF(ERP导入清单!$X$5:$X$204,54)=0,"",INDEX(ERP导入清单!E:E,IFERROR(MATCH(54,ERP导入清单!$X$5:$X$204,0)+4,"")))</f>
        <v/>
      </c>
      <c r="F58" s="37" t="str">
        <f>IF(COUNTIF(ERP导入清单!$X$5:$X$204,54)=0,"",INDEX(ERP导入清单!F:F,IFERROR(MATCH(54,ERP导入清单!$X$5:$X$204,0)+4,"")))</f>
        <v/>
      </c>
      <c r="G58" s="57" t="str">
        <f>IF(COUNTIF(ERP导入清单!$X$5:$X$204,54)=0,"",INDEX(ERP导入清单!G:G,IFERROR(MATCH(54,ERP导入清单!$X$5:$X$204,0)+4,"")))</f>
        <v/>
      </c>
      <c r="H58" s="37" t="str">
        <f>IF(COUNTIF(ERP导入清单!$X$5:$X$204,54)=0,"",INDEX(ERP导入清单!H:H,IFERROR(MATCH(54,ERP导入清单!$X$5:$X$204,0)+4,"")))</f>
        <v/>
      </c>
      <c r="I58" s="57" t="str">
        <f>IF(COUNTIF(ERP导入清单!$X$5:$X$204,54)=0,"",INDEX(ERP导入清单!I:I,IFERROR(MATCH(54,ERP导入清单!$X$5:$X$204,0)+4,"")))</f>
        <v/>
      </c>
      <c r="J58" s="57" t="str">
        <f>IF(COUNTIF(ERP导入清单!$X$5:$X$204,54)=0,"",INDEX(ERP导入清单!J:J,IFERROR(MATCH(54,ERP导入清单!$X$5:$X$204,0)+4,"")))</f>
        <v/>
      </c>
      <c r="K58" s="37" t="str">
        <f>IF(COUNTIF(ERP导入清单!$X$5:$X$204,54)=0,"",INDEX(ERP导入清单!K:K,IFERROR(MATCH(54,ERP导入清单!$X$5:$X$204,0)+4,"")))</f>
        <v/>
      </c>
      <c r="L58" s="37" t="str">
        <f>IF(COUNTIF(ERP导入清单!$X$5:$X$204,54)=0,"",INDEX(ERP导入清单!L:L,IFERROR(MATCH(54,ERP导入清单!$X$5:$X$204,0)+4,"")))</f>
        <v/>
      </c>
      <c r="M58" s="37" t="str">
        <f>IF(COUNTIF(ERP导入清单!$X$5:$X$204,54)=0,"",INDEX(ERP导入清单!M:M,IFERROR(MATCH(54,ERP导入清单!$X$5:$X$204,0)+4,"")))</f>
        <v/>
      </c>
      <c r="N58" s="37" t="str">
        <f>IF(COUNTIF(ERP导入清单!$X$5:$X$204,54)=0,"",INDEX(ERP导入清单!N:N,IFERROR(MATCH(54,ERP导入清单!$X$5:$X$204,0)+4,"")))</f>
        <v/>
      </c>
      <c r="O58" s="37" t="str">
        <f>IF(COUNTIF(ERP导入清单!$X$5:$X$204,54)=0,"",INDEX(ERP导入清单!O:O,IFERROR(MATCH(54,ERP导入清单!$X$5:$X$204,0)+4,"")))</f>
        <v/>
      </c>
      <c r="P58" s="39" t="str">
        <f>IF(COUNTIF(ERP导入清单!$X$5:$X$204,54)=0,"",INDEX(ERP导入清单!P:P,IFERROR(MATCH(54,ERP导入清单!$X$5:$X$204,0)+4,"")))</f>
        <v/>
      </c>
      <c r="Q58" s="39" t="str">
        <f>IF(COUNTIF(ERP导入清单!$X$5:$X$204,54)=0,"",INDEX(ERP导入清单!Q:Q,IFERROR(MATCH(54,ERP导入清单!$X$5:$X$204,0)+4,"")))</f>
        <v/>
      </c>
      <c r="R58" s="59" t="str">
        <f>IF(COUNTIF(ERP导入清单!$X$5:$X$204,54)=0,"",INDEX(ERP导入清单!R:R,IFERROR(MATCH(54,ERP导入清单!$X$5:$X$204,0)+4,"")))</f>
        <v/>
      </c>
      <c r="S58" s="37" t="str">
        <f>IF(COUNTIF(ERP导入清单!$X$5:$X$204,54)=0,"",INDEX(ERP导入清单!S:S,IFERROR(MATCH(54,ERP导入清单!$X$5:$X$204,0)+4,"")))</f>
        <v/>
      </c>
      <c r="T58" s="37" t="str">
        <f>IF(COUNTIF(ERP导入清单!$X$5:$X$204,54)=0,"",INDEX(ERP导入清单!T:T,IFERROR(MATCH(54,ERP导入清单!$X$5:$X$204,0)+4,"")))</f>
        <v/>
      </c>
      <c r="U58" s="37" t="str">
        <f>IF(COUNTIF(ERP导入清单!$X$5:$X$204,54)=0,"",INDEX(ERP导入清单!U:U,IFERROR(MATCH(54,ERP导入清单!$X$5:$X$204,0)+4,"")))</f>
        <v/>
      </c>
      <c r="V58" s="38" t="str">
        <f>IF(COUNTIF(ERP导入清单!$X$5:$X$204,54)=0,"",INDEX(ERP导入清单!V:V,IFERROR(MATCH(54,ERP导入清单!$X$5:$X$204,0)+4,"")))</f>
        <v/>
      </c>
      <c r="W58" s="50" t="str">
        <f>IF(COUNTIF(ERP导入清单!$X$5:$X$204,54)=0,"",INDEX(ERP导入清单!W:W,IFERROR(MATCH(54,ERP导入清单!$X$5:$X$204,0)+4,"")))</f>
        <v/>
      </c>
    </row>
    <row r="59" spans="1:23" ht="24" customHeight="1">
      <c r="A59" s="55" t="str">
        <f>IF(COUNTIF(ERP导入清单!$X$5:$X$204,55)=0,"",INDEX(ERP导入清单!A:A,IFERROR(MATCH(55,ERP导入清单!$X$5:$X$204,0)+4,"")))</f>
        <v/>
      </c>
      <c r="B59" s="37" t="str">
        <f>IF(COUNTIF(ERP导入清单!$X$5:$X$204,55)=0,"",INDEX(ERP导入清单!B:B,IFERROR(MATCH(55,ERP导入清单!$X$5:$X$204,0)+4,"")))</f>
        <v/>
      </c>
      <c r="C59" s="38" t="str">
        <f>IF(COUNTIF(ERP导入清单!$X$5:$X$204,55)=0,"",INDEX(ERP导入清单!C:C,IFERROR(MATCH(55,ERP导入清单!$X$5:$X$204,0)+4,"")))</f>
        <v/>
      </c>
      <c r="D59" s="37" t="str">
        <f>IF(COUNTIF(ERP导入清单!$X$5:$X$204,55)=0,"",INDEX(ERP导入清单!D:D,IFERROR(MATCH(55,ERP导入清单!$X$5:$X$204,0)+4,"")))</f>
        <v/>
      </c>
      <c r="E59" s="37" t="str">
        <f>IF(COUNTIF(ERP导入清单!$X$5:$X$204,55)=0,"",INDEX(ERP导入清单!E:E,IFERROR(MATCH(55,ERP导入清单!$X$5:$X$204,0)+4,"")))</f>
        <v/>
      </c>
      <c r="F59" s="37" t="str">
        <f>IF(COUNTIF(ERP导入清单!$X$5:$X$204,55)=0,"",INDEX(ERP导入清单!F:F,IFERROR(MATCH(55,ERP导入清单!$X$5:$X$204,0)+4,"")))</f>
        <v/>
      </c>
      <c r="G59" s="57" t="str">
        <f>IF(COUNTIF(ERP导入清单!$X$5:$X$204,55)=0,"",INDEX(ERP导入清单!G:G,IFERROR(MATCH(55,ERP导入清单!$X$5:$X$204,0)+4,"")))</f>
        <v/>
      </c>
      <c r="H59" s="37" t="str">
        <f>IF(COUNTIF(ERP导入清单!$X$5:$X$204,55)=0,"",INDEX(ERP导入清单!H:H,IFERROR(MATCH(55,ERP导入清单!$X$5:$X$204,0)+4,"")))</f>
        <v/>
      </c>
      <c r="I59" s="57" t="str">
        <f>IF(COUNTIF(ERP导入清单!$X$5:$X$204,55)=0,"",INDEX(ERP导入清单!I:I,IFERROR(MATCH(55,ERP导入清单!$X$5:$X$204,0)+4,"")))</f>
        <v/>
      </c>
      <c r="J59" s="57" t="str">
        <f>IF(COUNTIF(ERP导入清单!$X$5:$X$204,55)=0,"",INDEX(ERP导入清单!J:J,IFERROR(MATCH(55,ERP导入清单!$X$5:$X$204,0)+4,"")))</f>
        <v/>
      </c>
      <c r="K59" s="37" t="str">
        <f>IF(COUNTIF(ERP导入清单!$X$5:$X$204,55)=0,"",INDEX(ERP导入清单!K:K,IFERROR(MATCH(55,ERP导入清单!$X$5:$X$204,0)+4,"")))</f>
        <v/>
      </c>
      <c r="L59" s="37" t="str">
        <f>IF(COUNTIF(ERP导入清单!$X$5:$X$204,55)=0,"",INDEX(ERP导入清单!L:L,IFERROR(MATCH(55,ERP导入清单!$X$5:$X$204,0)+4,"")))</f>
        <v/>
      </c>
      <c r="M59" s="37" t="str">
        <f>IF(COUNTIF(ERP导入清单!$X$5:$X$204,55)=0,"",INDEX(ERP导入清单!M:M,IFERROR(MATCH(55,ERP导入清单!$X$5:$X$204,0)+4,"")))</f>
        <v/>
      </c>
      <c r="N59" s="37" t="str">
        <f>IF(COUNTIF(ERP导入清单!$X$5:$X$204,55)=0,"",INDEX(ERP导入清单!N:N,IFERROR(MATCH(55,ERP导入清单!$X$5:$X$204,0)+4,"")))</f>
        <v/>
      </c>
      <c r="O59" s="37" t="str">
        <f>IF(COUNTIF(ERP导入清单!$X$5:$X$204,55)=0,"",INDEX(ERP导入清单!O:O,IFERROR(MATCH(55,ERP导入清单!$X$5:$X$204,0)+4,"")))</f>
        <v/>
      </c>
      <c r="P59" s="39" t="str">
        <f>IF(COUNTIF(ERP导入清单!$X$5:$X$204,55)=0,"",INDEX(ERP导入清单!P:P,IFERROR(MATCH(55,ERP导入清单!$X$5:$X$204,0)+4,"")))</f>
        <v/>
      </c>
      <c r="Q59" s="39" t="str">
        <f>IF(COUNTIF(ERP导入清单!$X$5:$X$204,55)=0,"",INDEX(ERP导入清单!Q:Q,IFERROR(MATCH(55,ERP导入清单!$X$5:$X$204,0)+4,"")))</f>
        <v/>
      </c>
      <c r="R59" s="59" t="str">
        <f>IF(COUNTIF(ERP导入清单!$X$5:$X$204,55)=0,"",INDEX(ERP导入清单!R:R,IFERROR(MATCH(55,ERP导入清单!$X$5:$X$204,0)+4,"")))</f>
        <v/>
      </c>
      <c r="S59" s="37" t="str">
        <f>IF(COUNTIF(ERP导入清单!$X$5:$X$204,55)=0,"",INDEX(ERP导入清单!S:S,IFERROR(MATCH(55,ERP导入清单!$X$5:$X$204,0)+4,"")))</f>
        <v/>
      </c>
      <c r="T59" s="37" t="str">
        <f>IF(COUNTIF(ERP导入清单!$X$5:$X$204,55)=0,"",INDEX(ERP导入清单!T:T,IFERROR(MATCH(55,ERP导入清单!$X$5:$X$204,0)+4,"")))</f>
        <v/>
      </c>
      <c r="U59" s="37" t="str">
        <f>IF(COUNTIF(ERP导入清单!$X$5:$X$204,55)=0,"",INDEX(ERP导入清单!U:U,IFERROR(MATCH(55,ERP导入清单!$X$5:$X$204,0)+4,"")))</f>
        <v/>
      </c>
      <c r="V59" s="38" t="str">
        <f>IF(COUNTIF(ERP导入清单!$X$5:$X$204,55)=0,"",INDEX(ERP导入清单!V:V,IFERROR(MATCH(55,ERP导入清单!$X$5:$X$204,0)+4,"")))</f>
        <v/>
      </c>
      <c r="W59" s="50" t="str">
        <f>IF(COUNTIF(ERP导入清单!$X$5:$X$204,55)=0,"",INDEX(ERP导入清单!W:W,IFERROR(MATCH(55,ERP导入清单!$X$5:$X$204,0)+4,"")))</f>
        <v/>
      </c>
    </row>
    <row r="60" spans="1:23" ht="24" customHeight="1">
      <c r="A60" s="55" t="str">
        <f>IF(COUNTIF(ERP导入清单!$X$5:$X$204,56)=0,"",INDEX(ERP导入清单!A:A,IFERROR(MATCH(56,ERP导入清单!$X$5:$X$204,0)+4,"")))</f>
        <v/>
      </c>
      <c r="B60" s="37" t="str">
        <f>IF(COUNTIF(ERP导入清单!$X$5:$X$204,56)=0,"",INDEX(ERP导入清单!B:B,IFERROR(MATCH(56,ERP导入清单!$X$5:$X$204,0)+4,"")))</f>
        <v/>
      </c>
      <c r="C60" s="38" t="str">
        <f>IF(COUNTIF(ERP导入清单!$X$5:$X$204,56)=0,"",INDEX(ERP导入清单!C:C,IFERROR(MATCH(56,ERP导入清单!$X$5:$X$204,0)+4,"")))</f>
        <v/>
      </c>
      <c r="D60" s="37" t="str">
        <f>IF(COUNTIF(ERP导入清单!$X$5:$X$204,56)=0,"",INDEX(ERP导入清单!D:D,IFERROR(MATCH(56,ERP导入清单!$X$5:$X$204,0)+4,"")))</f>
        <v/>
      </c>
      <c r="E60" s="37" t="str">
        <f>IF(COUNTIF(ERP导入清单!$X$5:$X$204,56)=0,"",INDEX(ERP导入清单!E:E,IFERROR(MATCH(56,ERP导入清单!$X$5:$X$204,0)+4,"")))</f>
        <v/>
      </c>
      <c r="F60" s="37" t="str">
        <f>IF(COUNTIF(ERP导入清单!$X$5:$X$204,56)=0,"",INDEX(ERP导入清单!F:F,IFERROR(MATCH(56,ERP导入清单!$X$5:$X$204,0)+4,"")))</f>
        <v/>
      </c>
      <c r="G60" s="57" t="str">
        <f>IF(COUNTIF(ERP导入清单!$X$5:$X$204,56)=0,"",INDEX(ERP导入清单!G:G,IFERROR(MATCH(56,ERP导入清单!$X$5:$X$204,0)+4,"")))</f>
        <v/>
      </c>
      <c r="H60" s="37" t="str">
        <f>IF(COUNTIF(ERP导入清单!$X$5:$X$204,56)=0,"",INDEX(ERP导入清单!H:H,IFERROR(MATCH(56,ERP导入清单!$X$5:$X$204,0)+4,"")))</f>
        <v/>
      </c>
      <c r="I60" s="57" t="str">
        <f>IF(COUNTIF(ERP导入清单!$X$5:$X$204,56)=0,"",INDEX(ERP导入清单!I:I,IFERROR(MATCH(56,ERP导入清单!$X$5:$X$204,0)+4,"")))</f>
        <v/>
      </c>
      <c r="J60" s="57" t="str">
        <f>IF(COUNTIF(ERP导入清单!$X$5:$X$204,56)=0,"",INDEX(ERP导入清单!J:J,IFERROR(MATCH(56,ERP导入清单!$X$5:$X$204,0)+4,"")))</f>
        <v/>
      </c>
      <c r="K60" s="37" t="str">
        <f>IF(COUNTIF(ERP导入清单!$X$5:$X$204,56)=0,"",INDEX(ERP导入清单!K:K,IFERROR(MATCH(56,ERP导入清单!$X$5:$X$204,0)+4,"")))</f>
        <v/>
      </c>
      <c r="L60" s="37" t="str">
        <f>IF(COUNTIF(ERP导入清单!$X$5:$X$204,56)=0,"",INDEX(ERP导入清单!L:L,IFERROR(MATCH(56,ERP导入清单!$X$5:$X$204,0)+4,"")))</f>
        <v/>
      </c>
      <c r="M60" s="37" t="str">
        <f>IF(COUNTIF(ERP导入清单!$X$5:$X$204,56)=0,"",INDEX(ERP导入清单!M:M,IFERROR(MATCH(56,ERP导入清单!$X$5:$X$204,0)+4,"")))</f>
        <v/>
      </c>
      <c r="N60" s="37" t="str">
        <f>IF(COUNTIF(ERP导入清单!$X$5:$X$204,56)=0,"",INDEX(ERP导入清单!N:N,IFERROR(MATCH(56,ERP导入清单!$X$5:$X$204,0)+4,"")))</f>
        <v/>
      </c>
      <c r="O60" s="37" t="str">
        <f>IF(COUNTIF(ERP导入清单!$X$5:$X$204,56)=0,"",INDEX(ERP导入清单!O:O,IFERROR(MATCH(56,ERP导入清单!$X$5:$X$204,0)+4,"")))</f>
        <v/>
      </c>
      <c r="P60" s="39" t="str">
        <f>IF(COUNTIF(ERP导入清单!$X$5:$X$204,56)=0,"",INDEX(ERP导入清单!P:P,IFERROR(MATCH(56,ERP导入清单!$X$5:$X$204,0)+4,"")))</f>
        <v/>
      </c>
      <c r="Q60" s="39" t="str">
        <f>IF(COUNTIF(ERP导入清单!$X$5:$X$204,56)=0,"",INDEX(ERP导入清单!Q:Q,IFERROR(MATCH(56,ERP导入清单!$X$5:$X$204,0)+4,"")))</f>
        <v/>
      </c>
      <c r="R60" s="59" t="str">
        <f>IF(COUNTIF(ERP导入清单!$X$5:$X$204,56)=0,"",INDEX(ERP导入清单!R:R,IFERROR(MATCH(56,ERP导入清单!$X$5:$X$204,0)+4,"")))</f>
        <v/>
      </c>
      <c r="S60" s="37" t="str">
        <f>IF(COUNTIF(ERP导入清单!$X$5:$X$204,56)=0,"",INDEX(ERP导入清单!S:S,IFERROR(MATCH(56,ERP导入清单!$X$5:$X$204,0)+4,"")))</f>
        <v/>
      </c>
      <c r="T60" s="37" t="str">
        <f>IF(COUNTIF(ERP导入清单!$X$5:$X$204,56)=0,"",INDEX(ERP导入清单!T:T,IFERROR(MATCH(56,ERP导入清单!$X$5:$X$204,0)+4,"")))</f>
        <v/>
      </c>
      <c r="U60" s="37" t="str">
        <f>IF(COUNTIF(ERP导入清单!$X$5:$X$204,56)=0,"",INDEX(ERP导入清单!U:U,IFERROR(MATCH(56,ERP导入清单!$X$5:$X$204,0)+4,"")))</f>
        <v/>
      </c>
      <c r="V60" s="38" t="str">
        <f>IF(COUNTIF(ERP导入清单!$X$5:$X$204,56)=0,"",INDEX(ERP导入清单!V:V,IFERROR(MATCH(56,ERP导入清单!$X$5:$X$204,0)+4,"")))</f>
        <v/>
      </c>
      <c r="W60" s="50" t="str">
        <f>IF(COUNTIF(ERP导入清单!$X$5:$X$204,56)=0,"",INDEX(ERP导入清单!W:W,IFERROR(MATCH(56,ERP导入清单!$X$5:$X$204,0)+4,"")))</f>
        <v/>
      </c>
    </row>
    <row r="61" spans="1:23" ht="24" customHeight="1">
      <c r="A61" s="55" t="str">
        <f>IF(COUNTIF(ERP导入清单!$X$5:$X$204,57)=0,"",INDEX(ERP导入清单!A:A,IFERROR(MATCH(57,ERP导入清单!$X$5:$X$204,0)+4,"")))</f>
        <v/>
      </c>
      <c r="B61" s="37" t="str">
        <f>IF(COUNTIF(ERP导入清单!$X$5:$X$204,57)=0,"",INDEX(ERP导入清单!B:B,IFERROR(MATCH(57,ERP导入清单!$X$5:$X$204,0)+4,"")))</f>
        <v/>
      </c>
      <c r="C61" s="38" t="str">
        <f>IF(COUNTIF(ERP导入清单!$X$5:$X$204,57)=0,"",INDEX(ERP导入清单!C:C,IFERROR(MATCH(57,ERP导入清单!$X$5:$X$204,0)+4,"")))</f>
        <v/>
      </c>
      <c r="D61" s="37" t="str">
        <f>IF(COUNTIF(ERP导入清单!$X$5:$X$204,57)=0,"",INDEX(ERP导入清单!D:D,IFERROR(MATCH(57,ERP导入清单!$X$5:$X$204,0)+4,"")))</f>
        <v/>
      </c>
      <c r="E61" s="37" t="str">
        <f>IF(COUNTIF(ERP导入清单!$X$5:$X$204,57)=0,"",INDEX(ERP导入清单!E:E,IFERROR(MATCH(57,ERP导入清单!$X$5:$X$204,0)+4,"")))</f>
        <v/>
      </c>
      <c r="F61" s="37" t="str">
        <f>IF(COUNTIF(ERP导入清单!$X$5:$X$204,57)=0,"",INDEX(ERP导入清单!F:F,IFERROR(MATCH(57,ERP导入清单!$X$5:$X$204,0)+4,"")))</f>
        <v/>
      </c>
      <c r="G61" s="57" t="str">
        <f>IF(COUNTIF(ERP导入清单!$X$5:$X$204,57)=0,"",INDEX(ERP导入清单!G:G,IFERROR(MATCH(57,ERP导入清单!$X$5:$X$204,0)+4,"")))</f>
        <v/>
      </c>
      <c r="H61" s="37" t="str">
        <f>IF(COUNTIF(ERP导入清单!$X$5:$X$204,57)=0,"",INDEX(ERP导入清单!H:H,IFERROR(MATCH(57,ERP导入清单!$X$5:$X$204,0)+4,"")))</f>
        <v/>
      </c>
      <c r="I61" s="57" t="str">
        <f>IF(COUNTIF(ERP导入清单!$X$5:$X$204,57)=0,"",INDEX(ERP导入清单!I:I,IFERROR(MATCH(57,ERP导入清单!$X$5:$X$204,0)+4,"")))</f>
        <v/>
      </c>
      <c r="J61" s="57" t="str">
        <f>IF(COUNTIF(ERP导入清单!$X$5:$X$204,57)=0,"",INDEX(ERP导入清单!J:J,IFERROR(MATCH(57,ERP导入清单!$X$5:$X$204,0)+4,"")))</f>
        <v/>
      </c>
      <c r="K61" s="37" t="str">
        <f>IF(COUNTIF(ERP导入清单!$X$5:$X$204,57)=0,"",INDEX(ERP导入清单!K:K,IFERROR(MATCH(57,ERP导入清单!$X$5:$X$204,0)+4,"")))</f>
        <v/>
      </c>
      <c r="L61" s="37" t="str">
        <f>IF(COUNTIF(ERP导入清单!$X$5:$X$204,57)=0,"",INDEX(ERP导入清单!L:L,IFERROR(MATCH(57,ERP导入清单!$X$5:$X$204,0)+4,"")))</f>
        <v/>
      </c>
      <c r="M61" s="37" t="str">
        <f>IF(COUNTIF(ERP导入清单!$X$5:$X$204,57)=0,"",INDEX(ERP导入清单!M:M,IFERROR(MATCH(57,ERP导入清单!$X$5:$X$204,0)+4,"")))</f>
        <v/>
      </c>
      <c r="N61" s="37" t="str">
        <f>IF(COUNTIF(ERP导入清单!$X$5:$X$204,57)=0,"",INDEX(ERP导入清单!N:N,IFERROR(MATCH(57,ERP导入清单!$X$5:$X$204,0)+4,"")))</f>
        <v/>
      </c>
      <c r="O61" s="37" t="str">
        <f>IF(COUNTIF(ERP导入清单!$X$5:$X$204,57)=0,"",INDEX(ERP导入清单!O:O,IFERROR(MATCH(57,ERP导入清单!$X$5:$X$204,0)+4,"")))</f>
        <v/>
      </c>
      <c r="P61" s="39" t="str">
        <f>IF(COUNTIF(ERP导入清单!$X$5:$X$204,57)=0,"",INDEX(ERP导入清单!P:P,IFERROR(MATCH(57,ERP导入清单!$X$5:$X$204,0)+4,"")))</f>
        <v/>
      </c>
      <c r="Q61" s="39" t="str">
        <f>IF(COUNTIF(ERP导入清单!$X$5:$X$204,57)=0,"",INDEX(ERP导入清单!Q:Q,IFERROR(MATCH(57,ERP导入清单!$X$5:$X$204,0)+4,"")))</f>
        <v/>
      </c>
      <c r="R61" s="59" t="str">
        <f>IF(COUNTIF(ERP导入清单!$X$5:$X$204,57)=0,"",INDEX(ERP导入清单!R:R,IFERROR(MATCH(57,ERP导入清单!$X$5:$X$204,0)+4,"")))</f>
        <v/>
      </c>
      <c r="S61" s="37" t="str">
        <f>IF(COUNTIF(ERP导入清单!$X$5:$X$204,57)=0,"",INDEX(ERP导入清单!S:S,IFERROR(MATCH(57,ERP导入清单!$X$5:$X$204,0)+4,"")))</f>
        <v/>
      </c>
      <c r="T61" s="37" t="str">
        <f>IF(COUNTIF(ERP导入清单!$X$5:$X$204,57)=0,"",INDEX(ERP导入清单!T:T,IFERROR(MATCH(57,ERP导入清单!$X$5:$X$204,0)+4,"")))</f>
        <v/>
      </c>
      <c r="U61" s="37" t="str">
        <f>IF(COUNTIF(ERP导入清单!$X$5:$X$204,57)=0,"",INDEX(ERP导入清单!U:U,IFERROR(MATCH(57,ERP导入清单!$X$5:$X$204,0)+4,"")))</f>
        <v/>
      </c>
      <c r="V61" s="38" t="str">
        <f>IF(COUNTIF(ERP导入清单!$X$5:$X$204,57)=0,"",INDEX(ERP导入清单!V:V,IFERROR(MATCH(57,ERP导入清单!$X$5:$X$204,0)+4,"")))</f>
        <v/>
      </c>
      <c r="W61" s="50" t="str">
        <f>IF(COUNTIF(ERP导入清单!$X$5:$X$204,57)=0,"",INDEX(ERP导入清单!W:W,IFERROR(MATCH(57,ERP导入清单!$X$5:$X$204,0)+4,"")))</f>
        <v/>
      </c>
    </row>
    <row r="62" spans="1:23" ht="24" customHeight="1">
      <c r="A62" s="55" t="str">
        <f>IF(COUNTIF(ERP导入清单!$X$5:$X$204,58)=0,"",INDEX(ERP导入清单!A:A,IFERROR(MATCH(58,ERP导入清单!$X$5:$X$204,0)+4,"")))</f>
        <v/>
      </c>
      <c r="B62" s="37" t="str">
        <f>IF(COUNTIF(ERP导入清单!$X$5:$X$204,58)=0,"",INDEX(ERP导入清单!B:B,IFERROR(MATCH(58,ERP导入清单!$X$5:$X$204,0)+4,"")))</f>
        <v/>
      </c>
      <c r="C62" s="38" t="str">
        <f>IF(COUNTIF(ERP导入清单!$X$5:$X$204,58)=0,"",INDEX(ERP导入清单!C:C,IFERROR(MATCH(58,ERP导入清单!$X$5:$X$204,0)+4,"")))</f>
        <v/>
      </c>
      <c r="D62" s="37" t="str">
        <f>IF(COUNTIF(ERP导入清单!$X$5:$X$204,58)=0,"",INDEX(ERP导入清单!D:D,IFERROR(MATCH(58,ERP导入清单!$X$5:$X$204,0)+4,"")))</f>
        <v/>
      </c>
      <c r="E62" s="37" t="str">
        <f>IF(COUNTIF(ERP导入清单!$X$5:$X$204,58)=0,"",INDEX(ERP导入清单!E:E,IFERROR(MATCH(58,ERP导入清单!$X$5:$X$204,0)+4,"")))</f>
        <v/>
      </c>
      <c r="F62" s="37" t="str">
        <f>IF(COUNTIF(ERP导入清单!$X$5:$X$204,58)=0,"",INDEX(ERP导入清单!F:F,IFERROR(MATCH(58,ERP导入清单!$X$5:$X$204,0)+4,"")))</f>
        <v/>
      </c>
      <c r="G62" s="57" t="str">
        <f>IF(COUNTIF(ERP导入清单!$X$5:$X$204,58)=0,"",INDEX(ERP导入清单!G:G,IFERROR(MATCH(58,ERP导入清单!$X$5:$X$204,0)+4,"")))</f>
        <v/>
      </c>
      <c r="H62" s="37" t="str">
        <f>IF(COUNTIF(ERP导入清单!$X$5:$X$204,58)=0,"",INDEX(ERP导入清单!H:H,IFERROR(MATCH(58,ERP导入清单!$X$5:$X$204,0)+4,"")))</f>
        <v/>
      </c>
      <c r="I62" s="57" t="str">
        <f>IF(COUNTIF(ERP导入清单!$X$5:$X$204,58)=0,"",INDEX(ERP导入清单!I:I,IFERROR(MATCH(58,ERP导入清单!$X$5:$X$204,0)+4,"")))</f>
        <v/>
      </c>
      <c r="J62" s="57" t="str">
        <f>IF(COUNTIF(ERP导入清单!$X$5:$X$204,58)=0,"",INDEX(ERP导入清单!J:J,IFERROR(MATCH(58,ERP导入清单!$X$5:$X$204,0)+4,"")))</f>
        <v/>
      </c>
      <c r="K62" s="37" t="str">
        <f>IF(COUNTIF(ERP导入清单!$X$5:$X$204,58)=0,"",INDEX(ERP导入清单!K:K,IFERROR(MATCH(58,ERP导入清单!$X$5:$X$204,0)+4,"")))</f>
        <v/>
      </c>
      <c r="L62" s="37" t="str">
        <f>IF(COUNTIF(ERP导入清单!$X$5:$X$204,58)=0,"",INDEX(ERP导入清单!L:L,IFERROR(MATCH(58,ERP导入清单!$X$5:$X$204,0)+4,"")))</f>
        <v/>
      </c>
      <c r="M62" s="37" t="str">
        <f>IF(COUNTIF(ERP导入清单!$X$5:$X$204,58)=0,"",INDEX(ERP导入清单!M:M,IFERROR(MATCH(58,ERP导入清单!$X$5:$X$204,0)+4,"")))</f>
        <v/>
      </c>
      <c r="N62" s="37" t="str">
        <f>IF(COUNTIF(ERP导入清单!$X$5:$X$204,58)=0,"",INDEX(ERP导入清单!N:N,IFERROR(MATCH(58,ERP导入清单!$X$5:$X$204,0)+4,"")))</f>
        <v/>
      </c>
      <c r="O62" s="37" t="str">
        <f>IF(COUNTIF(ERP导入清单!$X$5:$X$204,58)=0,"",INDEX(ERP导入清单!O:O,IFERROR(MATCH(58,ERP导入清单!$X$5:$X$204,0)+4,"")))</f>
        <v/>
      </c>
      <c r="P62" s="39" t="str">
        <f>IF(COUNTIF(ERP导入清单!$X$5:$X$204,58)=0,"",INDEX(ERP导入清单!P:P,IFERROR(MATCH(58,ERP导入清单!$X$5:$X$204,0)+4,"")))</f>
        <v/>
      </c>
      <c r="Q62" s="39" t="str">
        <f>IF(COUNTIF(ERP导入清单!$X$5:$X$204,58)=0,"",INDEX(ERP导入清单!Q:Q,IFERROR(MATCH(58,ERP导入清单!$X$5:$X$204,0)+4,"")))</f>
        <v/>
      </c>
      <c r="R62" s="59" t="str">
        <f>IF(COUNTIF(ERP导入清单!$X$5:$X$204,58)=0,"",INDEX(ERP导入清单!R:R,IFERROR(MATCH(58,ERP导入清单!$X$5:$X$204,0)+4,"")))</f>
        <v/>
      </c>
      <c r="S62" s="37" t="str">
        <f>IF(COUNTIF(ERP导入清单!$X$5:$X$204,58)=0,"",INDEX(ERP导入清单!S:S,IFERROR(MATCH(58,ERP导入清单!$X$5:$X$204,0)+4,"")))</f>
        <v/>
      </c>
      <c r="T62" s="37" t="str">
        <f>IF(COUNTIF(ERP导入清单!$X$5:$X$204,58)=0,"",INDEX(ERP导入清单!T:T,IFERROR(MATCH(58,ERP导入清单!$X$5:$X$204,0)+4,"")))</f>
        <v/>
      </c>
      <c r="U62" s="37" t="str">
        <f>IF(COUNTIF(ERP导入清单!$X$5:$X$204,58)=0,"",INDEX(ERP导入清单!U:U,IFERROR(MATCH(58,ERP导入清单!$X$5:$X$204,0)+4,"")))</f>
        <v/>
      </c>
      <c r="V62" s="38" t="str">
        <f>IF(COUNTIF(ERP导入清单!$X$5:$X$204,58)=0,"",INDEX(ERP导入清单!V:V,IFERROR(MATCH(58,ERP导入清单!$X$5:$X$204,0)+4,"")))</f>
        <v/>
      </c>
      <c r="W62" s="50" t="str">
        <f>IF(COUNTIF(ERP导入清单!$X$5:$X$204,58)=0,"",INDEX(ERP导入清单!W:W,IFERROR(MATCH(58,ERP导入清单!$X$5:$X$204,0)+4,"")))</f>
        <v/>
      </c>
    </row>
    <row r="63" spans="1:23" ht="24" customHeight="1">
      <c r="A63" s="55" t="str">
        <f>IF(COUNTIF(ERP导入清单!$X$5:$X$204,59)=0,"",INDEX(ERP导入清单!A:A,IFERROR(MATCH(59,ERP导入清单!$X$5:$X$204,0)+4,"")))</f>
        <v/>
      </c>
      <c r="B63" s="37" t="str">
        <f>IF(COUNTIF(ERP导入清单!$X$5:$X$204,59)=0,"",INDEX(ERP导入清单!B:B,IFERROR(MATCH(59,ERP导入清单!$X$5:$X$204,0)+4,"")))</f>
        <v/>
      </c>
      <c r="C63" s="38" t="str">
        <f>IF(COUNTIF(ERP导入清单!$X$5:$X$204,59)=0,"",INDEX(ERP导入清单!C:C,IFERROR(MATCH(59,ERP导入清单!$X$5:$X$204,0)+4,"")))</f>
        <v/>
      </c>
      <c r="D63" s="37" t="str">
        <f>IF(COUNTIF(ERP导入清单!$X$5:$X$204,59)=0,"",INDEX(ERP导入清单!D:D,IFERROR(MATCH(59,ERP导入清单!$X$5:$X$204,0)+4,"")))</f>
        <v/>
      </c>
      <c r="E63" s="37" t="str">
        <f>IF(COUNTIF(ERP导入清单!$X$5:$X$204,59)=0,"",INDEX(ERP导入清单!E:E,IFERROR(MATCH(59,ERP导入清单!$X$5:$X$204,0)+4,"")))</f>
        <v/>
      </c>
      <c r="F63" s="37" t="str">
        <f>IF(COUNTIF(ERP导入清单!$X$5:$X$204,59)=0,"",INDEX(ERP导入清单!F:F,IFERROR(MATCH(59,ERP导入清单!$X$5:$X$204,0)+4,"")))</f>
        <v/>
      </c>
      <c r="G63" s="57" t="str">
        <f>IF(COUNTIF(ERP导入清单!$X$5:$X$204,59)=0,"",INDEX(ERP导入清单!G:G,IFERROR(MATCH(59,ERP导入清单!$X$5:$X$204,0)+4,"")))</f>
        <v/>
      </c>
      <c r="H63" s="37" t="str">
        <f>IF(COUNTIF(ERP导入清单!$X$5:$X$204,59)=0,"",INDEX(ERP导入清单!H:H,IFERROR(MATCH(59,ERP导入清单!$X$5:$X$204,0)+4,"")))</f>
        <v/>
      </c>
      <c r="I63" s="57" t="str">
        <f>IF(COUNTIF(ERP导入清单!$X$5:$X$204,59)=0,"",INDEX(ERP导入清单!I:I,IFERROR(MATCH(59,ERP导入清单!$X$5:$X$204,0)+4,"")))</f>
        <v/>
      </c>
      <c r="J63" s="57" t="str">
        <f>IF(COUNTIF(ERP导入清单!$X$5:$X$204,59)=0,"",INDEX(ERP导入清单!J:J,IFERROR(MATCH(59,ERP导入清单!$X$5:$X$204,0)+4,"")))</f>
        <v/>
      </c>
      <c r="K63" s="37" t="str">
        <f>IF(COUNTIF(ERP导入清单!$X$5:$X$204,59)=0,"",INDEX(ERP导入清单!K:K,IFERROR(MATCH(59,ERP导入清单!$X$5:$X$204,0)+4,"")))</f>
        <v/>
      </c>
      <c r="L63" s="37" t="str">
        <f>IF(COUNTIF(ERP导入清单!$X$5:$X$204,59)=0,"",INDEX(ERP导入清单!L:L,IFERROR(MATCH(59,ERP导入清单!$X$5:$X$204,0)+4,"")))</f>
        <v/>
      </c>
      <c r="M63" s="37" t="str">
        <f>IF(COUNTIF(ERP导入清单!$X$5:$X$204,59)=0,"",INDEX(ERP导入清单!M:M,IFERROR(MATCH(59,ERP导入清单!$X$5:$X$204,0)+4,"")))</f>
        <v/>
      </c>
      <c r="N63" s="37" t="str">
        <f>IF(COUNTIF(ERP导入清单!$X$5:$X$204,59)=0,"",INDEX(ERP导入清单!N:N,IFERROR(MATCH(59,ERP导入清单!$X$5:$X$204,0)+4,"")))</f>
        <v/>
      </c>
      <c r="O63" s="37" t="str">
        <f>IF(COUNTIF(ERP导入清单!$X$5:$X$204,59)=0,"",INDEX(ERP导入清单!O:O,IFERROR(MATCH(59,ERP导入清单!$X$5:$X$204,0)+4,"")))</f>
        <v/>
      </c>
      <c r="P63" s="39" t="str">
        <f>IF(COUNTIF(ERP导入清单!$X$5:$X$204,59)=0,"",INDEX(ERP导入清单!P:P,IFERROR(MATCH(59,ERP导入清单!$X$5:$X$204,0)+4,"")))</f>
        <v/>
      </c>
      <c r="Q63" s="39" t="str">
        <f>IF(COUNTIF(ERP导入清单!$X$5:$X$204,59)=0,"",INDEX(ERP导入清单!Q:Q,IFERROR(MATCH(59,ERP导入清单!$X$5:$X$204,0)+4,"")))</f>
        <v/>
      </c>
      <c r="R63" s="59" t="str">
        <f>IF(COUNTIF(ERP导入清单!$X$5:$X$204,59)=0,"",INDEX(ERP导入清单!R:R,IFERROR(MATCH(59,ERP导入清单!$X$5:$X$204,0)+4,"")))</f>
        <v/>
      </c>
      <c r="S63" s="37" t="str">
        <f>IF(COUNTIF(ERP导入清单!$X$5:$X$204,59)=0,"",INDEX(ERP导入清单!S:S,IFERROR(MATCH(59,ERP导入清单!$X$5:$X$204,0)+4,"")))</f>
        <v/>
      </c>
      <c r="T63" s="37" t="str">
        <f>IF(COUNTIF(ERP导入清单!$X$5:$X$204,59)=0,"",INDEX(ERP导入清单!T:T,IFERROR(MATCH(59,ERP导入清单!$X$5:$X$204,0)+4,"")))</f>
        <v/>
      </c>
      <c r="U63" s="37" t="str">
        <f>IF(COUNTIF(ERP导入清单!$X$5:$X$204,59)=0,"",INDEX(ERP导入清单!U:U,IFERROR(MATCH(59,ERP导入清单!$X$5:$X$204,0)+4,"")))</f>
        <v/>
      </c>
      <c r="V63" s="38" t="str">
        <f>IF(COUNTIF(ERP导入清单!$X$5:$X$204,59)=0,"",INDEX(ERP导入清单!V:V,IFERROR(MATCH(59,ERP导入清单!$X$5:$X$204,0)+4,"")))</f>
        <v/>
      </c>
      <c r="W63" s="50" t="str">
        <f>IF(COUNTIF(ERP导入清单!$X$5:$X$204,59)=0,"",INDEX(ERP导入清单!W:W,IFERROR(MATCH(59,ERP导入清单!$X$5:$X$204,0)+4,"")))</f>
        <v/>
      </c>
    </row>
    <row r="64" spans="1:23" ht="24" customHeight="1">
      <c r="A64" s="55" t="str">
        <f>IF(COUNTIF(ERP导入清单!$X$5:$X$204,60)=0,"",INDEX(ERP导入清单!A:A,IFERROR(MATCH(60,ERP导入清单!$X$5:$X$204,0)+4,"")))</f>
        <v/>
      </c>
      <c r="B64" s="37" t="str">
        <f>IF(COUNTIF(ERP导入清单!$X$5:$X$204,60)=0,"",INDEX(ERP导入清单!B:B,IFERROR(MATCH(60,ERP导入清单!$X$5:$X$204,0)+4,"")))</f>
        <v/>
      </c>
      <c r="C64" s="38" t="str">
        <f>IF(COUNTIF(ERP导入清单!$X$5:$X$204,60)=0,"",INDEX(ERP导入清单!C:C,IFERROR(MATCH(60,ERP导入清单!$X$5:$X$204,0)+4,"")))</f>
        <v/>
      </c>
      <c r="D64" s="37" t="str">
        <f>IF(COUNTIF(ERP导入清单!$X$5:$X$204,60)=0,"",INDEX(ERP导入清单!D:D,IFERROR(MATCH(60,ERP导入清单!$X$5:$X$204,0)+4,"")))</f>
        <v/>
      </c>
      <c r="E64" s="37" t="str">
        <f>IF(COUNTIF(ERP导入清单!$X$5:$X$204,60)=0,"",INDEX(ERP导入清单!E:E,IFERROR(MATCH(60,ERP导入清单!$X$5:$X$204,0)+4,"")))</f>
        <v/>
      </c>
      <c r="F64" s="37" t="str">
        <f>IF(COUNTIF(ERP导入清单!$X$5:$X$204,60)=0,"",INDEX(ERP导入清单!F:F,IFERROR(MATCH(60,ERP导入清单!$X$5:$X$204,0)+4,"")))</f>
        <v/>
      </c>
      <c r="G64" s="57" t="str">
        <f>IF(COUNTIF(ERP导入清单!$X$5:$X$204,60)=0,"",INDEX(ERP导入清单!G:G,IFERROR(MATCH(60,ERP导入清单!$X$5:$X$204,0)+4,"")))</f>
        <v/>
      </c>
      <c r="H64" s="37" t="str">
        <f>IF(COUNTIF(ERP导入清单!$X$5:$X$204,60)=0,"",INDEX(ERP导入清单!H:H,IFERROR(MATCH(60,ERP导入清单!$X$5:$X$204,0)+4,"")))</f>
        <v/>
      </c>
      <c r="I64" s="57" t="str">
        <f>IF(COUNTIF(ERP导入清单!$X$5:$X$204,60)=0,"",INDEX(ERP导入清单!I:I,IFERROR(MATCH(60,ERP导入清单!$X$5:$X$204,0)+4,"")))</f>
        <v/>
      </c>
      <c r="J64" s="57" t="str">
        <f>IF(COUNTIF(ERP导入清单!$X$5:$X$204,60)=0,"",INDEX(ERP导入清单!J:J,IFERROR(MATCH(60,ERP导入清单!$X$5:$X$204,0)+4,"")))</f>
        <v/>
      </c>
      <c r="K64" s="37" t="str">
        <f>IF(COUNTIF(ERP导入清单!$X$5:$X$204,60)=0,"",INDEX(ERP导入清单!K:K,IFERROR(MATCH(60,ERP导入清单!$X$5:$X$204,0)+4,"")))</f>
        <v/>
      </c>
      <c r="L64" s="37" t="str">
        <f>IF(COUNTIF(ERP导入清单!$X$5:$X$204,60)=0,"",INDEX(ERP导入清单!L:L,IFERROR(MATCH(60,ERP导入清单!$X$5:$X$204,0)+4,"")))</f>
        <v/>
      </c>
      <c r="M64" s="37" t="str">
        <f>IF(COUNTIF(ERP导入清单!$X$5:$X$204,60)=0,"",INDEX(ERP导入清单!M:M,IFERROR(MATCH(60,ERP导入清单!$X$5:$X$204,0)+4,"")))</f>
        <v/>
      </c>
      <c r="N64" s="37" t="str">
        <f>IF(COUNTIF(ERP导入清单!$X$5:$X$204,60)=0,"",INDEX(ERP导入清单!N:N,IFERROR(MATCH(60,ERP导入清单!$X$5:$X$204,0)+4,"")))</f>
        <v/>
      </c>
      <c r="O64" s="37" t="str">
        <f>IF(COUNTIF(ERP导入清单!$X$5:$X$204,60)=0,"",INDEX(ERP导入清单!O:O,IFERROR(MATCH(60,ERP导入清单!$X$5:$X$204,0)+4,"")))</f>
        <v/>
      </c>
      <c r="P64" s="39" t="str">
        <f>IF(COUNTIF(ERP导入清单!$X$5:$X$204,60)=0,"",INDEX(ERP导入清单!P:P,IFERROR(MATCH(60,ERP导入清单!$X$5:$X$204,0)+4,"")))</f>
        <v/>
      </c>
      <c r="Q64" s="39" t="str">
        <f>IF(COUNTIF(ERP导入清单!$X$5:$X$204,60)=0,"",INDEX(ERP导入清单!Q:Q,IFERROR(MATCH(60,ERP导入清单!$X$5:$X$204,0)+4,"")))</f>
        <v/>
      </c>
      <c r="R64" s="59" t="str">
        <f>IF(COUNTIF(ERP导入清单!$X$5:$X$204,60)=0,"",INDEX(ERP导入清单!R:R,IFERROR(MATCH(60,ERP导入清单!$X$5:$X$204,0)+4,"")))</f>
        <v/>
      </c>
      <c r="S64" s="37" t="str">
        <f>IF(COUNTIF(ERP导入清单!$X$5:$X$204,60)=0,"",INDEX(ERP导入清单!S:S,IFERROR(MATCH(60,ERP导入清单!$X$5:$X$204,0)+4,"")))</f>
        <v/>
      </c>
      <c r="T64" s="37" t="str">
        <f>IF(COUNTIF(ERP导入清单!$X$5:$X$204,60)=0,"",INDEX(ERP导入清单!T:T,IFERROR(MATCH(60,ERP导入清单!$X$5:$X$204,0)+4,"")))</f>
        <v/>
      </c>
      <c r="U64" s="37" t="str">
        <f>IF(COUNTIF(ERP导入清单!$X$5:$X$204,60)=0,"",INDEX(ERP导入清单!U:U,IFERROR(MATCH(60,ERP导入清单!$X$5:$X$204,0)+4,"")))</f>
        <v/>
      </c>
      <c r="V64" s="38" t="str">
        <f>IF(COUNTIF(ERP导入清单!$X$5:$X$204,60)=0,"",INDEX(ERP导入清单!V:V,IFERROR(MATCH(60,ERP导入清单!$X$5:$X$204,0)+4,"")))</f>
        <v/>
      </c>
      <c r="W64" s="50" t="str">
        <f>IF(COUNTIF(ERP导入清单!$X$5:$X$204,60)=0,"",INDEX(ERP导入清单!W:W,IFERROR(MATCH(60,ERP导入清单!$X$5:$X$204,0)+4,"")))</f>
        <v/>
      </c>
    </row>
    <row r="65" spans="1:23" ht="24" customHeight="1">
      <c r="A65" s="55" t="str">
        <f>IF(COUNTIF(ERP导入清单!$X$5:$X$204,61)=0,"",INDEX(ERP导入清单!A:A,IFERROR(MATCH(61,ERP导入清单!$X$5:$X$204,0)+4,"")))</f>
        <v/>
      </c>
      <c r="B65" s="37" t="str">
        <f>IF(COUNTIF(ERP导入清单!$X$5:$X$204,61)=0,"",INDEX(ERP导入清单!B:B,IFERROR(MATCH(61,ERP导入清单!$X$5:$X$204,0)+4,"")))</f>
        <v/>
      </c>
      <c r="C65" s="38" t="str">
        <f>IF(COUNTIF(ERP导入清单!$X$5:$X$204,61)=0,"",INDEX(ERP导入清单!C:C,IFERROR(MATCH(61,ERP导入清单!$X$5:$X$204,0)+4,"")))</f>
        <v/>
      </c>
      <c r="D65" s="37" t="str">
        <f>IF(COUNTIF(ERP导入清单!$X$5:$X$204,61)=0,"",INDEX(ERP导入清单!D:D,IFERROR(MATCH(61,ERP导入清单!$X$5:$X$204,0)+4,"")))</f>
        <v/>
      </c>
      <c r="E65" s="37" t="str">
        <f>IF(COUNTIF(ERP导入清单!$X$5:$X$204,61)=0,"",INDEX(ERP导入清单!E:E,IFERROR(MATCH(61,ERP导入清单!$X$5:$X$204,0)+4,"")))</f>
        <v/>
      </c>
      <c r="F65" s="37" t="str">
        <f>IF(COUNTIF(ERP导入清单!$X$5:$X$204,61)=0,"",INDEX(ERP导入清单!F:F,IFERROR(MATCH(61,ERP导入清单!$X$5:$X$204,0)+4,"")))</f>
        <v/>
      </c>
      <c r="G65" s="57" t="str">
        <f>IF(COUNTIF(ERP导入清单!$X$5:$X$204,61)=0,"",INDEX(ERP导入清单!G:G,IFERROR(MATCH(61,ERP导入清单!$X$5:$X$204,0)+4,"")))</f>
        <v/>
      </c>
      <c r="H65" s="37" t="str">
        <f>IF(COUNTIF(ERP导入清单!$X$5:$X$204,61)=0,"",INDEX(ERP导入清单!H:H,IFERROR(MATCH(61,ERP导入清单!$X$5:$X$204,0)+4,"")))</f>
        <v/>
      </c>
      <c r="I65" s="57" t="str">
        <f>IF(COUNTIF(ERP导入清单!$X$5:$X$204,61)=0,"",INDEX(ERP导入清单!I:I,IFERROR(MATCH(61,ERP导入清单!$X$5:$X$204,0)+4,"")))</f>
        <v/>
      </c>
      <c r="J65" s="57" t="str">
        <f>IF(COUNTIF(ERP导入清单!$X$5:$X$204,61)=0,"",INDEX(ERP导入清单!J:J,IFERROR(MATCH(61,ERP导入清单!$X$5:$X$204,0)+4,"")))</f>
        <v/>
      </c>
      <c r="K65" s="37" t="str">
        <f>IF(COUNTIF(ERP导入清单!$X$5:$X$204,61)=0,"",INDEX(ERP导入清单!K:K,IFERROR(MATCH(61,ERP导入清单!$X$5:$X$204,0)+4,"")))</f>
        <v/>
      </c>
      <c r="L65" s="37" t="str">
        <f>IF(COUNTIF(ERP导入清单!$X$5:$X$204,61)=0,"",INDEX(ERP导入清单!L:L,IFERROR(MATCH(61,ERP导入清单!$X$5:$X$204,0)+4,"")))</f>
        <v/>
      </c>
      <c r="M65" s="37" t="str">
        <f>IF(COUNTIF(ERP导入清单!$X$5:$X$204,61)=0,"",INDEX(ERP导入清单!M:M,IFERROR(MATCH(61,ERP导入清单!$X$5:$X$204,0)+4,"")))</f>
        <v/>
      </c>
      <c r="N65" s="37" t="str">
        <f>IF(COUNTIF(ERP导入清单!$X$5:$X$204,61)=0,"",INDEX(ERP导入清单!N:N,IFERROR(MATCH(61,ERP导入清单!$X$5:$X$204,0)+4,"")))</f>
        <v/>
      </c>
      <c r="O65" s="37" t="str">
        <f>IF(COUNTIF(ERP导入清单!$X$5:$X$204,61)=0,"",INDEX(ERP导入清单!O:O,IFERROR(MATCH(61,ERP导入清单!$X$5:$X$204,0)+4,"")))</f>
        <v/>
      </c>
      <c r="P65" s="39" t="str">
        <f>IF(COUNTIF(ERP导入清单!$X$5:$X$204,61)=0,"",INDEX(ERP导入清单!P:P,IFERROR(MATCH(61,ERP导入清单!$X$5:$X$204,0)+4,"")))</f>
        <v/>
      </c>
      <c r="Q65" s="39" t="str">
        <f>IF(COUNTIF(ERP导入清单!$X$5:$X$204,61)=0,"",INDEX(ERP导入清单!Q:Q,IFERROR(MATCH(61,ERP导入清单!$X$5:$X$204,0)+4,"")))</f>
        <v/>
      </c>
      <c r="R65" s="59" t="str">
        <f>IF(COUNTIF(ERP导入清单!$X$5:$X$204,61)=0,"",INDEX(ERP导入清单!R:R,IFERROR(MATCH(61,ERP导入清单!$X$5:$X$204,0)+4,"")))</f>
        <v/>
      </c>
      <c r="S65" s="37" t="str">
        <f>IF(COUNTIF(ERP导入清单!$X$5:$X$204,61)=0,"",INDEX(ERP导入清单!S:S,IFERROR(MATCH(61,ERP导入清单!$X$5:$X$204,0)+4,"")))</f>
        <v/>
      </c>
      <c r="T65" s="37" t="str">
        <f>IF(COUNTIF(ERP导入清单!$X$5:$X$204,61)=0,"",INDEX(ERP导入清单!T:T,IFERROR(MATCH(61,ERP导入清单!$X$5:$X$204,0)+4,"")))</f>
        <v/>
      </c>
      <c r="U65" s="37" t="str">
        <f>IF(COUNTIF(ERP导入清单!$X$5:$X$204,61)=0,"",INDEX(ERP导入清单!U:U,IFERROR(MATCH(61,ERP导入清单!$X$5:$X$204,0)+4,"")))</f>
        <v/>
      </c>
      <c r="V65" s="38" t="str">
        <f>IF(COUNTIF(ERP导入清单!$X$5:$X$204,61)=0,"",INDEX(ERP导入清单!V:V,IFERROR(MATCH(61,ERP导入清单!$X$5:$X$204,0)+4,"")))</f>
        <v/>
      </c>
      <c r="W65" s="50" t="str">
        <f>IF(COUNTIF(ERP导入清单!$X$5:$X$204,61)=0,"",INDEX(ERP导入清单!W:W,IFERROR(MATCH(61,ERP导入清单!$X$5:$X$204,0)+4,"")))</f>
        <v/>
      </c>
    </row>
    <row r="66" spans="1:23" ht="24" customHeight="1">
      <c r="A66" s="55" t="str">
        <f>IF(COUNTIF(ERP导入清单!$X$5:$X$204,62)=0,"",INDEX(ERP导入清单!A:A,IFERROR(MATCH(62,ERP导入清单!$X$5:$X$204,0)+4,"")))</f>
        <v/>
      </c>
      <c r="B66" s="37" t="str">
        <f>IF(COUNTIF(ERP导入清单!$X$5:$X$204,62)=0,"",INDEX(ERP导入清单!B:B,IFERROR(MATCH(62,ERP导入清单!$X$5:$X$204,0)+4,"")))</f>
        <v/>
      </c>
      <c r="C66" s="38" t="str">
        <f>IF(COUNTIF(ERP导入清单!$X$5:$X$204,62)=0,"",INDEX(ERP导入清单!C:C,IFERROR(MATCH(62,ERP导入清单!$X$5:$X$204,0)+4,"")))</f>
        <v/>
      </c>
      <c r="D66" s="37" t="str">
        <f>IF(COUNTIF(ERP导入清单!$X$5:$X$204,62)=0,"",INDEX(ERP导入清单!D:D,IFERROR(MATCH(62,ERP导入清单!$X$5:$X$204,0)+4,"")))</f>
        <v/>
      </c>
      <c r="E66" s="37" t="str">
        <f>IF(COUNTIF(ERP导入清单!$X$5:$X$204,62)=0,"",INDEX(ERP导入清单!E:E,IFERROR(MATCH(62,ERP导入清单!$X$5:$X$204,0)+4,"")))</f>
        <v/>
      </c>
      <c r="F66" s="37" t="str">
        <f>IF(COUNTIF(ERP导入清单!$X$5:$X$204,62)=0,"",INDEX(ERP导入清单!F:F,IFERROR(MATCH(62,ERP导入清单!$X$5:$X$204,0)+4,"")))</f>
        <v/>
      </c>
      <c r="G66" s="57" t="str">
        <f>IF(COUNTIF(ERP导入清单!$X$5:$X$204,62)=0,"",INDEX(ERP导入清单!G:G,IFERROR(MATCH(62,ERP导入清单!$X$5:$X$204,0)+4,"")))</f>
        <v/>
      </c>
      <c r="H66" s="37" t="str">
        <f>IF(COUNTIF(ERP导入清单!$X$5:$X$204,62)=0,"",INDEX(ERP导入清单!H:H,IFERROR(MATCH(62,ERP导入清单!$X$5:$X$204,0)+4,"")))</f>
        <v/>
      </c>
      <c r="I66" s="57" t="str">
        <f>IF(COUNTIF(ERP导入清单!$X$5:$X$204,62)=0,"",INDEX(ERP导入清单!I:I,IFERROR(MATCH(62,ERP导入清单!$X$5:$X$204,0)+4,"")))</f>
        <v/>
      </c>
      <c r="J66" s="57" t="str">
        <f>IF(COUNTIF(ERP导入清单!$X$5:$X$204,62)=0,"",INDEX(ERP导入清单!J:J,IFERROR(MATCH(62,ERP导入清单!$X$5:$X$204,0)+4,"")))</f>
        <v/>
      </c>
      <c r="K66" s="37" t="str">
        <f>IF(COUNTIF(ERP导入清单!$X$5:$X$204,62)=0,"",INDEX(ERP导入清单!K:K,IFERROR(MATCH(62,ERP导入清单!$X$5:$X$204,0)+4,"")))</f>
        <v/>
      </c>
      <c r="L66" s="37" t="str">
        <f>IF(COUNTIF(ERP导入清单!$X$5:$X$204,62)=0,"",INDEX(ERP导入清单!L:L,IFERROR(MATCH(62,ERP导入清单!$X$5:$X$204,0)+4,"")))</f>
        <v/>
      </c>
      <c r="M66" s="37" t="str">
        <f>IF(COUNTIF(ERP导入清单!$X$5:$X$204,62)=0,"",INDEX(ERP导入清单!M:M,IFERROR(MATCH(62,ERP导入清单!$X$5:$X$204,0)+4,"")))</f>
        <v/>
      </c>
      <c r="N66" s="37" t="str">
        <f>IF(COUNTIF(ERP导入清单!$X$5:$X$204,62)=0,"",INDEX(ERP导入清单!N:N,IFERROR(MATCH(62,ERP导入清单!$X$5:$X$204,0)+4,"")))</f>
        <v/>
      </c>
      <c r="O66" s="37" t="str">
        <f>IF(COUNTIF(ERP导入清单!$X$5:$X$204,62)=0,"",INDEX(ERP导入清单!O:O,IFERROR(MATCH(62,ERP导入清单!$X$5:$X$204,0)+4,"")))</f>
        <v/>
      </c>
      <c r="P66" s="39" t="str">
        <f>IF(COUNTIF(ERP导入清单!$X$5:$X$204,62)=0,"",INDEX(ERP导入清单!P:P,IFERROR(MATCH(62,ERP导入清单!$X$5:$X$204,0)+4,"")))</f>
        <v/>
      </c>
      <c r="Q66" s="39" t="str">
        <f>IF(COUNTIF(ERP导入清单!$X$5:$X$204,62)=0,"",INDEX(ERP导入清单!Q:Q,IFERROR(MATCH(62,ERP导入清单!$X$5:$X$204,0)+4,"")))</f>
        <v/>
      </c>
      <c r="R66" s="59" t="str">
        <f>IF(COUNTIF(ERP导入清单!$X$5:$X$204,62)=0,"",INDEX(ERP导入清单!R:R,IFERROR(MATCH(62,ERP导入清单!$X$5:$X$204,0)+4,"")))</f>
        <v/>
      </c>
      <c r="S66" s="37" t="str">
        <f>IF(COUNTIF(ERP导入清单!$X$5:$X$204,62)=0,"",INDEX(ERP导入清单!S:S,IFERROR(MATCH(62,ERP导入清单!$X$5:$X$204,0)+4,"")))</f>
        <v/>
      </c>
      <c r="T66" s="37" t="str">
        <f>IF(COUNTIF(ERP导入清单!$X$5:$X$204,62)=0,"",INDEX(ERP导入清单!T:T,IFERROR(MATCH(62,ERP导入清单!$X$5:$X$204,0)+4,"")))</f>
        <v/>
      </c>
      <c r="U66" s="37" t="str">
        <f>IF(COUNTIF(ERP导入清单!$X$5:$X$204,62)=0,"",INDEX(ERP导入清单!U:U,IFERROR(MATCH(62,ERP导入清单!$X$5:$X$204,0)+4,"")))</f>
        <v/>
      </c>
      <c r="V66" s="38" t="str">
        <f>IF(COUNTIF(ERP导入清单!$X$5:$X$204,62)=0,"",INDEX(ERP导入清单!V:V,IFERROR(MATCH(62,ERP导入清单!$X$5:$X$204,0)+4,"")))</f>
        <v/>
      </c>
      <c r="W66" s="50" t="str">
        <f>IF(COUNTIF(ERP导入清单!$X$5:$X$204,62)=0,"",INDEX(ERP导入清单!W:W,IFERROR(MATCH(62,ERP导入清单!$X$5:$X$204,0)+4,"")))</f>
        <v/>
      </c>
    </row>
    <row r="67" spans="1:23" ht="24" customHeight="1">
      <c r="A67" s="55" t="str">
        <f>IF(COUNTIF(ERP导入清单!$X$5:$X$204,63)=0,"",INDEX(ERP导入清单!A:A,IFERROR(MATCH(63,ERP导入清单!$X$5:$X$204,0)+4,"")))</f>
        <v/>
      </c>
      <c r="B67" s="37" t="str">
        <f>IF(COUNTIF(ERP导入清单!$X$5:$X$204,63)=0,"",INDEX(ERP导入清单!B:B,IFERROR(MATCH(63,ERP导入清单!$X$5:$X$204,0)+4,"")))</f>
        <v/>
      </c>
      <c r="C67" s="38" t="str">
        <f>IF(COUNTIF(ERP导入清单!$X$5:$X$204,63)=0,"",INDEX(ERP导入清单!C:C,IFERROR(MATCH(63,ERP导入清单!$X$5:$X$204,0)+4,"")))</f>
        <v/>
      </c>
      <c r="D67" s="37" t="str">
        <f>IF(COUNTIF(ERP导入清单!$X$5:$X$204,63)=0,"",INDEX(ERP导入清单!D:D,IFERROR(MATCH(63,ERP导入清单!$X$5:$X$204,0)+4,"")))</f>
        <v/>
      </c>
      <c r="E67" s="37" t="str">
        <f>IF(COUNTIF(ERP导入清单!$X$5:$X$204,63)=0,"",INDEX(ERP导入清单!E:E,IFERROR(MATCH(63,ERP导入清单!$X$5:$X$204,0)+4,"")))</f>
        <v/>
      </c>
      <c r="F67" s="37" t="str">
        <f>IF(COUNTIF(ERP导入清单!$X$5:$X$204,63)=0,"",INDEX(ERP导入清单!F:F,IFERROR(MATCH(63,ERP导入清单!$X$5:$X$204,0)+4,"")))</f>
        <v/>
      </c>
      <c r="G67" s="57" t="str">
        <f>IF(COUNTIF(ERP导入清单!$X$5:$X$204,63)=0,"",INDEX(ERP导入清单!G:G,IFERROR(MATCH(63,ERP导入清单!$X$5:$X$204,0)+4,"")))</f>
        <v/>
      </c>
      <c r="H67" s="37" t="str">
        <f>IF(COUNTIF(ERP导入清单!$X$5:$X$204,63)=0,"",INDEX(ERP导入清单!H:H,IFERROR(MATCH(63,ERP导入清单!$X$5:$X$204,0)+4,"")))</f>
        <v/>
      </c>
      <c r="I67" s="57" t="str">
        <f>IF(COUNTIF(ERP导入清单!$X$5:$X$204,63)=0,"",INDEX(ERP导入清单!I:I,IFERROR(MATCH(63,ERP导入清单!$X$5:$X$204,0)+4,"")))</f>
        <v/>
      </c>
      <c r="J67" s="57" t="str">
        <f>IF(COUNTIF(ERP导入清单!$X$5:$X$204,63)=0,"",INDEX(ERP导入清单!J:J,IFERROR(MATCH(63,ERP导入清单!$X$5:$X$204,0)+4,"")))</f>
        <v/>
      </c>
      <c r="K67" s="37" t="str">
        <f>IF(COUNTIF(ERP导入清单!$X$5:$X$204,63)=0,"",INDEX(ERP导入清单!K:K,IFERROR(MATCH(63,ERP导入清单!$X$5:$X$204,0)+4,"")))</f>
        <v/>
      </c>
      <c r="L67" s="37" t="str">
        <f>IF(COUNTIF(ERP导入清单!$X$5:$X$204,63)=0,"",INDEX(ERP导入清单!L:L,IFERROR(MATCH(63,ERP导入清单!$X$5:$X$204,0)+4,"")))</f>
        <v/>
      </c>
      <c r="M67" s="37" t="str">
        <f>IF(COUNTIF(ERP导入清单!$X$5:$X$204,63)=0,"",INDEX(ERP导入清单!M:M,IFERROR(MATCH(63,ERP导入清单!$X$5:$X$204,0)+4,"")))</f>
        <v/>
      </c>
      <c r="N67" s="37" t="str">
        <f>IF(COUNTIF(ERP导入清单!$X$5:$X$204,63)=0,"",INDEX(ERP导入清单!N:N,IFERROR(MATCH(63,ERP导入清单!$X$5:$X$204,0)+4,"")))</f>
        <v/>
      </c>
      <c r="O67" s="37" t="str">
        <f>IF(COUNTIF(ERP导入清单!$X$5:$X$204,63)=0,"",INDEX(ERP导入清单!O:O,IFERROR(MATCH(63,ERP导入清单!$X$5:$X$204,0)+4,"")))</f>
        <v/>
      </c>
      <c r="P67" s="39" t="str">
        <f>IF(COUNTIF(ERP导入清单!$X$5:$X$204,63)=0,"",INDEX(ERP导入清单!P:P,IFERROR(MATCH(63,ERP导入清单!$X$5:$X$204,0)+4,"")))</f>
        <v/>
      </c>
      <c r="Q67" s="39" t="str">
        <f>IF(COUNTIF(ERP导入清单!$X$5:$X$204,63)=0,"",INDEX(ERP导入清单!Q:Q,IFERROR(MATCH(63,ERP导入清单!$X$5:$X$204,0)+4,"")))</f>
        <v/>
      </c>
      <c r="R67" s="59" t="str">
        <f>IF(COUNTIF(ERP导入清单!$X$5:$X$204,63)=0,"",INDEX(ERP导入清单!R:R,IFERROR(MATCH(63,ERP导入清单!$X$5:$X$204,0)+4,"")))</f>
        <v/>
      </c>
      <c r="S67" s="37" t="str">
        <f>IF(COUNTIF(ERP导入清单!$X$5:$X$204,63)=0,"",INDEX(ERP导入清单!S:S,IFERROR(MATCH(63,ERP导入清单!$X$5:$X$204,0)+4,"")))</f>
        <v/>
      </c>
      <c r="T67" s="37" t="str">
        <f>IF(COUNTIF(ERP导入清单!$X$5:$X$204,63)=0,"",INDEX(ERP导入清单!T:T,IFERROR(MATCH(63,ERP导入清单!$X$5:$X$204,0)+4,"")))</f>
        <v/>
      </c>
      <c r="U67" s="37" t="str">
        <f>IF(COUNTIF(ERP导入清单!$X$5:$X$204,63)=0,"",INDEX(ERP导入清单!U:U,IFERROR(MATCH(63,ERP导入清单!$X$5:$X$204,0)+4,"")))</f>
        <v/>
      </c>
      <c r="V67" s="38" t="str">
        <f>IF(COUNTIF(ERP导入清单!$X$5:$X$204,63)=0,"",INDEX(ERP导入清单!V:V,IFERROR(MATCH(63,ERP导入清单!$X$5:$X$204,0)+4,"")))</f>
        <v/>
      </c>
      <c r="W67" s="50" t="str">
        <f>IF(COUNTIF(ERP导入清单!$X$5:$X$204,63)=0,"",INDEX(ERP导入清单!W:W,IFERROR(MATCH(63,ERP导入清单!$X$5:$X$204,0)+4,"")))</f>
        <v/>
      </c>
    </row>
    <row r="68" spans="1:23" ht="24" customHeight="1">
      <c r="A68" s="55" t="str">
        <f>IF(COUNTIF(ERP导入清单!$X$5:$X$204,64)=0,"",INDEX(ERP导入清单!A:A,IFERROR(MATCH(64,ERP导入清单!$X$5:$X$204,0)+4,"")))</f>
        <v/>
      </c>
      <c r="B68" s="37" t="str">
        <f>IF(COUNTIF(ERP导入清单!$X$5:$X$204,64)=0,"",INDEX(ERP导入清单!B:B,IFERROR(MATCH(64,ERP导入清单!$X$5:$X$204,0)+4,"")))</f>
        <v/>
      </c>
      <c r="C68" s="38" t="str">
        <f>IF(COUNTIF(ERP导入清单!$X$5:$X$204,64)=0,"",INDEX(ERP导入清单!C:C,IFERROR(MATCH(64,ERP导入清单!$X$5:$X$204,0)+4,"")))</f>
        <v/>
      </c>
      <c r="D68" s="37" t="str">
        <f>IF(COUNTIF(ERP导入清单!$X$5:$X$204,64)=0,"",INDEX(ERP导入清单!D:D,IFERROR(MATCH(64,ERP导入清单!$X$5:$X$204,0)+4,"")))</f>
        <v/>
      </c>
      <c r="E68" s="37" t="str">
        <f>IF(COUNTIF(ERP导入清单!$X$5:$X$204,64)=0,"",INDEX(ERP导入清单!E:E,IFERROR(MATCH(64,ERP导入清单!$X$5:$X$204,0)+4,"")))</f>
        <v/>
      </c>
      <c r="F68" s="37" t="str">
        <f>IF(COUNTIF(ERP导入清单!$X$5:$X$204,64)=0,"",INDEX(ERP导入清单!F:F,IFERROR(MATCH(64,ERP导入清单!$X$5:$X$204,0)+4,"")))</f>
        <v/>
      </c>
      <c r="G68" s="57" t="str">
        <f>IF(COUNTIF(ERP导入清单!$X$5:$X$204,64)=0,"",INDEX(ERP导入清单!G:G,IFERROR(MATCH(64,ERP导入清单!$X$5:$X$204,0)+4,"")))</f>
        <v/>
      </c>
      <c r="H68" s="37" t="str">
        <f>IF(COUNTIF(ERP导入清单!$X$5:$X$204,64)=0,"",INDEX(ERP导入清单!H:H,IFERROR(MATCH(64,ERP导入清单!$X$5:$X$204,0)+4,"")))</f>
        <v/>
      </c>
      <c r="I68" s="57" t="str">
        <f>IF(COUNTIF(ERP导入清单!$X$5:$X$204,64)=0,"",INDEX(ERP导入清单!I:I,IFERROR(MATCH(64,ERP导入清单!$X$5:$X$204,0)+4,"")))</f>
        <v/>
      </c>
      <c r="J68" s="57" t="str">
        <f>IF(COUNTIF(ERP导入清单!$X$5:$X$204,64)=0,"",INDEX(ERP导入清单!J:J,IFERROR(MATCH(64,ERP导入清单!$X$5:$X$204,0)+4,"")))</f>
        <v/>
      </c>
      <c r="K68" s="37" t="str">
        <f>IF(COUNTIF(ERP导入清单!$X$5:$X$204,64)=0,"",INDEX(ERP导入清单!K:K,IFERROR(MATCH(64,ERP导入清单!$X$5:$X$204,0)+4,"")))</f>
        <v/>
      </c>
      <c r="L68" s="37" t="str">
        <f>IF(COUNTIF(ERP导入清单!$X$5:$X$204,64)=0,"",INDEX(ERP导入清单!L:L,IFERROR(MATCH(64,ERP导入清单!$X$5:$X$204,0)+4,"")))</f>
        <v/>
      </c>
      <c r="M68" s="37" t="str">
        <f>IF(COUNTIF(ERP导入清单!$X$5:$X$204,64)=0,"",INDEX(ERP导入清单!M:M,IFERROR(MATCH(64,ERP导入清单!$X$5:$X$204,0)+4,"")))</f>
        <v/>
      </c>
      <c r="N68" s="37" t="str">
        <f>IF(COUNTIF(ERP导入清单!$X$5:$X$204,64)=0,"",INDEX(ERP导入清单!N:N,IFERROR(MATCH(64,ERP导入清单!$X$5:$X$204,0)+4,"")))</f>
        <v/>
      </c>
      <c r="O68" s="37" t="str">
        <f>IF(COUNTIF(ERP导入清单!$X$5:$X$204,64)=0,"",INDEX(ERP导入清单!O:O,IFERROR(MATCH(64,ERP导入清单!$X$5:$X$204,0)+4,"")))</f>
        <v/>
      </c>
      <c r="P68" s="39" t="str">
        <f>IF(COUNTIF(ERP导入清单!$X$5:$X$204,64)=0,"",INDEX(ERP导入清单!P:P,IFERROR(MATCH(64,ERP导入清单!$X$5:$X$204,0)+4,"")))</f>
        <v/>
      </c>
      <c r="Q68" s="39" t="str">
        <f>IF(COUNTIF(ERP导入清单!$X$5:$X$204,64)=0,"",INDEX(ERP导入清单!Q:Q,IFERROR(MATCH(64,ERP导入清单!$X$5:$X$204,0)+4,"")))</f>
        <v/>
      </c>
      <c r="R68" s="59" t="str">
        <f>IF(COUNTIF(ERP导入清单!$X$5:$X$204,64)=0,"",INDEX(ERP导入清单!R:R,IFERROR(MATCH(64,ERP导入清单!$X$5:$X$204,0)+4,"")))</f>
        <v/>
      </c>
      <c r="S68" s="37" t="str">
        <f>IF(COUNTIF(ERP导入清单!$X$5:$X$204,64)=0,"",INDEX(ERP导入清单!S:S,IFERROR(MATCH(64,ERP导入清单!$X$5:$X$204,0)+4,"")))</f>
        <v/>
      </c>
      <c r="T68" s="37" t="str">
        <f>IF(COUNTIF(ERP导入清单!$X$5:$X$204,64)=0,"",INDEX(ERP导入清单!T:T,IFERROR(MATCH(64,ERP导入清单!$X$5:$X$204,0)+4,"")))</f>
        <v/>
      </c>
      <c r="U68" s="37" t="str">
        <f>IF(COUNTIF(ERP导入清单!$X$5:$X$204,64)=0,"",INDEX(ERP导入清单!U:U,IFERROR(MATCH(64,ERP导入清单!$X$5:$X$204,0)+4,"")))</f>
        <v/>
      </c>
      <c r="V68" s="38" t="str">
        <f>IF(COUNTIF(ERP导入清单!$X$5:$X$204,64)=0,"",INDEX(ERP导入清单!V:V,IFERROR(MATCH(64,ERP导入清单!$X$5:$X$204,0)+4,"")))</f>
        <v/>
      </c>
      <c r="W68" s="50" t="str">
        <f>IF(COUNTIF(ERP导入清单!$X$5:$X$204,64)=0,"",INDEX(ERP导入清单!W:W,IFERROR(MATCH(64,ERP导入清单!$X$5:$X$204,0)+4,"")))</f>
        <v/>
      </c>
    </row>
    <row r="69" spans="1:23" ht="24" customHeight="1">
      <c r="A69" s="55" t="str">
        <f>IF(COUNTIF(ERP导入清单!$X$5:$X$204,65)=0,"",INDEX(ERP导入清单!A:A,IFERROR(MATCH(65,ERP导入清单!$X$5:$X$204,0)+4,"")))</f>
        <v/>
      </c>
      <c r="B69" s="37" t="str">
        <f>IF(COUNTIF(ERP导入清单!$X$5:$X$204,65)=0,"",INDEX(ERP导入清单!B:B,IFERROR(MATCH(65,ERP导入清单!$X$5:$X$204,0)+4,"")))</f>
        <v/>
      </c>
      <c r="C69" s="38" t="str">
        <f>IF(COUNTIF(ERP导入清单!$X$5:$X$204,65)=0,"",INDEX(ERP导入清单!C:C,IFERROR(MATCH(65,ERP导入清单!$X$5:$X$204,0)+4,"")))</f>
        <v/>
      </c>
      <c r="D69" s="37" t="str">
        <f>IF(COUNTIF(ERP导入清单!$X$5:$X$204,65)=0,"",INDEX(ERP导入清单!D:D,IFERROR(MATCH(65,ERP导入清单!$X$5:$X$204,0)+4,"")))</f>
        <v/>
      </c>
      <c r="E69" s="37" t="str">
        <f>IF(COUNTIF(ERP导入清单!$X$5:$X$204,65)=0,"",INDEX(ERP导入清单!E:E,IFERROR(MATCH(65,ERP导入清单!$X$5:$X$204,0)+4,"")))</f>
        <v/>
      </c>
      <c r="F69" s="37" t="str">
        <f>IF(COUNTIF(ERP导入清单!$X$5:$X$204,65)=0,"",INDEX(ERP导入清单!F:F,IFERROR(MATCH(65,ERP导入清单!$X$5:$X$204,0)+4,"")))</f>
        <v/>
      </c>
      <c r="G69" s="57" t="str">
        <f>IF(COUNTIF(ERP导入清单!$X$5:$X$204,65)=0,"",INDEX(ERP导入清单!G:G,IFERROR(MATCH(65,ERP导入清单!$X$5:$X$204,0)+4,"")))</f>
        <v/>
      </c>
      <c r="H69" s="37" t="str">
        <f>IF(COUNTIF(ERP导入清单!$X$5:$X$204,65)=0,"",INDEX(ERP导入清单!H:H,IFERROR(MATCH(65,ERP导入清单!$X$5:$X$204,0)+4,"")))</f>
        <v/>
      </c>
      <c r="I69" s="57" t="str">
        <f>IF(COUNTIF(ERP导入清单!$X$5:$X$204,65)=0,"",INDEX(ERP导入清单!I:I,IFERROR(MATCH(65,ERP导入清单!$X$5:$X$204,0)+4,"")))</f>
        <v/>
      </c>
      <c r="J69" s="57" t="str">
        <f>IF(COUNTIF(ERP导入清单!$X$5:$X$204,65)=0,"",INDEX(ERP导入清单!J:J,IFERROR(MATCH(65,ERP导入清单!$X$5:$X$204,0)+4,"")))</f>
        <v/>
      </c>
      <c r="K69" s="37" t="str">
        <f>IF(COUNTIF(ERP导入清单!$X$5:$X$204,65)=0,"",INDEX(ERP导入清单!K:K,IFERROR(MATCH(65,ERP导入清单!$X$5:$X$204,0)+4,"")))</f>
        <v/>
      </c>
      <c r="L69" s="37" t="str">
        <f>IF(COUNTIF(ERP导入清单!$X$5:$X$204,65)=0,"",INDEX(ERP导入清单!L:L,IFERROR(MATCH(65,ERP导入清单!$X$5:$X$204,0)+4,"")))</f>
        <v/>
      </c>
      <c r="M69" s="37" t="str">
        <f>IF(COUNTIF(ERP导入清单!$X$5:$X$204,65)=0,"",INDEX(ERP导入清单!M:M,IFERROR(MATCH(65,ERP导入清单!$X$5:$X$204,0)+4,"")))</f>
        <v/>
      </c>
      <c r="N69" s="37" t="str">
        <f>IF(COUNTIF(ERP导入清单!$X$5:$X$204,65)=0,"",INDEX(ERP导入清单!N:N,IFERROR(MATCH(65,ERP导入清单!$X$5:$X$204,0)+4,"")))</f>
        <v/>
      </c>
      <c r="O69" s="37" t="str">
        <f>IF(COUNTIF(ERP导入清单!$X$5:$X$204,65)=0,"",INDEX(ERP导入清单!O:O,IFERROR(MATCH(65,ERP导入清单!$X$5:$X$204,0)+4,"")))</f>
        <v/>
      </c>
      <c r="P69" s="39" t="str">
        <f>IF(COUNTIF(ERP导入清单!$X$5:$X$204,65)=0,"",INDEX(ERP导入清单!P:P,IFERROR(MATCH(65,ERP导入清单!$X$5:$X$204,0)+4,"")))</f>
        <v/>
      </c>
      <c r="Q69" s="39" t="str">
        <f>IF(COUNTIF(ERP导入清单!$X$5:$X$204,65)=0,"",INDEX(ERP导入清单!Q:Q,IFERROR(MATCH(65,ERP导入清单!$X$5:$X$204,0)+4,"")))</f>
        <v/>
      </c>
      <c r="R69" s="59" t="str">
        <f>IF(COUNTIF(ERP导入清单!$X$5:$X$204,65)=0,"",INDEX(ERP导入清单!R:R,IFERROR(MATCH(65,ERP导入清单!$X$5:$X$204,0)+4,"")))</f>
        <v/>
      </c>
      <c r="S69" s="37" t="str">
        <f>IF(COUNTIF(ERP导入清单!$X$5:$X$204,65)=0,"",INDEX(ERP导入清单!S:S,IFERROR(MATCH(65,ERP导入清单!$X$5:$X$204,0)+4,"")))</f>
        <v/>
      </c>
      <c r="T69" s="37" t="str">
        <f>IF(COUNTIF(ERP导入清单!$X$5:$X$204,65)=0,"",INDEX(ERP导入清单!T:T,IFERROR(MATCH(65,ERP导入清单!$X$5:$X$204,0)+4,"")))</f>
        <v/>
      </c>
      <c r="U69" s="37" t="str">
        <f>IF(COUNTIF(ERP导入清单!$X$5:$X$204,65)=0,"",INDEX(ERP导入清单!U:U,IFERROR(MATCH(65,ERP导入清单!$X$5:$X$204,0)+4,"")))</f>
        <v/>
      </c>
      <c r="V69" s="38" t="str">
        <f>IF(COUNTIF(ERP导入清单!$X$5:$X$204,65)=0,"",INDEX(ERP导入清单!V:V,IFERROR(MATCH(65,ERP导入清单!$X$5:$X$204,0)+4,"")))</f>
        <v/>
      </c>
      <c r="W69" s="50" t="str">
        <f>IF(COUNTIF(ERP导入清单!$X$5:$X$204,65)=0,"",INDEX(ERP导入清单!W:W,IFERROR(MATCH(65,ERP导入清单!$X$5:$X$204,0)+4,"")))</f>
        <v/>
      </c>
    </row>
    <row r="70" spans="1:23" ht="24" customHeight="1">
      <c r="A70" s="55" t="str">
        <f>IF(COUNTIF(ERP导入清单!$X$5:$X$204,66)=0,"",INDEX(ERP导入清单!A:A,IFERROR(MATCH(66,ERP导入清单!$X$5:$X$204,0)+4,"")))</f>
        <v/>
      </c>
      <c r="B70" s="37" t="str">
        <f>IF(COUNTIF(ERP导入清单!$X$5:$X$204,66)=0,"",INDEX(ERP导入清单!B:B,IFERROR(MATCH(66,ERP导入清单!$X$5:$X$204,0)+4,"")))</f>
        <v/>
      </c>
      <c r="C70" s="38" t="str">
        <f>IF(COUNTIF(ERP导入清单!$X$5:$X$204,66)=0,"",INDEX(ERP导入清单!C:C,IFERROR(MATCH(66,ERP导入清单!$X$5:$X$204,0)+4,"")))</f>
        <v/>
      </c>
      <c r="D70" s="37" t="str">
        <f>IF(COUNTIF(ERP导入清单!$X$5:$X$204,66)=0,"",INDEX(ERP导入清单!D:D,IFERROR(MATCH(66,ERP导入清单!$X$5:$X$204,0)+4,"")))</f>
        <v/>
      </c>
      <c r="E70" s="37" t="str">
        <f>IF(COUNTIF(ERP导入清单!$X$5:$X$204,66)=0,"",INDEX(ERP导入清单!E:E,IFERROR(MATCH(66,ERP导入清单!$X$5:$X$204,0)+4,"")))</f>
        <v/>
      </c>
      <c r="F70" s="37" t="str">
        <f>IF(COUNTIF(ERP导入清单!$X$5:$X$204,66)=0,"",INDEX(ERP导入清单!F:F,IFERROR(MATCH(66,ERP导入清单!$X$5:$X$204,0)+4,"")))</f>
        <v/>
      </c>
      <c r="G70" s="57" t="str">
        <f>IF(COUNTIF(ERP导入清单!$X$5:$X$204,66)=0,"",INDEX(ERP导入清单!G:G,IFERROR(MATCH(66,ERP导入清单!$X$5:$X$204,0)+4,"")))</f>
        <v/>
      </c>
      <c r="H70" s="37" t="str">
        <f>IF(COUNTIF(ERP导入清单!$X$5:$X$204,66)=0,"",INDEX(ERP导入清单!H:H,IFERROR(MATCH(66,ERP导入清单!$X$5:$X$204,0)+4,"")))</f>
        <v/>
      </c>
      <c r="I70" s="57" t="str">
        <f>IF(COUNTIF(ERP导入清单!$X$5:$X$204,66)=0,"",INDEX(ERP导入清单!I:I,IFERROR(MATCH(66,ERP导入清单!$X$5:$X$204,0)+4,"")))</f>
        <v/>
      </c>
      <c r="J70" s="57" t="str">
        <f>IF(COUNTIF(ERP导入清单!$X$5:$X$204,66)=0,"",INDEX(ERP导入清单!J:J,IFERROR(MATCH(66,ERP导入清单!$X$5:$X$204,0)+4,"")))</f>
        <v/>
      </c>
      <c r="K70" s="37" t="str">
        <f>IF(COUNTIF(ERP导入清单!$X$5:$X$204,66)=0,"",INDEX(ERP导入清单!K:K,IFERROR(MATCH(66,ERP导入清单!$X$5:$X$204,0)+4,"")))</f>
        <v/>
      </c>
      <c r="L70" s="37" t="str">
        <f>IF(COUNTIF(ERP导入清单!$X$5:$X$204,66)=0,"",INDEX(ERP导入清单!L:L,IFERROR(MATCH(66,ERP导入清单!$X$5:$X$204,0)+4,"")))</f>
        <v/>
      </c>
      <c r="M70" s="37" t="str">
        <f>IF(COUNTIF(ERP导入清单!$X$5:$X$204,66)=0,"",INDEX(ERP导入清单!M:M,IFERROR(MATCH(66,ERP导入清单!$X$5:$X$204,0)+4,"")))</f>
        <v/>
      </c>
      <c r="N70" s="37" t="str">
        <f>IF(COUNTIF(ERP导入清单!$X$5:$X$204,66)=0,"",INDEX(ERP导入清单!N:N,IFERROR(MATCH(66,ERP导入清单!$X$5:$X$204,0)+4,"")))</f>
        <v/>
      </c>
      <c r="O70" s="37" t="str">
        <f>IF(COUNTIF(ERP导入清单!$X$5:$X$204,66)=0,"",INDEX(ERP导入清单!O:O,IFERROR(MATCH(66,ERP导入清单!$X$5:$X$204,0)+4,"")))</f>
        <v/>
      </c>
      <c r="P70" s="39" t="str">
        <f>IF(COUNTIF(ERP导入清单!$X$5:$X$204,66)=0,"",INDEX(ERP导入清单!P:P,IFERROR(MATCH(66,ERP导入清单!$X$5:$X$204,0)+4,"")))</f>
        <v/>
      </c>
      <c r="Q70" s="39" t="str">
        <f>IF(COUNTIF(ERP导入清单!$X$5:$X$204,66)=0,"",INDEX(ERP导入清单!Q:Q,IFERROR(MATCH(66,ERP导入清单!$X$5:$X$204,0)+4,"")))</f>
        <v/>
      </c>
      <c r="R70" s="59" t="str">
        <f>IF(COUNTIF(ERP导入清单!$X$5:$X$204,66)=0,"",INDEX(ERP导入清单!R:R,IFERROR(MATCH(66,ERP导入清单!$X$5:$X$204,0)+4,"")))</f>
        <v/>
      </c>
      <c r="S70" s="37" t="str">
        <f>IF(COUNTIF(ERP导入清单!$X$5:$X$204,66)=0,"",INDEX(ERP导入清单!S:S,IFERROR(MATCH(66,ERP导入清单!$X$5:$X$204,0)+4,"")))</f>
        <v/>
      </c>
      <c r="T70" s="37" t="str">
        <f>IF(COUNTIF(ERP导入清单!$X$5:$X$204,66)=0,"",INDEX(ERP导入清单!T:T,IFERROR(MATCH(66,ERP导入清单!$X$5:$X$204,0)+4,"")))</f>
        <v/>
      </c>
      <c r="U70" s="37" t="str">
        <f>IF(COUNTIF(ERP导入清单!$X$5:$X$204,66)=0,"",INDEX(ERP导入清单!U:U,IFERROR(MATCH(66,ERP导入清单!$X$5:$X$204,0)+4,"")))</f>
        <v/>
      </c>
      <c r="V70" s="38" t="str">
        <f>IF(COUNTIF(ERP导入清单!$X$5:$X$204,66)=0,"",INDEX(ERP导入清单!V:V,IFERROR(MATCH(66,ERP导入清单!$X$5:$X$204,0)+4,"")))</f>
        <v/>
      </c>
      <c r="W70" s="50" t="str">
        <f>IF(COUNTIF(ERP导入清单!$X$5:$X$204,66)=0,"",INDEX(ERP导入清单!W:W,IFERROR(MATCH(66,ERP导入清单!$X$5:$X$204,0)+4,"")))</f>
        <v/>
      </c>
    </row>
    <row r="71" spans="1:23" ht="24" customHeight="1">
      <c r="A71" s="55" t="str">
        <f>IF(COUNTIF(ERP导入清单!$X$5:$X$204,67)=0,"",INDEX(ERP导入清单!A:A,IFERROR(MATCH(67,ERP导入清单!$X$5:$X$204,0)+4,"")))</f>
        <v/>
      </c>
      <c r="B71" s="37" t="str">
        <f>IF(COUNTIF(ERP导入清单!$X$5:$X$204,67)=0,"",INDEX(ERP导入清单!B:B,IFERROR(MATCH(67,ERP导入清单!$X$5:$X$204,0)+4,"")))</f>
        <v/>
      </c>
      <c r="C71" s="38" t="str">
        <f>IF(COUNTIF(ERP导入清单!$X$5:$X$204,67)=0,"",INDEX(ERP导入清单!C:C,IFERROR(MATCH(67,ERP导入清单!$X$5:$X$204,0)+4,"")))</f>
        <v/>
      </c>
      <c r="D71" s="37" t="str">
        <f>IF(COUNTIF(ERP导入清单!$X$5:$X$204,67)=0,"",INDEX(ERP导入清单!D:D,IFERROR(MATCH(67,ERP导入清单!$X$5:$X$204,0)+4,"")))</f>
        <v/>
      </c>
      <c r="E71" s="37" t="str">
        <f>IF(COUNTIF(ERP导入清单!$X$5:$X$204,67)=0,"",INDEX(ERP导入清单!E:E,IFERROR(MATCH(67,ERP导入清单!$X$5:$X$204,0)+4,"")))</f>
        <v/>
      </c>
      <c r="F71" s="37" t="str">
        <f>IF(COUNTIF(ERP导入清单!$X$5:$X$204,67)=0,"",INDEX(ERP导入清单!F:F,IFERROR(MATCH(67,ERP导入清单!$X$5:$X$204,0)+4,"")))</f>
        <v/>
      </c>
      <c r="G71" s="57" t="str">
        <f>IF(COUNTIF(ERP导入清单!$X$5:$X$204,67)=0,"",INDEX(ERP导入清单!G:G,IFERROR(MATCH(67,ERP导入清单!$X$5:$X$204,0)+4,"")))</f>
        <v/>
      </c>
      <c r="H71" s="37" t="str">
        <f>IF(COUNTIF(ERP导入清单!$X$5:$X$204,67)=0,"",INDEX(ERP导入清单!H:H,IFERROR(MATCH(67,ERP导入清单!$X$5:$X$204,0)+4,"")))</f>
        <v/>
      </c>
      <c r="I71" s="57" t="str">
        <f>IF(COUNTIF(ERP导入清单!$X$5:$X$204,67)=0,"",INDEX(ERP导入清单!I:I,IFERROR(MATCH(67,ERP导入清单!$X$5:$X$204,0)+4,"")))</f>
        <v/>
      </c>
      <c r="J71" s="57" t="str">
        <f>IF(COUNTIF(ERP导入清单!$X$5:$X$204,67)=0,"",INDEX(ERP导入清单!J:J,IFERROR(MATCH(67,ERP导入清单!$X$5:$X$204,0)+4,"")))</f>
        <v/>
      </c>
      <c r="K71" s="37" t="str">
        <f>IF(COUNTIF(ERP导入清单!$X$5:$X$204,67)=0,"",INDEX(ERP导入清单!K:K,IFERROR(MATCH(67,ERP导入清单!$X$5:$X$204,0)+4,"")))</f>
        <v/>
      </c>
      <c r="L71" s="37" t="str">
        <f>IF(COUNTIF(ERP导入清单!$X$5:$X$204,67)=0,"",INDEX(ERP导入清单!L:L,IFERROR(MATCH(67,ERP导入清单!$X$5:$X$204,0)+4,"")))</f>
        <v/>
      </c>
      <c r="M71" s="37" t="str">
        <f>IF(COUNTIF(ERP导入清单!$X$5:$X$204,67)=0,"",INDEX(ERP导入清单!M:M,IFERROR(MATCH(67,ERP导入清单!$X$5:$X$204,0)+4,"")))</f>
        <v/>
      </c>
      <c r="N71" s="37" t="str">
        <f>IF(COUNTIF(ERP导入清单!$X$5:$X$204,67)=0,"",INDEX(ERP导入清单!N:N,IFERROR(MATCH(67,ERP导入清单!$X$5:$X$204,0)+4,"")))</f>
        <v/>
      </c>
      <c r="O71" s="37" t="str">
        <f>IF(COUNTIF(ERP导入清单!$X$5:$X$204,67)=0,"",INDEX(ERP导入清单!O:O,IFERROR(MATCH(67,ERP导入清单!$X$5:$X$204,0)+4,"")))</f>
        <v/>
      </c>
      <c r="P71" s="39" t="str">
        <f>IF(COUNTIF(ERP导入清单!$X$5:$X$204,67)=0,"",INDEX(ERP导入清单!P:P,IFERROR(MATCH(67,ERP导入清单!$X$5:$X$204,0)+4,"")))</f>
        <v/>
      </c>
      <c r="Q71" s="39" t="str">
        <f>IF(COUNTIF(ERP导入清单!$X$5:$X$204,67)=0,"",INDEX(ERP导入清单!Q:Q,IFERROR(MATCH(67,ERP导入清单!$X$5:$X$204,0)+4,"")))</f>
        <v/>
      </c>
      <c r="R71" s="59" t="str">
        <f>IF(COUNTIF(ERP导入清单!$X$5:$X$204,67)=0,"",INDEX(ERP导入清单!R:R,IFERROR(MATCH(67,ERP导入清单!$X$5:$X$204,0)+4,"")))</f>
        <v/>
      </c>
      <c r="S71" s="37" t="str">
        <f>IF(COUNTIF(ERP导入清单!$X$5:$X$204,67)=0,"",INDEX(ERP导入清单!S:S,IFERROR(MATCH(67,ERP导入清单!$X$5:$X$204,0)+4,"")))</f>
        <v/>
      </c>
      <c r="T71" s="37" t="str">
        <f>IF(COUNTIF(ERP导入清单!$X$5:$X$204,67)=0,"",INDEX(ERP导入清单!T:T,IFERROR(MATCH(67,ERP导入清单!$X$5:$X$204,0)+4,"")))</f>
        <v/>
      </c>
      <c r="U71" s="37" t="str">
        <f>IF(COUNTIF(ERP导入清单!$X$5:$X$204,67)=0,"",INDEX(ERP导入清单!U:U,IFERROR(MATCH(67,ERP导入清单!$X$5:$X$204,0)+4,"")))</f>
        <v/>
      </c>
      <c r="V71" s="38" t="str">
        <f>IF(COUNTIF(ERP导入清单!$X$5:$X$204,67)=0,"",INDEX(ERP导入清单!V:V,IFERROR(MATCH(67,ERP导入清单!$X$5:$X$204,0)+4,"")))</f>
        <v/>
      </c>
      <c r="W71" s="50" t="str">
        <f>IF(COUNTIF(ERP导入清单!$X$5:$X$204,67)=0,"",INDEX(ERP导入清单!W:W,IFERROR(MATCH(67,ERP导入清单!$X$5:$X$204,0)+4,"")))</f>
        <v/>
      </c>
    </row>
    <row r="72" spans="1:23" ht="24" customHeight="1">
      <c r="A72" s="55" t="str">
        <f>IF(COUNTIF(ERP导入清单!$X$5:$X$204,68)=0,"",INDEX(ERP导入清单!A:A,IFERROR(MATCH(68,ERP导入清单!$X$5:$X$204,0)+4,"")))</f>
        <v/>
      </c>
      <c r="B72" s="37" t="str">
        <f>IF(COUNTIF(ERP导入清单!$X$5:$X$204,68)=0,"",INDEX(ERP导入清单!B:B,IFERROR(MATCH(68,ERP导入清单!$X$5:$X$204,0)+4,"")))</f>
        <v/>
      </c>
      <c r="C72" s="38" t="str">
        <f>IF(COUNTIF(ERP导入清单!$X$5:$X$204,68)=0,"",INDEX(ERP导入清单!C:C,IFERROR(MATCH(68,ERP导入清单!$X$5:$X$204,0)+4,"")))</f>
        <v/>
      </c>
      <c r="D72" s="37" t="str">
        <f>IF(COUNTIF(ERP导入清单!$X$5:$X$204,68)=0,"",INDEX(ERP导入清单!D:D,IFERROR(MATCH(68,ERP导入清单!$X$5:$X$204,0)+4,"")))</f>
        <v/>
      </c>
      <c r="E72" s="37" t="str">
        <f>IF(COUNTIF(ERP导入清单!$X$5:$X$204,68)=0,"",INDEX(ERP导入清单!E:E,IFERROR(MATCH(68,ERP导入清单!$X$5:$X$204,0)+4,"")))</f>
        <v/>
      </c>
      <c r="F72" s="37" t="str">
        <f>IF(COUNTIF(ERP导入清单!$X$5:$X$204,68)=0,"",INDEX(ERP导入清单!F:F,IFERROR(MATCH(68,ERP导入清单!$X$5:$X$204,0)+4,"")))</f>
        <v/>
      </c>
      <c r="G72" s="57" t="str">
        <f>IF(COUNTIF(ERP导入清单!$X$5:$X$204,68)=0,"",INDEX(ERP导入清单!G:G,IFERROR(MATCH(68,ERP导入清单!$X$5:$X$204,0)+4,"")))</f>
        <v/>
      </c>
      <c r="H72" s="37" t="str">
        <f>IF(COUNTIF(ERP导入清单!$X$5:$X$204,68)=0,"",INDEX(ERP导入清单!H:H,IFERROR(MATCH(68,ERP导入清单!$X$5:$X$204,0)+4,"")))</f>
        <v/>
      </c>
      <c r="I72" s="57" t="str">
        <f>IF(COUNTIF(ERP导入清单!$X$5:$X$204,68)=0,"",INDEX(ERP导入清单!I:I,IFERROR(MATCH(68,ERP导入清单!$X$5:$X$204,0)+4,"")))</f>
        <v/>
      </c>
      <c r="J72" s="57" t="str">
        <f>IF(COUNTIF(ERP导入清单!$X$5:$X$204,68)=0,"",INDEX(ERP导入清单!J:J,IFERROR(MATCH(68,ERP导入清单!$X$5:$X$204,0)+4,"")))</f>
        <v/>
      </c>
      <c r="K72" s="37" t="str">
        <f>IF(COUNTIF(ERP导入清单!$X$5:$X$204,68)=0,"",INDEX(ERP导入清单!K:K,IFERROR(MATCH(68,ERP导入清单!$X$5:$X$204,0)+4,"")))</f>
        <v/>
      </c>
      <c r="L72" s="37" t="str">
        <f>IF(COUNTIF(ERP导入清单!$X$5:$X$204,68)=0,"",INDEX(ERP导入清单!L:L,IFERROR(MATCH(68,ERP导入清单!$X$5:$X$204,0)+4,"")))</f>
        <v/>
      </c>
      <c r="M72" s="37" t="str">
        <f>IF(COUNTIF(ERP导入清单!$X$5:$X$204,68)=0,"",INDEX(ERP导入清单!M:M,IFERROR(MATCH(68,ERP导入清单!$X$5:$X$204,0)+4,"")))</f>
        <v/>
      </c>
      <c r="N72" s="37" t="str">
        <f>IF(COUNTIF(ERP导入清单!$X$5:$X$204,68)=0,"",INDEX(ERP导入清单!N:N,IFERROR(MATCH(68,ERP导入清单!$X$5:$X$204,0)+4,"")))</f>
        <v/>
      </c>
      <c r="O72" s="37" t="str">
        <f>IF(COUNTIF(ERP导入清单!$X$5:$X$204,68)=0,"",INDEX(ERP导入清单!O:O,IFERROR(MATCH(68,ERP导入清单!$X$5:$X$204,0)+4,"")))</f>
        <v/>
      </c>
      <c r="P72" s="39" t="str">
        <f>IF(COUNTIF(ERP导入清单!$X$5:$X$204,68)=0,"",INDEX(ERP导入清单!P:P,IFERROR(MATCH(68,ERP导入清单!$X$5:$X$204,0)+4,"")))</f>
        <v/>
      </c>
      <c r="Q72" s="39" t="str">
        <f>IF(COUNTIF(ERP导入清单!$X$5:$X$204,68)=0,"",INDEX(ERP导入清单!Q:Q,IFERROR(MATCH(68,ERP导入清单!$X$5:$X$204,0)+4,"")))</f>
        <v/>
      </c>
      <c r="R72" s="59" t="str">
        <f>IF(COUNTIF(ERP导入清单!$X$5:$X$204,68)=0,"",INDEX(ERP导入清单!R:R,IFERROR(MATCH(68,ERP导入清单!$X$5:$X$204,0)+4,"")))</f>
        <v/>
      </c>
      <c r="S72" s="37" t="str">
        <f>IF(COUNTIF(ERP导入清单!$X$5:$X$204,68)=0,"",INDEX(ERP导入清单!S:S,IFERROR(MATCH(68,ERP导入清单!$X$5:$X$204,0)+4,"")))</f>
        <v/>
      </c>
      <c r="T72" s="37" t="str">
        <f>IF(COUNTIF(ERP导入清单!$X$5:$X$204,68)=0,"",INDEX(ERP导入清单!T:T,IFERROR(MATCH(68,ERP导入清单!$X$5:$X$204,0)+4,"")))</f>
        <v/>
      </c>
      <c r="U72" s="37" t="str">
        <f>IF(COUNTIF(ERP导入清单!$X$5:$X$204,68)=0,"",INDEX(ERP导入清单!U:U,IFERROR(MATCH(68,ERP导入清单!$X$5:$X$204,0)+4,"")))</f>
        <v/>
      </c>
      <c r="V72" s="38" t="str">
        <f>IF(COUNTIF(ERP导入清单!$X$5:$X$204,68)=0,"",INDEX(ERP导入清单!V:V,IFERROR(MATCH(68,ERP导入清单!$X$5:$X$204,0)+4,"")))</f>
        <v/>
      </c>
      <c r="W72" s="50" t="str">
        <f>IF(COUNTIF(ERP导入清单!$X$5:$X$204,68)=0,"",INDEX(ERP导入清单!W:W,IFERROR(MATCH(68,ERP导入清单!$X$5:$X$204,0)+4,"")))</f>
        <v/>
      </c>
    </row>
    <row r="73" spans="1:23" ht="24" customHeight="1">
      <c r="A73" s="55" t="str">
        <f>IF(COUNTIF(ERP导入清单!$X$5:$X$204,69)=0,"",INDEX(ERP导入清单!A:A,IFERROR(MATCH(69,ERP导入清单!$X$5:$X$204,0)+4,"")))</f>
        <v/>
      </c>
      <c r="B73" s="37" t="str">
        <f>IF(COUNTIF(ERP导入清单!$X$5:$X$204,69)=0,"",INDEX(ERP导入清单!B:B,IFERROR(MATCH(69,ERP导入清单!$X$5:$X$204,0)+4,"")))</f>
        <v/>
      </c>
      <c r="C73" s="38" t="str">
        <f>IF(COUNTIF(ERP导入清单!$X$5:$X$204,69)=0,"",INDEX(ERP导入清单!C:C,IFERROR(MATCH(69,ERP导入清单!$X$5:$X$204,0)+4,"")))</f>
        <v/>
      </c>
      <c r="D73" s="37" t="str">
        <f>IF(COUNTIF(ERP导入清单!$X$5:$X$204,69)=0,"",INDEX(ERP导入清单!D:D,IFERROR(MATCH(69,ERP导入清单!$X$5:$X$204,0)+4,"")))</f>
        <v/>
      </c>
      <c r="E73" s="37" t="str">
        <f>IF(COUNTIF(ERP导入清单!$X$5:$X$204,69)=0,"",INDEX(ERP导入清单!E:E,IFERROR(MATCH(69,ERP导入清单!$X$5:$X$204,0)+4,"")))</f>
        <v/>
      </c>
      <c r="F73" s="37" t="str">
        <f>IF(COUNTIF(ERP导入清单!$X$5:$X$204,69)=0,"",INDEX(ERP导入清单!F:F,IFERROR(MATCH(69,ERP导入清单!$X$5:$X$204,0)+4,"")))</f>
        <v/>
      </c>
      <c r="G73" s="57" t="str">
        <f>IF(COUNTIF(ERP导入清单!$X$5:$X$204,69)=0,"",INDEX(ERP导入清单!G:G,IFERROR(MATCH(69,ERP导入清单!$X$5:$X$204,0)+4,"")))</f>
        <v/>
      </c>
      <c r="H73" s="37" t="str">
        <f>IF(COUNTIF(ERP导入清单!$X$5:$X$204,69)=0,"",INDEX(ERP导入清单!H:H,IFERROR(MATCH(69,ERP导入清单!$X$5:$X$204,0)+4,"")))</f>
        <v/>
      </c>
      <c r="I73" s="57" t="str">
        <f>IF(COUNTIF(ERP导入清单!$X$5:$X$204,69)=0,"",INDEX(ERP导入清单!I:I,IFERROR(MATCH(69,ERP导入清单!$X$5:$X$204,0)+4,"")))</f>
        <v/>
      </c>
      <c r="J73" s="57" t="str">
        <f>IF(COUNTIF(ERP导入清单!$X$5:$X$204,69)=0,"",INDEX(ERP导入清单!J:J,IFERROR(MATCH(69,ERP导入清单!$X$5:$X$204,0)+4,"")))</f>
        <v/>
      </c>
      <c r="K73" s="37" t="str">
        <f>IF(COUNTIF(ERP导入清单!$X$5:$X$204,69)=0,"",INDEX(ERP导入清单!K:K,IFERROR(MATCH(69,ERP导入清单!$X$5:$X$204,0)+4,"")))</f>
        <v/>
      </c>
      <c r="L73" s="37" t="str">
        <f>IF(COUNTIF(ERP导入清单!$X$5:$X$204,69)=0,"",INDEX(ERP导入清单!L:L,IFERROR(MATCH(69,ERP导入清单!$X$5:$X$204,0)+4,"")))</f>
        <v/>
      </c>
      <c r="M73" s="37" t="str">
        <f>IF(COUNTIF(ERP导入清单!$X$5:$X$204,69)=0,"",INDEX(ERP导入清单!M:M,IFERROR(MATCH(69,ERP导入清单!$X$5:$X$204,0)+4,"")))</f>
        <v/>
      </c>
      <c r="N73" s="37" t="str">
        <f>IF(COUNTIF(ERP导入清单!$X$5:$X$204,69)=0,"",INDEX(ERP导入清单!N:N,IFERROR(MATCH(69,ERP导入清单!$X$5:$X$204,0)+4,"")))</f>
        <v/>
      </c>
      <c r="O73" s="37" t="str">
        <f>IF(COUNTIF(ERP导入清单!$X$5:$X$204,69)=0,"",INDEX(ERP导入清单!O:O,IFERROR(MATCH(69,ERP导入清单!$X$5:$X$204,0)+4,"")))</f>
        <v/>
      </c>
      <c r="P73" s="39" t="str">
        <f>IF(COUNTIF(ERP导入清单!$X$5:$X$204,69)=0,"",INDEX(ERP导入清单!P:P,IFERROR(MATCH(69,ERP导入清单!$X$5:$X$204,0)+4,"")))</f>
        <v/>
      </c>
      <c r="Q73" s="39" t="str">
        <f>IF(COUNTIF(ERP导入清单!$X$5:$X$204,69)=0,"",INDEX(ERP导入清单!Q:Q,IFERROR(MATCH(69,ERP导入清单!$X$5:$X$204,0)+4,"")))</f>
        <v/>
      </c>
      <c r="R73" s="59" t="str">
        <f>IF(COUNTIF(ERP导入清单!$X$5:$X$204,69)=0,"",INDEX(ERP导入清单!R:R,IFERROR(MATCH(69,ERP导入清单!$X$5:$X$204,0)+4,"")))</f>
        <v/>
      </c>
      <c r="S73" s="37" t="str">
        <f>IF(COUNTIF(ERP导入清单!$X$5:$X$204,69)=0,"",INDEX(ERP导入清单!S:S,IFERROR(MATCH(69,ERP导入清单!$X$5:$X$204,0)+4,"")))</f>
        <v/>
      </c>
      <c r="T73" s="37" t="str">
        <f>IF(COUNTIF(ERP导入清单!$X$5:$X$204,69)=0,"",INDEX(ERP导入清单!T:T,IFERROR(MATCH(69,ERP导入清单!$X$5:$X$204,0)+4,"")))</f>
        <v/>
      </c>
      <c r="U73" s="37" t="str">
        <f>IF(COUNTIF(ERP导入清单!$X$5:$X$204,69)=0,"",INDEX(ERP导入清单!U:U,IFERROR(MATCH(69,ERP导入清单!$X$5:$X$204,0)+4,"")))</f>
        <v/>
      </c>
      <c r="V73" s="38" t="str">
        <f>IF(COUNTIF(ERP导入清单!$X$5:$X$204,69)=0,"",INDEX(ERP导入清单!V:V,IFERROR(MATCH(69,ERP导入清单!$X$5:$X$204,0)+4,"")))</f>
        <v/>
      </c>
      <c r="W73" s="50" t="str">
        <f>IF(COUNTIF(ERP导入清单!$X$5:$X$204,69)=0,"",INDEX(ERP导入清单!W:W,IFERROR(MATCH(69,ERP导入清单!$X$5:$X$204,0)+4,"")))</f>
        <v/>
      </c>
    </row>
    <row r="74" spans="1:23" ht="24" customHeight="1">
      <c r="A74" s="55" t="str">
        <f>IF(COUNTIF(ERP导入清单!$X$5:$X$204,70)=0,"",INDEX(ERP导入清单!A:A,IFERROR(MATCH(70,ERP导入清单!$X$5:$X$204,0)+4,"")))</f>
        <v/>
      </c>
      <c r="B74" s="37" t="str">
        <f>IF(COUNTIF(ERP导入清单!$X$5:$X$204,70)=0,"",INDEX(ERP导入清单!B:B,IFERROR(MATCH(70,ERP导入清单!$X$5:$X$204,0)+4,"")))</f>
        <v/>
      </c>
      <c r="C74" s="38" t="str">
        <f>IF(COUNTIF(ERP导入清单!$X$5:$X$204,70)=0,"",INDEX(ERP导入清单!C:C,IFERROR(MATCH(70,ERP导入清单!$X$5:$X$204,0)+4,"")))</f>
        <v/>
      </c>
      <c r="D74" s="37" t="str">
        <f>IF(COUNTIF(ERP导入清单!$X$5:$X$204,70)=0,"",INDEX(ERP导入清单!D:D,IFERROR(MATCH(70,ERP导入清单!$X$5:$X$204,0)+4,"")))</f>
        <v/>
      </c>
      <c r="E74" s="37" t="str">
        <f>IF(COUNTIF(ERP导入清单!$X$5:$X$204,70)=0,"",INDEX(ERP导入清单!E:E,IFERROR(MATCH(70,ERP导入清单!$X$5:$X$204,0)+4,"")))</f>
        <v/>
      </c>
      <c r="F74" s="37" t="str">
        <f>IF(COUNTIF(ERP导入清单!$X$5:$X$204,70)=0,"",INDEX(ERP导入清单!F:F,IFERROR(MATCH(70,ERP导入清单!$X$5:$X$204,0)+4,"")))</f>
        <v/>
      </c>
      <c r="G74" s="57" t="str">
        <f>IF(COUNTIF(ERP导入清单!$X$5:$X$204,70)=0,"",INDEX(ERP导入清单!G:G,IFERROR(MATCH(70,ERP导入清单!$X$5:$X$204,0)+4,"")))</f>
        <v/>
      </c>
      <c r="H74" s="37" t="str">
        <f>IF(COUNTIF(ERP导入清单!$X$5:$X$204,70)=0,"",INDEX(ERP导入清单!H:H,IFERROR(MATCH(70,ERP导入清单!$X$5:$X$204,0)+4,"")))</f>
        <v/>
      </c>
      <c r="I74" s="57" t="str">
        <f>IF(COUNTIF(ERP导入清单!$X$5:$X$204,70)=0,"",INDEX(ERP导入清单!I:I,IFERROR(MATCH(70,ERP导入清单!$X$5:$X$204,0)+4,"")))</f>
        <v/>
      </c>
      <c r="J74" s="57" t="str">
        <f>IF(COUNTIF(ERP导入清单!$X$5:$X$204,70)=0,"",INDEX(ERP导入清单!J:J,IFERROR(MATCH(70,ERP导入清单!$X$5:$X$204,0)+4,"")))</f>
        <v/>
      </c>
      <c r="K74" s="37" t="str">
        <f>IF(COUNTIF(ERP导入清单!$X$5:$X$204,70)=0,"",INDEX(ERP导入清单!K:K,IFERROR(MATCH(70,ERP导入清单!$X$5:$X$204,0)+4,"")))</f>
        <v/>
      </c>
      <c r="L74" s="37" t="str">
        <f>IF(COUNTIF(ERP导入清单!$X$5:$X$204,70)=0,"",INDEX(ERP导入清单!L:L,IFERROR(MATCH(70,ERP导入清单!$X$5:$X$204,0)+4,"")))</f>
        <v/>
      </c>
      <c r="M74" s="37" t="str">
        <f>IF(COUNTIF(ERP导入清单!$X$5:$X$204,70)=0,"",INDEX(ERP导入清单!M:M,IFERROR(MATCH(70,ERP导入清单!$X$5:$X$204,0)+4,"")))</f>
        <v/>
      </c>
      <c r="N74" s="37" t="str">
        <f>IF(COUNTIF(ERP导入清单!$X$5:$X$204,70)=0,"",INDEX(ERP导入清单!N:N,IFERROR(MATCH(70,ERP导入清单!$X$5:$X$204,0)+4,"")))</f>
        <v/>
      </c>
      <c r="O74" s="37" t="str">
        <f>IF(COUNTIF(ERP导入清单!$X$5:$X$204,70)=0,"",INDEX(ERP导入清单!O:O,IFERROR(MATCH(70,ERP导入清单!$X$5:$X$204,0)+4,"")))</f>
        <v/>
      </c>
      <c r="P74" s="39" t="str">
        <f>IF(COUNTIF(ERP导入清单!$X$5:$X$204,70)=0,"",INDEX(ERP导入清单!P:P,IFERROR(MATCH(70,ERP导入清单!$X$5:$X$204,0)+4,"")))</f>
        <v/>
      </c>
      <c r="Q74" s="39" t="str">
        <f>IF(COUNTIF(ERP导入清单!$X$5:$X$204,70)=0,"",INDEX(ERP导入清单!Q:Q,IFERROR(MATCH(70,ERP导入清单!$X$5:$X$204,0)+4,"")))</f>
        <v/>
      </c>
      <c r="R74" s="59" t="str">
        <f>IF(COUNTIF(ERP导入清单!$X$5:$X$204,70)=0,"",INDEX(ERP导入清单!R:R,IFERROR(MATCH(70,ERP导入清单!$X$5:$X$204,0)+4,"")))</f>
        <v/>
      </c>
      <c r="S74" s="37" t="str">
        <f>IF(COUNTIF(ERP导入清单!$X$5:$X$204,70)=0,"",INDEX(ERP导入清单!S:S,IFERROR(MATCH(70,ERP导入清单!$X$5:$X$204,0)+4,"")))</f>
        <v/>
      </c>
      <c r="T74" s="37" t="str">
        <f>IF(COUNTIF(ERP导入清单!$X$5:$X$204,70)=0,"",INDEX(ERP导入清单!T:T,IFERROR(MATCH(70,ERP导入清单!$X$5:$X$204,0)+4,"")))</f>
        <v/>
      </c>
      <c r="U74" s="37" t="str">
        <f>IF(COUNTIF(ERP导入清单!$X$5:$X$204,70)=0,"",INDEX(ERP导入清单!U:U,IFERROR(MATCH(70,ERP导入清单!$X$5:$X$204,0)+4,"")))</f>
        <v/>
      </c>
      <c r="V74" s="38" t="str">
        <f>IF(COUNTIF(ERP导入清单!$X$5:$X$204,70)=0,"",INDEX(ERP导入清单!V:V,IFERROR(MATCH(70,ERP导入清单!$X$5:$X$204,0)+4,"")))</f>
        <v/>
      </c>
      <c r="W74" s="50" t="str">
        <f>IF(COUNTIF(ERP导入清单!$X$5:$X$204,70)=0,"",INDEX(ERP导入清单!W:W,IFERROR(MATCH(70,ERP导入清单!$X$5:$X$204,0)+4,"")))</f>
        <v/>
      </c>
    </row>
    <row r="75" spans="1:23" ht="24" customHeight="1">
      <c r="A75" s="55" t="str">
        <f>IF(COUNTIF(ERP导入清单!$X$5:$X$204,71)=0,"",INDEX(ERP导入清单!A:A,IFERROR(MATCH(71,ERP导入清单!$X$5:$X$204,0)+4,"")))</f>
        <v/>
      </c>
      <c r="B75" s="37" t="str">
        <f>IF(COUNTIF(ERP导入清单!$X$5:$X$204,71)=0,"",INDEX(ERP导入清单!B:B,IFERROR(MATCH(71,ERP导入清单!$X$5:$X$204,0)+4,"")))</f>
        <v/>
      </c>
      <c r="C75" s="38" t="str">
        <f>IF(COUNTIF(ERP导入清单!$X$5:$X$204,71)=0,"",INDEX(ERP导入清单!C:C,IFERROR(MATCH(71,ERP导入清单!$X$5:$X$204,0)+4,"")))</f>
        <v/>
      </c>
      <c r="D75" s="37" t="str">
        <f>IF(COUNTIF(ERP导入清单!$X$5:$X$204,71)=0,"",INDEX(ERP导入清单!D:D,IFERROR(MATCH(71,ERP导入清单!$X$5:$X$204,0)+4,"")))</f>
        <v/>
      </c>
      <c r="E75" s="37" t="str">
        <f>IF(COUNTIF(ERP导入清单!$X$5:$X$204,71)=0,"",INDEX(ERP导入清单!E:E,IFERROR(MATCH(71,ERP导入清单!$X$5:$X$204,0)+4,"")))</f>
        <v/>
      </c>
      <c r="F75" s="37" t="str">
        <f>IF(COUNTIF(ERP导入清单!$X$5:$X$204,71)=0,"",INDEX(ERP导入清单!F:F,IFERROR(MATCH(71,ERP导入清单!$X$5:$X$204,0)+4,"")))</f>
        <v/>
      </c>
      <c r="G75" s="57" t="str">
        <f>IF(COUNTIF(ERP导入清单!$X$5:$X$204,71)=0,"",INDEX(ERP导入清单!G:G,IFERROR(MATCH(71,ERP导入清单!$X$5:$X$204,0)+4,"")))</f>
        <v/>
      </c>
      <c r="H75" s="37" t="str">
        <f>IF(COUNTIF(ERP导入清单!$X$5:$X$204,71)=0,"",INDEX(ERP导入清单!H:H,IFERROR(MATCH(71,ERP导入清单!$X$5:$X$204,0)+4,"")))</f>
        <v/>
      </c>
      <c r="I75" s="57" t="str">
        <f>IF(COUNTIF(ERP导入清单!$X$5:$X$204,71)=0,"",INDEX(ERP导入清单!I:I,IFERROR(MATCH(71,ERP导入清单!$X$5:$X$204,0)+4,"")))</f>
        <v/>
      </c>
      <c r="J75" s="57" t="str">
        <f>IF(COUNTIF(ERP导入清单!$X$5:$X$204,71)=0,"",INDEX(ERP导入清单!J:J,IFERROR(MATCH(71,ERP导入清单!$X$5:$X$204,0)+4,"")))</f>
        <v/>
      </c>
      <c r="K75" s="37" t="str">
        <f>IF(COUNTIF(ERP导入清单!$X$5:$X$204,71)=0,"",INDEX(ERP导入清单!K:K,IFERROR(MATCH(71,ERP导入清单!$X$5:$X$204,0)+4,"")))</f>
        <v/>
      </c>
      <c r="L75" s="37" t="str">
        <f>IF(COUNTIF(ERP导入清单!$X$5:$X$204,71)=0,"",INDEX(ERP导入清单!L:L,IFERROR(MATCH(71,ERP导入清单!$X$5:$X$204,0)+4,"")))</f>
        <v/>
      </c>
      <c r="M75" s="37" t="str">
        <f>IF(COUNTIF(ERP导入清单!$X$5:$X$204,71)=0,"",INDEX(ERP导入清单!M:M,IFERROR(MATCH(71,ERP导入清单!$X$5:$X$204,0)+4,"")))</f>
        <v/>
      </c>
      <c r="N75" s="37" t="str">
        <f>IF(COUNTIF(ERP导入清单!$X$5:$X$204,71)=0,"",INDEX(ERP导入清单!N:N,IFERROR(MATCH(71,ERP导入清单!$X$5:$X$204,0)+4,"")))</f>
        <v/>
      </c>
      <c r="O75" s="37" t="str">
        <f>IF(COUNTIF(ERP导入清单!$X$5:$X$204,71)=0,"",INDEX(ERP导入清单!O:O,IFERROR(MATCH(71,ERP导入清单!$X$5:$X$204,0)+4,"")))</f>
        <v/>
      </c>
      <c r="P75" s="39" t="str">
        <f>IF(COUNTIF(ERP导入清单!$X$5:$X$204,71)=0,"",INDEX(ERP导入清单!P:P,IFERROR(MATCH(71,ERP导入清单!$X$5:$X$204,0)+4,"")))</f>
        <v/>
      </c>
      <c r="Q75" s="39" t="str">
        <f>IF(COUNTIF(ERP导入清单!$X$5:$X$204,71)=0,"",INDEX(ERP导入清单!Q:Q,IFERROR(MATCH(71,ERP导入清单!$X$5:$X$204,0)+4,"")))</f>
        <v/>
      </c>
      <c r="R75" s="59" t="str">
        <f>IF(COUNTIF(ERP导入清单!$X$5:$X$204,71)=0,"",INDEX(ERP导入清单!R:R,IFERROR(MATCH(71,ERP导入清单!$X$5:$X$204,0)+4,"")))</f>
        <v/>
      </c>
      <c r="S75" s="37" t="str">
        <f>IF(COUNTIF(ERP导入清单!$X$5:$X$204,71)=0,"",INDEX(ERP导入清单!S:S,IFERROR(MATCH(71,ERP导入清单!$X$5:$X$204,0)+4,"")))</f>
        <v/>
      </c>
      <c r="T75" s="37" t="str">
        <f>IF(COUNTIF(ERP导入清单!$X$5:$X$204,71)=0,"",INDEX(ERP导入清单!T:T,IFERROR(MATCH(71,ERP导入清单!$X$5:$X$204,0)+4,"")))</f>
        <v/>
      </c>
      <c r="U75" s="37" t="str">
        <f>IF(COUNTIF(ERP导入清单!$X$5:$X$204,71)=0,"",INDEX(ERP导入清单!U:U,IFERROR(MATCH(71,ERP导入清单!$X$5:$X$204,0)+4,"")))</f>
        <v/>
      </c>
      <c r="V75" s="38" t="str">
        <f>IF(COUNTIF(ERP导入清单!$X$5:$X$204,71)=0,"",INDEX(ERP导入清单!V:V,IFERROR(MATCH(71,ERP导入清单!$X$5:$X$204,0)+4,"")))</f>
        <v/>
      </c>
      <c r="W75" s="50" t="str">
        <f>IF(COUNTIF(ERP导入清单!$X$5:$X$204,71)=0,"",INDEX(ERP导入清单!W:W,IFERROR(MATCH(71,ERP导入清单!$X$5:$X$204,0)+4,"")))</f>
        <v/>
      </c>
    </row>
    <row r="76" spans="1:23" ht="24" customHeight="1">
      <c r="A76" s="55" t="str">
        <f>IF(COUNTIF(ERP导入清单!$X$5:$X$204,72)=0,"",INDEX(ERP导入清单!A:A,IFERROR(MATCH(72,ERP导入清单!$X$5:$X$204,0)+4,"")))</f>
        <v/>
      </c>
      <c r="B76" s="37" t="str">
        <f>IF(COUNTIF(ERP导入清单!$X$5:$X$204,72)=0,"",INDEX(ERP导入清单!B:B,IFERROR(MATCH(72,ERP导入清单!$X$5:$X$204,0)+4,"")))</f>
        <v/>
      </c>
      <c r="C76" s="38" t="str">
        <f>IF(COUNTIF(ERP导入清单!$X$5:$X$204,72)=0,"",INDEX(ERP导入清单!C:C,IFERROR(MATCH(72,ERP导入清单!$X$5:$X$204,0)+4,"")))</f>
        <v/>
      </c>
      <c r="D76" s="37" t="str">
        <f>IF(COUNTIF(ERP导入清单!$X$5:$X$204,72)=0,"",INDEX(ERP导入清单!D:D,IFERROR(MATCH(72,ERP导入清单!$X$5:$X$204,0)+4,"")))</f>
        <v/>
      </c>
      <c r="E76" s="37" t="str">
        <f>IF(COUNTIF(ERP导入清单!$X$5:$X$204,72)=0,"",INDEX(ERP导入清单!E:E,IFERROR(MATCH(72,ERP导入清单!$X$5:$X$204,0)+4,"")))</f>
        <v/>
      </c>
      <c r="F76" s="37" t="str">
        <f>IF(COUNTIF(ERP导入清单!$X$5:$X$204,72)=0,"",INDEX(ERP导入清单!F:F,IFERROR(MATCH(72,ERP导入清单!$X$5:$X$204,0)+4,"")))</f>
        <v/>
      </c>
      <c r="G76" s="57" t="str">
        <f>IF(COUNTIF(ERP导入清单!$X$5:$X$204,72)=0,"",INDEX(ERP导入清单!G:G,IFERROR(MATCH(72,ERP导入清单!$X$5:$X$204,0)+4,"")))</f>
        <v/>
      </c>
      <c r="H76" s="37" t="str">
        <f>IF(COUNTIF(ERP导入清单!$X$5:$X$204,72)=0,"",INDEX(ERP导入清单!H:H,IFERROR(MATCH(72,ERP导入清单!$X$5:$X$204,0)+4,"")))</f>
        <v/>
      </c>
      <c r="I76" s="57" t="str">
        <f>IF(COUNTIF(ERP导入清单!$X$5:$X$204,72)=0,"",INDEX(ERP导入清单!I:I,IFERROR(MATCH(72,ERP导入清单!$X$5:$X$204,0)+4,"")))</f>
        <v/>
      </c>
      <c r="J76" s="57" t="str">
        <f>IF(COUNTIF(ERP导入清单!$X$5:$X$204,72)=0,"",INDEX(ERP导入清单!J:J,IFERROR(MATCH(72,ERP导入清单!$X$5:$X$204,0)+4,"")))</f>
        <v/>
      </c>
      <c r="K76" s="37" t="str">
        <f>IF(COUNTIF(ERP导入清单!$X$5:$X$204,72)=0,"",INDEX(ERP导入清单!K:K,IFERROR(MATCH(72,ERP导入清单!$X$5:$X$204,0)+4,"")))</f>
        <v/>
      </c>
      <c r="L76" s="37" t="str">
        <f>IF(COUNTIF(ERP导入清单!$X$5:$X$204,72)=0,"",INDEX(ERP导入清单!L:L,IFERROR(MATCH(72,ERP导入清单!$X$5:$X$204,0)+4,"")))</f>
        <v/>
      </c>
      <c r="M76" s="37" t="str">
        <f>IF(COUNTIF(ERP导入清单!$X$5:$X$204,72)=0,"",INDEX(ERP导入清单!M:M,IFERROR(MATCH(72,ERP导入清单!$X$5:$X$204,0)+4,"")))</f>
        <v/>
      </c>
      <c r="N76" s="37" t="str">
        <f>IF(COUNTIF(ERP导入清单!$X$5:$X$204,72)=0,"",INDEX(ERP导入清单!N:N,IFERROR(MATCH(72,ERP导入清单!$X$5:$X$204,0)+4,"")))</f>
        <v/>
      </c>
      <c r="O76" s="37" t="str">
        <f>IF(COUNTIF(ERP导入清单!$X$5:$X$204,72)=0,"",INDEX(ERP导入清单!O:O,IFERROR(MATCH(72,ERP导入清单!$X$5:$X$204,0)+4,"")))</f>
        <v/>
      </c>
      <c r="P76" s="39" t="str">
        <f>IF(COUNTIF(ERP导入清单!$X$5:$X$204,72)=0,"",INDEX(ERP导入清单!P:P,IFERROR(MATCH(72,ERP导入清单!$X$5:$X$204,0)+4,"")))</f>
        <v/>
      </c>
      <c r="Q76" s="39" t="str">
        <f>IF(COUNTIF(ERP导入清单!$X$5:$X$204,72)=0,"",INDEX(ERP导入清单!Q:Q,IFERROR(MATCH(72,ERP导入清单!$X$5:$X$204,0)+4,"")))</f>
        <v/>
      </c>
      <c r="R76" s="59" t="str">
        <f>IF(COUNTIF(ERP导入清单!$X$5:$X$204,72)=0,"",INDEX(ERP导入清单!R:R,IFERROR(MATCH(72,ERP导入清单!$X$5:$X$204,0)+4,"")))</f>
        <v/>
      </c>
      <c r="S76" s="37" t="str">
        <f>IF(COUNTIF(ERP导入清单!$X$5:$X$204,72)=0,"",INDEX(ERP导入清单!S:S,IFERROR(MATCH(72,ERP导入清单!$X$5:$X$204,0)+4,"")))</f>
        <v/>
      </c>
      <c r="T76" s="37" t="str">
        <f>IF(COUNTIF(ERP导入清单!$X$5:$X$204,72)=0,"",INDEX(ERP导入清单!T:T,IFERROR(MATCH(72,ERP导入清单!$X$5:$X$204,0)+4,"")))</f>
        <v/>
      </c>
      <c r="U76" s="37" t="str">
        <f>IF(COUNTIF(ERP导入清单!$X$5:$X$204,72)=0,"",INDEX(ERP导入清单!U:U,IFERROR(MATCH(72,ERP导入清单!$X$5:$X$204,0)+4,"")))</f>
        <v/>
      </c>
      <c r="V76" s="38" t="str">
        <f>IF(COUNTIF(ERP导入清单!$X$5:$X$204,72)=0,"",INDEX(ERP导入清单!V:V,IFERROR(MATCH(72,ERP导入清单!$X$5:$X$204,0)+4,"")))</f>
        <v/>
      </c>
      <c r="W76" s="50" t="str">
        <f>IF(COUNTIF(ERP导入清单!$X$5:$X$204,72)=0,"",INDEX(ERP导入清单!W:W,IFERROR(MATCH(72,ERP导入清单!$X$5:$X$204,0)+4,"")))</f>
        <v/>
      </c>
    </row>
    <row r="77" spans="1:23" ht="24" customHeight="1">
      <c r="A77" s="55" t="str">
        <f>IF(COUNTIF(ERP导入清单!$X$5:$X$204,73)=0,"",INDEX(ERP导入清单!A:A,IFERROR(MATCH(73,ERP导入清单!$X$5:$X$204,0)+4,"")))</f>
        <v/>
      </c>
      <c r="B77" s="37" t="str">
        <f>IF(COUNTIF(ERP导入清单!$X$5:$X$204,73)=0,"",INDEX(ERP导入清单!B:B,IFERROR(MATCH(73,ERP导入清单!$X$5:$X$204,0)+4,"")))</f>
        <v/>
      </c>
      <c r="C77" s="38" t="str">
        <f>IF(COUNTIF(ERP导入清单!$X$5:$X$204,73)=0,"",INDEX(ERP导入清单!C:C,IFERROR(MATCH(73,ERP导入清单!$X$5:$X$204,0)+4,"")))</f>
        <v/>
      </c>
      <c r="D77" s="37" t="str">
        <f>IF(COUNTIF(ERP导入清单!$X$5:$X$204,73)=0,"",INDEX(ERP导入清单!D:D,IFERROR(MATCH(73,ERP导入清单!$X$5:$X$204,0)+4,"")))</f>
        <v/>
      </c>
      <c r="E77" s="37" t="str">
        <f>IF(COUNTIF(ERP导入清单!$X$5:$X$204,73)=0,"",INDEX(ERP导入清单!E:E,IFERROR(MATCH(73,ERP导入清单!$X$5:$X$204,0)+4,"")))</f>
        <v/>
      </c>
      <c r="F77" s="37" t="str">
        <f>IF(COUNTIF(ERP导入清单!$X$5:$X$204,73)=0,"",INDEX(ERP导入清单!F:F,IFERROR(MATCH(73,ERP导入清单!$X$5:$X$204,0)+4,"")))</f>
        <v/>
      </c>
      <c r="G77" s="57" t="str">
        <f>IF(COUNTIF(ERP导入清单!$X$5:$X$204,73)=0,"",INDEX(ERP导入清单!G:G,IFERROR(MATCH(73,ERP导入清单!$X$5:$X$204,0)+4,"")))</f>
        <v/>
      </c>
      <c r="H77" s="37" t="str">
        <f>IF(COUNTIF(ERP导入清单!$X$5:$X$204,73)=0,"",INDEX(ERP导入清单!H:H,IFERROR(MATCH(73,ERP导入清单!$X$5:$X$204,0)+4,"")))</f>
        <v/>
      </c>
      <c r="I77" s="57" t="str">
        <f>IF(COUNTIF(ERP导入清单!$X$5:$X$204,73)=0,"",INDEX(ERP导入清单!I:I,IFERROR(MATCH(73,ERP导入清单!$X$5:$X$204,0)+4,"")))</f>
        <v/>
      </c>
      <c r="J77" s="57" t="str">
        <f>IF(COUNTIF(ERP导入清单!$X$5:$X$204,73)=0,"",INDEX(ERP导入清单!J:J,IFERROR(MATCH(73,ERP导入清单!$X$5:$X$204,0)+4,"")))</f>
        <v/>
      </c>
      <c r="K77" s="37" t="str">
        <f>IF(COUNTIF(ERP导入清单!$X$5:$X$204,73)=0,"",INDEX(ERP导入清单!K:K,IFERROR(MATCH(73,ERP导入清单!$X$5:$X$204,0)+4,"")))</f>
        <v/>
      </c>
      <c r="L77" s="37" t="str">
        <f>IF(COUNTIF(ERP导入清单!$X$5:$X$204,73)=0,"",INDEX(ERP导入清单!L:L,IFERROR(MATCH(73,ERP导入清单!$X$5:$X$204,0)+4,"")))</f>
        <v/>
      </c>
      <c r="M77" s="37" t="str">
        <f>IF(COUNTIF(ERP导入清单!$X$5:$X$204,73)=0,"",INDEX(ERP导入清单!M:M,IFERROR(MATCH(73,ERP导入清单!$X$5:$X$204,0)+4,"")))</f>
        <v/>
      </c>
      <c r="N77" s="37" t="str">
        <f>IF(COUNTIF(ERP导入清单!$X$5:$X$204,73)=0,"",INDEX(ERP导入清单!N:N,IFERROR(MATCH(73,ERP导入清单!$X$5:$X$204,0)+4,"")))</f>
        <v/>
      </c>
      <c r="O77" s="37" t="str">
        <f>IF(COUNTIF(ERP导入清单!$X$5:$X$204,73)=0,"",INDEX(ERP导入清单!O:O,IFERROR(MATCH(73,ERP导入清单!$X$5:$X$204,0)+4,"")))</f>
        <v/>
      </c>
      <c r="P77" s="39" t="str">
        <f>IF(COUNTIF(ERP导入清单!$X$5:$X$204,73)=0,"",INDEX(ERP导入清单!P:P,IFERROR(MATCH(73,ERP导入清单!$X$5:$X$204,0)+4,"")))</f>
        <v/>
      </c>
      <c r="Q77" s="39" t="str">
        <f>IF(COUNTIF(ERP导入清单!$X$5:$X$204,73)=0,"",INDEX(ERP导入清单!Q:Q,IFERROR(MATCH(73,ERP导入清单!$X$5:$X$204,0)+4,"")))</f>
        <v/>
      </c>
      <c r="R77" s="59" t="str">
        <f>IF(COUNTIF(ERP导入清单!$X$5:$X$204,73)=0,"",INDEX(ERP导入清单!R:R,IFERROR(MATCH(73,ERP导入清单!$X$5:$X$204,0)+4,"")))</f>
        <v/>
      </c>
      <c r="S77" s="37" t="str">
        <f>IF(COUNTIF(ERP导入清单!$X$5:$X$204,73)=0,"",INDEX(ERP导入清单!S:S,IFERROR(MATCH(73,ERP导入清单!$X$5:$X$204,0)+4,"")))</f>
        <v/>
      </c>
      <c r="T77" s="37" t="str">
        <f>IF(COUNTIF(ERP导入清单!$X$5:$X$204,73)=0,"",INDEX(ERP导入清单!T:T,IFERROR(MATCH(73,ERP导入清单!$X$5:$X$204,0)+4,"")))</f>
        <v/>
      </c>
      <c r="U77" s="37" t="str">
        <f>IF(COUNTIF(ERP导入清单!$X$5:$X$204,73)=0,"",INDEX(ERP导入清单!U:U,IFERROR(MATCH(73,ERP导入清单!$X$5:$X$204,0)+4,"")))</f>
        <v/>
      </c>
      <c r="V77" s="38" t="str">
        <f>IF(COUNTIF(ERP导入清单!$X$5:$X$204,73)=0,"",INDEX(ERP导入清单!V:V,IFERROR(MATCH(73,ERP导入清单!$X$5:$X$204,0)+4,"")))</f>
        <v/>
      </c>
      <c r="W77" s="50" t="str">
        <f>IF(COUNTIF(ERP导入清单!$X$5:$X$204,73)=0,"",INDEX(ERP导入清单!W:W,IFERROR(MATCH(73,ERP导入清单!$X$5:$X$204,0)+4,"")))</f>
        <v/>
      </c>
    </row>
    <row r="78" spans="1:23" ht="24" customHeight="1">
      <c r="A78" s="55" t="str">
        <f>IF(COUNTIF(ERP导入清单!$X$5:$X$204,74)=0,"",INDEX(ERP导入清单!A:A,IFERROR(MATCH(74,ERP导入清单!$X$5:$X$204,0)+4,"")))</f>
        <v/>
      </c>
      <c r="B78" s="37" t="str">
        <f>IF(COUNTIF(ERP导入清单!$X$5:$X$204,74)=0,"",INDEX(ERP导入清单!B:B,IFERROR(MATCH(74,ERP导入清单!$X$5:$X$204,0)+4,"")))</f>
        <v/>
      </c>
      <c r="C78" s="38" t="str">
        <f>IF(COUNTIF(ERP导入清单!$X$5:$X$204,74)=0,"",INDEX(ERP导入清单!C:C,IFERROR(MATCH(74,ERP导入清单!$X$5:$X$204,0)+4,"")))</f>
        <v/>
      </c>
      <c r="D78" s="37" t="str">
        <f>IF(COUNTIF(ERP导入清单!$X$5:$X$204,74)=0,"",INDEX(ERP导入清单!D:D,IFERROR(MATCH(74,ERP导入清单!$X$5:$X$204,0)+4,"")))</f>
        <v/>
      </c>
      <c r="E78" s="37" t="str">
        <f>IF(COUNTIF(ERP导入清单!$X$5:$X$204,74)=0,"",INDEX(ERP导入清单!E:E,IFERROR(MATCH(74,ERP导入清单!$X$5:$X$204,0)+4,"")))</f>
        <v/>
      </c>
      <c r="F78" s="37" t="str">
        <f>IF(COUNTIF(ERP导入清单!$X$5:$X$204,74)=0,"",INDEX(ERP导入清单!F:F,IFERROR(MATCH(74,ERP导入清单!$X$5:$X$204,0)+4,"")))</f>
        <v/>
      </c>
      <c r="G78" s="57" t="str">
        <f>IF(COUNTIF(ERP导入清单!$X$5:$X$204,74)=0,"",INDEX(ERP导入清单!G:G,IFERROR(MATCH(74,ERP导入清单!$X$5:$X$204,0)+4,"")))</f>
        <v/>
      </c>
      <c r="H78" s="37" t="str">
        <f>IF(COUNTIF(ERP导入清单!$X$5:$X$204,74)=0,"",INDEX(ERP导入清单!H:H,IFERROR(MATCH(74,ERP导入清单!$X$5:$X$204,0)+4,"")))</f>
        <v/>
      </c>
      <c r="I78" s="57" t="str">
        <f>IF(COUNTIF(ERP导入清单!$X$5:$X$204,74)=0,"",INDEX(ERP导入清单!I:I,IFERROR(MATCH(74,ERP导入清单!$X$5:$X$204,0)+4,"")))</f>
        <v/>
      </c>
      <c r="J78" s="57" t="str">
        <f>IF(COUNTIF(ERP导入清单!$X$5:$X$204,74)=0,"",INDEX(ERP导入清单!J:J,IFERROR(MATCH(74,ERP导入清单!$X$5:$X$204,0)+4,"")))</f>
        <v/>
      </c>
      <c r="K78" s="37" t="str">
        <f>IF(COUNTIF(ERP导入清单!$X$5:$X$204,74)=0,"",INDEX(ERP导入清单!K:K,IFERROR(MATCH(74,ERP导入清单!$X$5:$X$204,0)+4,"")))</f>
        <v/>
      </c>
      <c r="L78" s="37" t="str">
        <f>IF(COUNTIF(ERP导入清单!$X$5:$X$204,74)=0,"",INDEX(ERP导入清单!L:L,IFERROR(MATCH(74,ERP导入清单!$X$5:$X$204,0)+4,"")))</f>
        <v/>
      </c>
      <c r="M78" s="37" t="str">
        <f>IF(COUNTIF(ERP导入清单!$X$5:$X$204,74)=0,"",INDEX(ERP导入清单!M:M,IFERROR(MATCH(74,ERP导入清单!$X$5:$X$204,0)+4,"")))</f>
        <v/>
      </c>
      <c r="N78" s="37" t="str">
        <f>IF(COUNTIF(ERP导入清单!$X$5:$X$204,74)=0,"",INDEX(ERP导入清单!N:N,IFERROR(MATCH(74,ERP导入清单!$X$5:$X$204,0)+4,"")))</f>
        <v/>
      </c>
      <c r="O78" s="37" t="str">
        <f>IF(COUNTIF(ERP导入清单!$X$5:$X$204,74)=0,"",INDEX(ERP导入清单!O:O,IFERROR(MATCH(74,ERP导入清单!$X$5:$X$204,0)+4,"")))</f>
        <v/>
      </c>
      <c r="P78" s="39" t="str">
        <f>IF(COUNTIF(ERP导入清单!$X$5:$X$204,74)=0,"",INDEX(ERP导入清单!P:P,IFERROR(MATCH(74,ERP导入清单!$X$5:$X$204,0)+4,"")))</f>
        <v/>
      </c>
      <c r="Q78" s="39" t="str">
        <f>IF(COUNTIF(ERP导入清单!$X$5:$X$204,74)=0,"",INDEX(ERP导入清单!Q:Q,IFERROR(MATCH(74,ERP导入清单!$X$5:$X$204,0)+4,"")))</f>
        <v/>
      </c>
      <c r="R78" s="59" t="str">
        <f>IF(COUNTIF(ERP导入清单!$X$5:$X$204,74)=0,"",INDEX(ERP导入清单!R:R,IFERROR(MATCH(74,ERP导入清单!$X$5:$X$204,0)+4,"")))</f>
        <v/>
      </c>
      <c r="S78" s="37" t="str">
        <f>IF(COUNTIF(ERP导入清单!$X$5:$X$204,74)=0,"",INDEX(ERP导入清单!S:S,IFERROR(MATCH(74,ERP导入清单!$X$5:$X$204,0)+4,"")))</f>
        <v/>
      </c>
      <c r="T78" s="37" t="str">
        <f>IF(COUNTIF(ERP导入清单!$X$5:$X$204,74)=0,"",INDEX(ERP导入清单!T:T,IFERROR(MATCH(74,ERP导入清单!$X$5:$X$204,0)+4,"")))</f>
        <v/>
      </c>
      <c r="U78" s="37" t="str">
        <f>IF(COUNTIF(ERP导入清单!$X$5:$X$204,74)=0,"",INDEX(ERP导入清单!U:U,IFERROR(MATCH(74,ERP导入清单!$X$5:$X$204,0)+4,"")))</f>
        <v/>
      </c>
      <c r="V78" s="38" t="str">
        <f>IF(COUNTIF(ERP导入清单!$X$5:$X$204,74)=0,"",INDEX(ERP导入清单!V:V,IFERROR(MATCH(74,ERP导入清单!$X$5:$X$204,0)+4,"")))</f>
        <v/>
      </c>
      <c r="W78" s="50" t="str">
        <f>IF(COUNTIF(ERP导入清单!$X$5:$X$204,74)=0,"",INDEX(ERP导入清单!W:W,IFERROR(MATCH(74,ERP导入清单!$X$5:$X$204,0)+4,"")))</f>
        <v/>
      </c>
    </row>
    <row r="79" spans="1:23" ht="24" customHeight="1">
      <c r="A79" s="55" t="str">
        <f>IF(COUNTIF(ERP导入清单!$X$5:$X$204,75)=0,"",INDEX(ERP导入清单!A:A,IFERROR(MATCH(75,ERP导入清单!$X$5:$X$204,0)+4,"")))</f>
        <v/>
      </c>
      <c r="B79" s="37" t="str">
        <f>IF(COUNTIF(ERP导入清单!$X$5:$X$204,75)=0,"",INDEX(ERP导入清单!B:B,IFERROR(MATCH(75,ERP导入清单!$X$5:$X$204,0)+4,"")))</f>
        <v/>
      </c>
      <c r="C79" s="38" t="str">
        <f>IF(COUNTIF(ERP导入清单!$X$5:$X$204,75)=0,"",INDEX(ERP导入清单!C:C,IFERROR(MATCH(75,ERP导入清单!$X$5:$X$204,0)+4,"")))</f>
        <v/>
      </c>
      <c r="D79" s="37" t="str">
        <f>IF(COUNTIF(ERP导入清单!$X$5:$X$204,75)=0,"",INDEX(ERP导入清单!D:D,IFERROR(MATCH(75,ERP导入清单!$X$5:$X$204,0)+4,"")))</f>
        <v/>
      </c>
      <c r="E79" s="37" t="str">
        <f>IF(COUNTIF(ERP导入清单!$X$5:$X$204,75)=0,"",INDEX(ERP导入清单!E:E,IFERROR(MATCH(75,ERP导入清单!$X$5:$X$204,0)+4,"")))</f>
        <v/>
      </c>
      <c r="F79" s="37" t="str">
        <f>IF(COUNTIF(ERP导入清单!$X$5:$X$204,75)=0,"",INDEX(ERP导入清单!F:F,IFERROR(MATCH(75,ERP导入清单!$X$5:$X$204,0)+4,"")))</f>
        <v/>
      </c>
      <c r="G79" s="57" t="str">
        <f>IF(COUNTIF(ERP导入清单!$X$5:$X$204,75)=0,"",INDEX(ERP导入清单!G:G,IFERROR(MATCH(75,ERP导入清单!$X$5:$X$204,0)+4,"")))</f>
        <v/>
      </c>
      <c r="H79" s="37" t="str">
        <f>IF(COUNTIF(ERP导入清单!$X$5:$X$204,75)=0,"",INDEX(ERP导入清单!H:H,IFERROR(MATCH(75,ERP导入清单!$X$5:$X$204,0)+4,"")))</f>
        <v/>
      </c>
      <c r="I79" s="57" t="str">
        <f>IF(COUNTIF(ERP导入清单!$X$5:$X$204,75)=0,"",INDEX(ERP导入清单!I:I,IFERROR(MATCH(75,ERP导入清单!$X$5:$X$204,0)+4,"")))</f>
        <v/>
      </c>
      <c r="J79" s="57" t="str">
        <f>IF(COUNTIF(ERP导入清单!$X$5:$X$204,75)=0,"",INDEX(ERP导入清单!J:J,IFERROR(MATCH(75,ERP导入清单!$X$5:$X$204,0)+4,"")))</f>
        <v/>
      </c>
      <c r="K79" s="37" t="str">
        <f>IF(COUNTIF(ERP导入清单!$X$5:$X$204,75)=0,"",INDEX(ERP导入清单!K:K,IFERROR(MATCH(75,ERP导入清单!$X$5:$X$204,0)+4,"")))</f>
        <v/>
      </c>
      <c r="L79" s="37" t="str">
        <f>IF(COUNTIF(ERP导入清单!$X$5:$X$204,75)=0,"",INDEX(ERP导入清单!L:L,IFERROR(MATCH(75,ERP导入清单!$X$5:$X$204,0)+4,"")))</f>
        <v/>
      </c>
      <c r="M79" s="37" t="str">
        <f>IF(COUNTIF(ERP导入清单!$X$5:$X$204,75)=0,"",INDEX(ERP导入清单!M:M,IFERROR(MATCH(75,ERP导入清单!$X$5:$X$204,0)+4,"")))</f>
        <v/>
      </c>
      <c r="N79" s="37" t="str">
        <f>IF(COUNTIF(ERP导入清单!$X$5:$X$204,75)=0,"",INDEX(ERP导入清单!N:N,IFERROR(MATCH(75,ERP导入清单!$X$5:$X$204,0)+4,"")))</f>
        <v/>
      </c>
      <c r="O79" s="37" t="str">
        <f>IF(COUNTIF(ERP导入清单!$X$5:$X$204,75)=0,"",INDEX(ERP导入清单!O:O,IFERROR(MATCH(75,ERP导入清单!$X$5:$X$204,0)+4,"")))</f>
        <v/>
      </c>
      <c r="P79" s="39" t="str">
        <f>IF(COUNTIF(ERP导入清单!$X$5:$X$204,75)=0,"",INDEX(ERP导入清单!P:P,IFERROR(MATCH(75,ERP导入清单!$X$5:$X$204,0)+4,"")))</f>
        <v/>
      </c>
      <c r="Q79" s="39" t="str">
        <f>IF(COUNTIF(ERP导入清单!$X$5:$X$204,75)=0,"",INDEX(ERP导入清单!Q:Q,IFERROR(MATCH(75,ERP导入清单!$X$5:$X$204,0)+4,"")))</f>
        <v/>
      </c>
      <c r="R79" s="59" t="str">
        <f>IF(COUNTIF(ERP导入清单!$X$5:$X$204,75)=0,"",INDEX(ERP导入清单!R:R,IFERROR(MATCH(75,ERP导入清单!$X$5:$X$204,0)+4,"")))</f>
        <v/>
      </c>
      <c r="S79" s="37" t="str">
        <f>IF(COUNTIF(ERP导入清单!$X$5:$X$204,75)=0,"",INDEX(ERP导入清单!S:S,IFERROR(MATCH(75,ERP导入清单!$X$5:$X$204,0)+4,"")))</f>
        <v/>
      </c>
      <c r="T79" s="37" t="str">
        <f>IF(COUNTIF(ERP导入清单!$X$5:$X$204,75)=0,"",INDEX(ERP导入清单!T:T,IFERROR(MATCH(75,ERP导入清单!$X$5:$X$204,0)+4,"")))</f>
        <v/>
      </c>
      <c r="U79" s="37" t="str">
        <f>IF(COUNTIF(ERP导入清单!$X$5:$X$204,75)=0,"",INDEX(ERP导入清单!U:U,IFERROR(MATCH(75,ERP导入清单!$X$5:$X$204,0)+4,"")))</f>
        <v/>
      </c>
      <c r="V79" s="38" t="str">
        <f>IF(COUNTIF(ERP导入清单!$X$5:$X$204,75)=0,"",INDEX(ERP导入清单!V:V,IFERROR(MATCH(75,ERP导入清单!$X$5:$X$204,0)+4,"")))</f>
        <v/>
      </c>
      <c r="W79" s="50" t="str">
        <f>IF(COUNTIF(ERP导入清单!$X$5:$X$204,75)=0,"",INDEX(ERP导入清单!W:W,IFERROR(MATCH(75,ERP导入清单!$X$5:$X$204,0)+4,"")))</f>
        <v/>
      </c>
    </row>
    <row r="80" spans="1:23" ht="24" customHeight="1">
      <c r="A80" s="55" t="str">
        <f>IF(COUNTIF(ERP导入清单!$X$5:$X$204,76)=0,"",INDEX(ERP导入清单!A:A,IFERROR(MATCH(76,ERP导入清单!$X$5:$X$204,0)+4,"")))</f>
        <v/>
      </c>
      <c r="B80" s="37" t="str">
        <f>IF(COUNTIF(ERP导入清单!$X$5:$X$204,76)=0,"",INDEX(ERP导入清单!B:B,IFERROR(MATCH(76,ERP导入清单!$X$5:$X$204,0)+4,"")))</f>
        <v/>
      </c>
      <c r="C80" s="38" t="str">
        <f>IF(COUNTIF(ERP导入清单!$X$5:$X$204,76)=0,"",INDEX(ERP导入清单!C:C,IFERROR(MATCH(76,ERP导入清单!$X$5:$X$204,0)+4,"")))</f>
        <v/>
      </c>
      <c r="D80" s="37" t="str">
        <f>IF(COUNTIF(ERP导入清单!$X$5:$X$204,76)=0,"",INDEX(ERP导入清单!D:D,IFERROR(MATCH(76,ERP导入清单!$X$5:$X$204,0)+4,"")))</f>
        <v/>
      </c>
      <c r="E80" s="37" t="str">
        <f>IF(COUNTIF(ERP导入清单!$X$5:$X$204,76)=0,"",INDEX(ERP导入清单!E:E,IFERROR(MATCH(76,ERP导入清单!$X$5:$X$204,0)+4,"")))</f>
        <v/>
      </c>
      <c r="F80" s="37" t="str">
        <f>IF(COUNTIF(ERP导入清单!$X$5:$X$204,76)=0,"",INDEX(ERP导入清单!F:F,IFERROR(MATCH(76,ERP导入清单!$X$5:$X$204,0)+4,"")))</f>
        <v/>
      </c>
      <c r="G80" s="57" t="str">
        <f>IF(COUNTIF(ERP导入清单!$X$5:$X$204,76)=0,"",INDEX(ERP导入清单!G:G,IFERROR(MATCH(76,ERP导入清单!$X$5:$X$204,0)+4,"")))</f>
        <v/>
      </c>
      <c r="H80" s="37" t="str">
        <f>IF(COUNTIF(ERP导入清单!$X$5:$X$204,76)=0,"",INDEX(ERP导入清单!H:H,IFERROR(MATCH(76,ERP导入清单!$X$5:$X$204,0)+4,"")))</f>
        <v/>
      </c>
      <c r="I80" s="57" t="str">
        <f>IF(COUNTIF(ERP导入清单!$X$5:$X$204,76)=0,"",INDEX(ERP导入清单!I:I,IFERROR(MATCH(76,ERP导入清单!$X$5:$X$204,0)+4,"")))</f>
        <v/>
      </c>
      <c r="J80" s="57" t="str">
        <f>IF(COUNTIF(ERP导入清单!$X$5:$X$204,76)=0,"",INDEX(ERP导入清单!J:J,IFERROR(MATCH(76,ERP导入清单!$X$5:$X$204,0)+4,"")))</f>
        <v/>
      </c>
      <c r="K80" s="37" t="str">
        <f>IF(COUNTIF(ERP导入清单!$X$5:$X$204,76)=0,"",INDEX(ERP导入清单!K:K,IFERROR(MATCH(76,ERP导入清单!$X$5:$X$204,0)+4,"")))</f>
        <v/>
      </c>
      <c r="L80" s="37" t="str">
        <f>IF(COUNTIF(ERP导入清单!$X$5:$X$204,76)=0,"",INDEX(ERP导入清单!L:L,IFERROR(MATCH(76,ERP导入清单!$X$5:$X$204,0)+4,"")))</f>
        <v/>
      </c>
      <c r="M80" s="37" t="str">
        <f>IF(COUNTIF(ERP导入清单!$X$5:$X$204,76)=0,"",INDEX(ERP导入清单!M:M,IFERROR(MATCH(76,ERP导入清单!$X$5:$X$204,0)+4,"")))</f>
        <v/>
      </c>
      <c r="N80" s="37" t="str">
        <f>IF(COUNTIF(ERP导入清单!$X$5:$X$204,76)=0,"",INDEX(ERP导入清单!N:N,IFERROR(MATCH(76,ERP导入清单!$X$5:$X$204,0)+4,"")))</f>
        <v/>
      </c>
      <c r="O80" s="37" t="str">
        <f>IF(COUNTIF(ERP导入清单!$X$5:$X$204,76)=0,"",INDEX(ERP导入清单!O:O,IFERROR(MATCH(76,ERP导入清单!$X$5:$X$204,0)+4,"")))</f>
        <v/>
      </c>
      <c r="P80" s="39" t="str">
        <f>IF(COUNTIF(ERP导入清单!$X$5:$X$204,76)=0,"",INDEX(ERP导入清单!P:P,IFERROR(MATCH(76,ERP导入清单!$X$5:$X$204,0)+4,"")))</f>
        <v/>
      </c>
      <c r="Q80" s="39" t="str">
        <f>IF(COUNTIF(ERP导入清单!$X$5:$X$204,76)=0,"",INDEX(ERP导入清单!Q:Q,IFERROR(MATCH(76,ERP导入清单!$X$5:$X$204,0)+4,"")))</f>
        <v/>
      </c>
      <c r="R80" s="59" t="str">
        <f>IF(COUNTIF(ERP导入清单!$X$5:$X$204,76)=0,"",INDEX(ERP导入清单!R:R,IFERROR(MATCH(76,ERP导入清单!$X$5:$X$204,0)+4,"")))</f>
        <v/>
      </c>
      <c r="S80" s="37" t="str">
        <f>IF(COUNTIF(ERP导入清单!$X$5:$X$204,76)=0,"",INDEX(ERP导入清单!S:S,IFERROR(MATCH(76,ERP导入清单!$X$5:$X$204,0)+4,"")))</f>
        <v/>
      </c>
      <c r="T80" s="37" t="str">
        <f>IF(COUNTIF(ERP导入清单!$X$5:$X$204,76)=0,"",INDEX(ERP导入清单!T:T,IFERROR(MATCH(76,ERP导入清单!$X$5:$X$204,0)+4,"")))</f>
        <v/>
      </c>
      <c r="U80" s="37" t="str">
        <f>IF(COUNTIF(ERP导入清单!$X$5:$X$204,76)=0,"",INDEX(ERP导入清单!U:U,IFERROR(MATCH(76,ERP导入清单!$X$5:$X$204,0)+4,"")))</f>
        <v/>
      </c>
      <c r="V80" s="38" t="str">
        <f>IF(COUNTIF(ERP导入清单!$X$5:$X$204,76)=0,"",INDEX(ERP导入清单!V:V,IFERROR(MATCH(76,ERP导入清单!$X$5:$X$204,0)+4,"")))</f>
        <v/>
      </c>
      <c r="W80" s="50" t="str">
        <f>IF(COUNTIF(ERP导入清单!$X$5:$X$204,76)=0,"",INDEX(ERP导入清单!W:W,IFERROR(MATCH(76,ERP导入清单!$X$5:$X$204,0)+4,"")))</f>
        <v/>
      </c>
    </row>
    <row r="81" spans="1:23" ht="24" customHeight="1">
      <c r="A81" s="55" t="str">
        <f>IF(COUNTIF(ERP导入清单!$X$5:$X$204,77)=0,"",INDEX(ERP导入清单!A:A,IFERROR(MATCH(77,ERP导入清单!$X$5:$X$204,0)+4,"")))</f>
        <v/>
      </c>
      <c r="B81" s="37" t="str">
        <f>IF(COUNTIF(ERP导入清单!$X$5:$X$204,77)=0,"",INDEX(ERP导入清单!B:B,IFERROR(MATCH(77,ERP导入清单!$X$5:$X$204,0)+4,"")))</f>
        <v/>
      </c>
      <c r="C81" s="38" t="str">
        <f>IF(COUNTIF(ERP导入清单!$X$5:$X$204,77)=0,"",INDEX(ERP导入清单!C:C,IFERROR(MATCH(77,ERP导入清单!$X$5:$X$204,0)+4,"")))</f>
        <v/>
      </c>
      <c r="D81" s="37" t="str">
        <f>IF(COUNTIF(ERP导入清单!$X$5:$X$204,77)=0,"",INDEX(ERP导入清单!D:D,IFERROR(MATCH(77,ERP导入清单!$X$5:$X$204,0)+4,"")))</f>
        <v/>
      </c>
      <c r="E81" s="37" t="str">
        <f>IF(COUNTIF(ERP导入清单!$X$5:$X$204,77)=0,"",INDEX(ERP导入清单!E:E,IFERROR(MATCH(77,ERP导入清单!$X$5:$X$204,0)+4,"")))</f>
        <v/>
      </c>
      <c r="F81" s="37" t="str">
        <f>IF(COUNTIF(ERP导入清单!$X$5:$X$204,77)=0,"",INDEX(ERP导入清单!F:F,IFERROR(MATCH(77,ERP导入清单!$X$5:$X$204,0)+4,"")))</f>
        <v/>
      </c>
      <c r="G81" s="57" t="str">
        <f>IF(COUNTIF(ERP导入清单!$X$5:$X$204,77)=0,"",INDEX(ERP导入清单!G:G,IFERROR(MATCH(77,ERP导入清单!$X$5:$X$204,0)+4,"")))</f>
        <v/>
      </c>
      <c r="H81" s="37" t="str">
        <f>IF(COUNTIF(ERP导入清单!$X$5:$X$204,77)=0,"",INDEX(ERP导入清单!H:H,IFERROR(MATCH(77,ERP导入清单!$X$5:$X$204,0)+4,"")))</f>
        <v/>
      </c>
      <c r="I81" s="57" t="str">
        <f>IF(COUNTIF(ERP导入清单!$X$5:$X$204,77)=0,"",INDEX(ERP导入清单!I:I,IFERROR(MATCH(77,ERP导入清单!$X$5:$X$204,0)+4,"")))</f>
        <v/>
      </c>
      <c r="J81" s="57" t="str">
        <f>IF(COUNTIF(ERP导入清单!$X$5:$X$204,77)=0,"",INDEX(ERP导入清单!J:J,IFERROR(MATCH(77,ERP导入清单!$X$5:$X$204,0)+4,"")))</f>
        <v/>
      </c>
      <c r="K81" s="37" t="str">
        <f>IF(COUNTIF(ERP导入清单!$X$5:$X$204,77)=0,"",INDEX(ERP导入清单!K:K,IFERROR(MATCH(77,ERP导入清单!$X$5:$X$204,0)+4,"")))</f>
        <v/>
      </c>
      <c r="L81" s="37" t="str">
        <f>IF(COUNTIF(ERP导入清单!$X$5:$X$204,77)=0,"",INDEX(ERP导入清单!L:L,IFERROR(MATCH(77,ERP导入清单!$X$5:$X$204,0)+4,"")))</f>
        <v/>
      </c>
      <c r="M81" s="37" t="str">
        <f>IF(COUNTIF(ERP导入清单!$X$5:$X$204,77)=0,"",INDEX(ERP导入清单!M:M,IFERROR(MATCH(77,ERP导入清单!$X$5:$X$204,0)+4,"")))</f>
        <v/>
      </c>
      <c r="N81" s="37" t="str">
        <f>IF(COUNTIF(ERP导入清单!$X$5:$X$204,77)=0,"",INDEX(ERP导入清单!N:N,IFERROR(MATCH(77,ERP导入清单!$X$5:$X$204,0)+4,"")))</f>
        <v/>
      </c>
      <c r="O81" s="37" t="str">
        <f>IF(COUNTIF(ERP导入清单!$X$5:$X$204,77)=0,"",INDEX(ERP导入清单!O:O,IFERROR(MATCH(77,ERP导入清单!$X$5:$X$204,0)+4,"")))</f>
        <v/>
      </c>
      <c r="P81" s="39" t="str">
        <f>IF(COUNTIF(ERP导入清单!$X$5:$X$204,77)=0,"",INDEX(ERP导入清单!P:P,IFERROR(MATCH(77,ERP导入清单!$X$5:$X$204,0)+4,"")))</f>
        <v/>
      </c>
      <c r="Q81" s="39" t="str">
        <f>IF(COUNTIF(ERP导入清单!$X$5:$X$204,77)=0,"",INDEX(ERP导入清单!Q:Q,IFERROR(MATCH(77,ERP导入清单!$X$5:$X$204,0)+4,"")))</f>
        <v/>
      </c>
      <c r="R81" s="59" t="str">
        <f>IF(COUNTIF(ERP导入清单!$X$5:$X$204,77)=0,"",INDEX(ERP导入清单!R:R,IFERROR(MATCH(77,ERP导入清单!$X$5:$X$204,0)+4,"")))</f>
        <v/>
      </c>
      <c r="S81" s="37" t="str">
        <f>IF(COUNTIF(ERP导入清单!$X$5:$X$204,77)=0,"",INDEX(ERP导入清单!S:S,IFERROR(MATCH(77,ERP导入清单!$X$5:$X$204,0)+4,"")))</f>
        <v/>
      </c>
      <c r="T81" s="37" t="str">
        <f>IF(COUNTIF(ERP导入清单!$X$5:$X$204,77)=0,"",INDEX(ERP导入清单!T:T,IFERROR(MATCH(77,ERP导入清单!$X$5:$X$204,0)+4,"")))</f>
        <v/>
      </c>
      <c r="U81" s="37" t="str">
        <f>IF(COUNTIF(ERP导入清单!$X$5:$X$204,77)=0,"",INDEX(ERP导入清单!U:U,IFERROR(MATCH(77,ERP导入清单!$X$5:$X$204,0)+4,"")))</f>
        <v/>
      </c>
      <c r="V81" s="38" t="str">
        <f>IF(COUNTIF(ERP导入清单!$X$5:$X$204,77)=0,"",INDEX(ERP导入清单!V:V,IFERROR(MATCH(77,ERP导入清单!$X$5:$X$204,0)+4,"")))</f>
        <v/>
      </c>
      <c r="W81" s="50" t="str">
        <f>IF(COUNTIF(ERP导入清单!$X$5:$X$204,77)=0,"",INDEX(ERP导入清单!W:W,IFERROR(MATCH(77,ERP导入清单!$X$5:$X$204,0)+4,"")))</f>
        <v/>
      </c>
    </row>
    <row r="82" spans="1:23" ht="24" customHeight="1">
      <c r="A82" s="55" t="str">
        <f>IF(COUNTIF(ERP导入清单!$X$5:$X$204,78)=0,"",INDEX(ERP导入清单!A:A,IFERROR(MATCH(78,ERP导入清单!$X$5:$X$204,0)+4,"")))</f>
        <v/>
      </c>
      <c r="B82" s="37" t="str">
        <f>IF(COUNTIF(ERP导入清单!$X$5:$X$204,78)=0,"",INDEX(ERP导入清单!B:B,IFERROR(MATCH(78,ERP导入清单!$X$5:$X$204,0)+4,"")))</f>
        <v/>
      </c>
      <c r="C82" s="38" t="str">
        <f>IF(COUNTIF(ERP导入清单!$X$5:$X$204,78)=0,"",INDEX(ERP导入清单!C:C,IFERROR(MATCH(78,ERP导入清单!$X$5:$X$204,0)+4,"")))</f>
        <v/>
      </c>
      <c r="D82" s="37" t="str">
        <f>IF(COUNTIF(ERP导入清单!$X$5:$X$204,78)=0,"",INDEX(ERP导入清单!D:D,IFERROR(MATCH(78,ERP导入清单!$X$5:$X$204,0)+4,"")))</f>
        <v/>
      </c>
      <c r="E82" s="37" t="str">
        <f>IF(COUNTIF(ERP导入清单!$X$5:$X$204,78)=0,"",INDEX(ERP导入清单!E:E,IFERROR(MATCH(78,ERP导入清单!$X$5:$X$204,0)+4,"")))</f>
        <v/>
      </c>
      <c r="F82" s="37" t="str">
        <f>IF(COUNTIF(ERP导入清单!$X$5:$X$204,78)=0,"",INDEX(ERP导入清单!F:F,IFERROR(MATCH(78,ERP导入清单!$X$5:$X$204,0)+4,"")))</f>
        <v/>
      </c>
      <c r="G82" s="57" t="str">
        <f>IF(COUNTIF(ERP导入清单!$X$5:$X$204,78)=0,"",INDEX(ERP导入清单!G:G,IFERROR(MATCH(78,ERP导入清单!$X$5:$X$204,0)+4,"")))</f>
        <v/>
      </c>
      <c r="H82" s="37" t="str">
        <f>IF(COUNTIF(ERP导入清单!$X$5:$X$204,78)=0,"",INDEX(ERP导入清单!H:H,IFERROR(MATCH(78,ERP导入清单!$X$5:$X$204,0)+4,"")))</f>
        <v/>
      </c>
      <c r="I82" s="57" t="str">
        <f>IF(COUNTIF(ERP导入清单!$X$5:$X$204,78)=0,"",INDEX(ERP导入清单!I:I,IFERROR(MATCH(78,ERP导入清单!$X$5:$X$204,0)+4,"")))</f>
        <v/>
      </c>
      <c r="J82" s="57" t="str">
        <f>IF(COUNTIF(ERP导入清单!$X$5:$X$204,78)=0,"",INDEX(ERP导入清单!J:J,IFERROR(MATCH(78,ERP导入清单!$X$5:$X$204,0)+4,"")))</f>
        <v/>
      </c>
      <c r="K82" s="37" t="str">
        <f>IF(COUNTIF(ERP导入清单!$X$5:$X$204,78)=0,"",INDEX(ERP导入清单!K:K,IFERROR(MATCH(78,ERP导入清单!$X$5:$X$204,0)+4,"")))</f>
        <v/>
      </c>
      <c r="L82" s="37" t="str">
        <f>IF(COUNTIF(ERP导入清单!$X$5:$X$204,78)=0,"",INDEX(ERP导入清单!L:L,IFERROR(MATCH(78,ERP导入清单!$X$5:$X$204,0)+4,"")))</f>
        <v/>
      </c>
      <c r="M82" s="37" t="str">
        <f>IF(COUNTIF(ERP导入清单!$X$5:$X$204,78)=0,"",INDEX(ERP导入清单!M:M,IFERROR(MATCH(78,ERP导入清单!$X$5:$X$204,0)+4,"")))</f>
        <v/>
      </c>
      <c r="N82" s="37" t="str">
        <f>IF(COUNTIF(ERP导入清单!$X$5:$X$204,78)=0,"",INDEX(ERP导入清单!N:N,IFERROR(MATCH(78,ERP导入清单!$X$5:$X$204,0)+4,"")))</f>
        <v/>
      </c>
      <c r="O82" s="37" t="str">
        <f>IF(COUNTIF(ERP导入清单!$X$5:$X$204,78)=0,"",INDEX(ERP导入清单!O:O,IFERROR(MATCH(78,ERP导入清单!$X$5:$X$204,0)+4,"")))</f>
        <v/>
      </c>
      <c r="P82" s="39" t="str">
        <f>IF(COUNTIF(ERP导入清单!$X$5:$X$204,78)=0,"",INDEX(ERP导入清单!P:P,IFERROR(MATCH(78,ERP导入清单!$X$5:$X$204,0)+4,"")))</f>
        <v/>
      </c>
      <c r="Q82" s="39" t="str">
        <f>IF(COUNTIF(ERP导入清单!$X$5:$X$204,78)=0,"",INDEX(ERP导入清单!Q:Q,IFERROR(MATCH(78,ERP导入清单!$X$5:$X$204,0)+4,"")))</f>
        <v/>
      </c>
      <c r="R82" s="59" t="str">
        <f>IF(COUNTIF(ERP导入清单!$X$5:$X$204,78)=0,"",INDEX(ERP导入清单!R:R,IFERROR(MATCH(78,ERP导入清单!$X$5:$X$204,0)+4,"")))</f>
        <v/>
      </c>
      <c r="S82" s="37" t="str">
        <f>IF(COUNTIF(ERP导入清单!$X$5:$X$204,78)=0,"",INDEX(ERP导入清单!S:S,IFERROR(MATCH(78,ERP导入清单!$X$5:$X$204,0)+4,"")))</f>
        <v/>
      </c>
      <c r="T82" s="37" t="str">
        <f>IF(COUNTIF(ERP导入清单!$X$5:$X$204,78)=0,"",INDEX(ERP导入清单!T:T,IFERROR(MATCH(78,ERP导入清单!$X$5:$X$204,0)+4,"")))</f>
        <v/>
      </c>
      <c r="U82" s="37" t="str">
        <f>IF(COUNTIF(ERP导入清单!$X$5:$X$204,78)=0,"",INDEX(ERP导入清单!U:U,IFERROR(MATCH(78,ERP导入清单!$X$5:$X$204,0)+4,"")))</f>
        <v/>
      </c>
      <c r="V82" s="38" t="str">
        <f>IF(COUNTIF(ERP导入清单!$X$5:$X$204,78)=0,"",INDEX(ERP导入清单!V:V,IFERROR(MATCH(78,ERP导入清单!$X$5:$X$204,0)+4,"")))</f>
        <v/>
      </c>
      <c r="W82" s="50" t="str">
        <f>IF(COUNTIF(ERP导入清单!$X$5:$X$204,78)=0,"",INDEX(ERP导入清单!W:W,IFERROR(MATCH(78,ERP导入清单!$X$5:$X$204,0)+4,"")))</f>
        <v/>
      </c>
    </row>
    <row r="83" spans="1:23" ht="24" customHeight="1">
      <c r="A83" s="55" t="str">
        <f>IF(COUNTIF(ERP导入清单!$X$5:$X$204,79)=0,"",INDEX(ERP导入清单!A:A,IFERROR(MATCH(79,ERP导入清单!$X$5:$X$204,0)+4,"")))</f>
        <v/>
      </c>
      <c r="B83" s="37" t="str">
        <f>IF(COUNTIF(ERP导入清单!$X$5:$X$204,79)=0,"",INDEX(ERP导入清单!B:B,IFERROR(MATCH(79,ERP导入清单!$X$5:$X$204,0)+4,"")))</f>
        <v/>
      </c>
      <c r="C83" s="38" t="str">
        <f>IF(COUNTIF(ERP导入清单!$X$5:$X$204,79)=0,"",INDEX(ERP导入清单!C:C,IFERROR(MATCH(79,ERP导入清单!$X$5:$X$204,0)+4,"")))</f>
        <v/>
      </c>
      <c r="D83" s="37" t="str">
        <f>IF(COUNTIF(ERP导入清单!$X$5:$X$204,79)=0,"",INDEX(ERP导入清单!D:D,IFERROR(MATCH(79,ERP导入清单!$X$5:$X$204,0)+4,"")))</f>
        <v/>
      </c>
      <c r="E83" s="37" t="str">
        <f>IF(COUNTIF(ERP导入清单!$X$5:$X$204,79)=0,"",INDEX(ERP导入清单!E:E,IFERROR(MATCH(79,ERP导入清单!$X$5:$X$204,0)+4,"")))</f>
        <v/>
      </c>
      <c r="F83" s="37" t="str">
        <f>IF(COUNTIF(ERP导入清单!$X$5:$X$204,79)=0,"",INDEX(ERP导入清单!F:F,IFERROR(MATCH(79,ERP导入清单!$X$5:$X$204,0)+4,"")))</f>
        <v/>
      </c>
      <c r="G83" s="57" t="str">
        <f>IF(COUNTIF(ERP导入清单!$X$5:$X$204,79)=0,"",INDEX(ERP导入清单!G:G,IFERROR(MATCH(79,ERP导入清单!$X$5:$X$204,0)+4,"")))</f>
        <v/>
      </c>
      <c r="H83" s="37" t="str">
        <f>IF(COUNTIF(ERP导入清单!$X$5:$X$204,79)=0,"",INDEX(ERP导入清单!H:H,IFERROR(MATCH(79,ERP导入清单!$X$5:$X$204,0)+4,"")))</f>
        <v/>
      </c>
      <c r="I83" s="57" t="str">
        <f>IF(COUNTIF(ERP导入清单!$X$5:$X$204,79)=0,"",INDEX(ERP导入清单!I:I,IFERROR(MATCH(79,ERP导入清单!$X$5:$X$204,0)+4,"")))</f>
        <v/>
      </c>
      <c r="J83" s="57" t="str">
        <f>IF(COUNTIF(ERP导入清单!$X$5:$X$204,79)=0,"",INDEX(ERP导入清单!J:J,IFERROR(MATCH(79,ERP导入清单!$X$5:$X$204,0)+4,"")))</f>
        <v/>
      </c>
      <c r="K83" s="37" t="str">
        <f>IF(COUNTIF(ERP导入清单!$X$5:$X$204,79)=0,"",INDEX(ERP导入清单!K:K,IFERROR(MATCH(79,ERP导入清单!$X$5:$X$204,0)+4,"")))</f>
        <v/>
      </c>
      <c r="L83" s="37" t="str">
        <f>IF(COUNTIF(ERP导入清单!$X$5:$X$204,79)=0,"",INDEX(ERP导入清单!L:L,IFERROR(MATCH(79,ERP导入清单!$X$5:$X$204,0)+4,"")))</f>
        <v/>
      </c>
      <c r="M83" s="37" t="str">
        <f>IF(COUNTIF(ERP导入清单!$X$5:$X$204,79)=0,"",INDEX(ERP导入清单!M:M,IFERROR(MATCH(79,ERP导入清单!$X$5:$X$204,0)+4,"")))</f>
        <v/>
      </c>
      <c r="N83" s="37" t="str">
        <f>IF(COUNTIF(ERP导入清单!$X$5:$X$204,79)=0,"",INDEX(ERP导入清单!N:N,IFERROR(MATCH(79,ERP导入清单!$X$5:$X$204,0)+4,"")))</f>
        <v/>
      </c>
      <c r="O83" s="37" t="str">
        <f>IF(COUNTIF(ERP导入清单!$X$5:$X$204,79)=0,"",INDEX(ERP导入清单!O:O,IFERROR(MATCH(79,ERP导入清单!$X$5:$X$204,0)+4,"")))</f>
        <v/>
      </c>
      <c r="P83" s="39" t="str">
        <f>IF(COUNTIF(ERP导入清单!$X$5:$X$204,79)=0,"",INDEX(ERP导入清单!P:P,IFERROR(MATCH(79,ERP导入清单!$X$5:$X$204,0)+4,"")))</f>
        <v/>
      </c>
      <c r="Q83" s="39" t="str">
        <f>IF(COUNTIF(ERP导入清单!$X$5:$X$204,79)=0,"",INDEX(ERP导入清单!Q:Q,IFERROR(MATCH(79,ERP导入清单!$X$5:$X$204,0)+4,"")))</f>
        <v/>
      </c>
      <c r="R83" s="59" t="str">
        <f>IF(COUNTIF(ERP导入清单!$X$5:$X$204,79)=0,"",INDEX(ERP导入清单!R:R,IFERROR(MATCH(79,ERP导入清单!$X$5:$X$204,0)+4,"")))</f>
        <v/>
      </c>
      <c r="S83" s="37" t="str">
        <f>IF(COUNTIF(ERP导入清单!$X$5:$X$204,79)=0,"",INDEX(ERP导入清单!S:S,IFERROR(MATCH(79,ERP导入清单!$X$5:$X$204,0)+4,"")))</f>
        <v/>
      </c>
      <c r="T83" s="37" t="str">
        <f>IF(COUNTIF(ERP导入清单!$X$5:$X$204,79)=0,"",INDEX(ERP导入清单!T:T,IFERROR(MATCH(79,ERP导入清单!$X$5:$X$204,0)+4,"")))</f>
        <v/>
      </c>
      <c r="U83" s="37" t="str">
        <f>IF(COUNTIF(ERP导入清单!$X$5:$X$204,79)=0,"",INDEX(ERP导入清单!U:U,IFERROR(MATCH(79,ERP导入清单!$X$5:$X$204,0)+4,"")))</f>
        <v/>
      </c>
      <c r="V83" s="38" t="str">
        <f>IF(COUNTIF(ERP导入清单!$X$5:$X$204,79)=0,"",INDEX(ERP导入清单!V:V,IFERROR(MATCH(79,ERP导入清单!$X$5:$X$204,0)+4,"")))</f>
        <v/>
      </c>
      <c r="W83" s="50" t="str">
        <f>IF(COUNTIF(ERP导入清单!$X$5:$X$204,79)=0,"",INDEX(ERP导入清单!W:W,IFERROR(MATCH(79,ERP导入清单!$X$5:$X$204,0)+4,"")))</f>
        <v/>
      </c>
    </row>
    <row r="84" spans="1:23" ht="24" customHeight="1">
      <c r="A84" s="55" t="str">
        <f>IF(COUNTIF(ERP导入清单!$X$5:$X$204,80)=0,"",INDEX(ERP导入清单!A:A,IFERROR(MATCH(80,ERP导入清单!$X$5:$X$204,0)+4,"")))</f>
        <v/>
      </c>
      <c r="B84" s="37" t="str">
        <f>IF(COUNTIF(ERP导入清单!$X$5:$X$204,80)=0,"",INDEX(ERP导入清单!B:B,IFERROR(MATCH(80,ERP导入清单!$X$5:$X$204,0)+4,"")))</f>
        <v/>
      </c>
      <c r="C84" s="38" t="str">
        <f>IF(COUNTIF(ERP导入清单!$X$5:$X$204,80)=0,"",INDEX(ERP导入清单!C:C,IFERROR(MATCH(80,ERP导入清单!$X$5:$X$204,0)+4,"")))</f>
        <v/>
      </c>
      <c r="D84" s="37" t="str">
        <f>IF(COUNTIF(ERP导入清单!$X$5:$X$204,80)=0,"",INDEX(ERP导入清单!D:D,IFERROR(MATCH(80,ERP导入清单!$X$5:$X$204,0)+4,"")))</f>
        <v/>
      </c>
      <c r="E84" s="37" t="str">
        <f>IF(COUNTIF(ERP导入清单!$X$5:$X$204,80)=0,"",INDEX(ERP导入清单!E:E,IFERROR(MATCH(80,ERP导入清单!$X$5:$X$204,0)+4,"")))</f>
        <v/>
      </c>
      <c r="F84" s="37" t="str">
        <f>IF(COUNTIF(ERP导入清单!$X$5:$X$204,80)=0,"",INDEX(ERP导入清单!F:F,IFERROR(MATCH(80,ERP导入清单!$X$5:$X$204,0)+4,"")))</f>
        <v/>
      </c>
      <c r="G84" s="57" t="str">
        <f>IF(COUNTIF(ERP导入清单!$X$5:$X$204,80)=0,"",INDEX(ERP导入清单!G:G,IFERROR(MATCH(80,ERP导入清单!$X$5:$X$204,0)+4,"")))</f>
        <v/>
      </c>
      <c r="H84" s="37" t="str">
        <f>IF(COUNTIF(ERP导入清单!$X$5:$X$204,80)=0,"",INDEX(ERP导入清单!H:H,IFERROR(MATCH(80,ERP导入清单!$X$5:$X$204,0)+4,"")))</f>
        <v/>
      </c>
      <c r="I84" s="57" t="str">
        <f>IF(COUNTIF(ERP导入清单!$X$5:$X$204,80)=0,"",INDEX(ERP导入清单!I:I,IFERROR(MATCH(80,ERP导入清单!$X$5:$X$204,0)+4,"")))</f>
        <v/>
      </c>
      <c r="J84" s="57" t="str">
        <f>IF(COUNTIF(ERP导入清单!$X$5:$X$204,80)=0,"",INDEX(ERP导入清单!J:J,IFERROR(MATCH(80,ERP导入清单!$X$5:$X$204,0)+4,"")))</f>
        <v/>
      </c>
      <c r="K84" s="37" t="str">
        <f>IF(COUNTIF(ERP导入清单!$X$5:$X$204,80)=0,"",INDEX(ERP导入清单!K:K,IFERROR(MATCH(80,ERP导入清单!$X$5:$X$204,0)+4,"")))</f>
        <v/>
      </c>
      <c r="L84" s="37" t="str">
        <f>IF(COUNTIF(ERP导入清单!$X$5:$X$204,80)=0,"",INDEX(ERP导入清单!L:L,IFERROR(MATCH(80,ERP导入清单!$X$5:$X$204,0)+4,"")))</f>
        <v/>
      </c>
      <c r="M84" s="37" t="str">
        <f>IF(COUNTIF(ERP导入清单!$X$5:$X$204,80)=0,"",INDEX(ERP导入清单!M:M,IFERROR(MATCH(80,ERP导入清单!$X$5:$X$204,0)+4,"")))</f>
        <v/>
      </c>
      <c r="N84" s="37" t="str">
        <f>IF(COUNTIF(ERP导入清单!$X$5:$X$204,80)=0,"",INDEX(ERP导入清单!N:N,IFERROR(MATCH(80,ERP导入清单!$X$5:$X$204,0)+4,"")))</f>
        <v/>
      </c>
      <c r="O84" s="37" t="str">
        <f>IF(COUNTIF(ERP导入清单!$X$5:$X$204,80)=0,"",INDEX(ERP导入清单!O:O,IFERROR(MATCH(80,ERP导入清单!$X$5:$X$204,0)+4,"")))</f>
        <v/>
      </c>
      <c r="P84" s="39" t="str">
        <f>IF(COUNTIF(ERP导入清单!$X$5:$X$204,80)=0,"",INDEX(ERP导入清单!P:P,IFERROR(MATCH(80,ERP导入清单!$X$5:$X$204,0)+4,"")))</f>
        <v/>
      </c>
      <c r="Q84" s="39" t="str">
        <f>IF(COUNTIF(ERP导入清单!$X$5:$X$204,80)=0,"",INDEX(ERP导入清单!Q:Q,IFERROR(MATCH(80,ERP导入清单!$X$5:$X$204,0)+4,"")))</f>
        <v/>
      </c>
      <c r="R84" s="59" t="str">
        <f>IF(COUNTIF(ERP导入清单!$X$5:$X$204,80)=0,"",INDEX(ERP导入清单!R:R,IFERROR(MATCH(80,ERP导入清单!$X$5:$X$204,0)+4,"")))</f>
        <v/>
      </c>
      <c r="S84" s="37" t="str">
        <f>IF(COUNTIF(ERP导入清单!$X$5:$X$204,80)=0,"",INDEX(ERP导入清单!S:S,IFERROR(MATCH(80,ERP导入清单!$X$5:$X$204,0)+4,"")))</f>
        <v/>
      </c>
      <c r="T84" s="37" t="str">
        <f>IF(COUNTIF(ERP导入清单!$X$5:$X$204,80)=0,"",INDEX(ERP导入清单!T:T,IFERROR(MATCH(80,ERP导入清单!$X$5:$X$204,0)+4,"")))</f>
        <v/>
      </c>
      <c r="U84" s="37" t="str">
        <f>IF(COUNTIF(ERP导入清单!$X$5:$X$204,80)=0,"",INDEX(ERP导入清单!U:U,IFERROR(MATCH(80,ERP导入清单!$X$5:$X$204,0)+4,"")))</f>
        <v/>
      </c>
      <c r="V84" s="38" t="str">
        <f>IF(COUNTIF(ERP导入清单!$X$5:$X$204,80)=0,"",INDEX(ERP导入清单!V:V,IFERROR(MATCH(80,ERP导入清单!$X$5:$X$204,0)+4,"")))</f>
        <v/>
      </c>
      <c r="W84" s="50" t="str">
        <f>IF(COUNTIF(ERP导入清单!$X$5:$X$204,80)=0,"",INDEX(ERP导入清单!W:W,IFERROR(MATCH(80,ERP导入清单!$X$5:$X$204,0)+4,"")))</f>
        <v/>
      </c>
    </row>
    <row r="85" spans="1:23" ht="24" customHeight="1">
      <c r="A85" s="55" t="str">
        <f>IF(COUNTIF(ERP导入清单!$X$5:$X$204,81)=0,"",INDEX(ERP导入清单!A:A,IFERROR(MATCH(81,ERP导入清单!$X$5:$X$204,0)+4,"")))</f>
        <v/>
      </c>
      <c r="B85" s="37" t="str">
        <f>IF(COUNTIF(ERP导入清单!$X$5:$X$204,81)=0,"",INDEX(ERP导入清单!B:B,IFERROR(MATCH(81,ERP导入清单!$X$5:$X$204,0)+4,"")))</f>
        <v/>
      </c>
      <c r="C85" s="38" t="str">
        <f>IF(COUNTIF(ERP导入清单!$X$5:$X$204,81)=0,"",INDEX(ERP导入清单!C:C,IFERROR(MATCH(81,ERP导入清单!$X$5:$X$204,0)+4,"")))</f>
        <v/>
      </c>
      <c r="D85" s="37" t="str">
        <f>IF(COUNTIF(ERP导入清单!$X$5:$X$204,81)=0,"",INDEX(ERP导入清单!D:D,IFERROR(MATCH(81,ERP导入清单!$X$5:$X$204,0)+4,"")))</f>
        <v/>
      </c>
      <c r="E85" s="37" t="str">
        <f>IF(COUNTIF(ERP导入清单!$X$5:$X$204,81)=0,"",INDEX(ERP导入清单!E:E,IFERROR(MATCH(81,ERP导入清单!$X$5:$X$204,0)+4,"")))</f>
        <v/>
      </c>
      <c r="F85" s="37" t="str">
        <f>IF(COUNTIF(ERP导入清单!$X$5:$X$204,81)=0,"",INDEX(ERP导入清单!F:F,IFERROR(MATCH(81,ERP导入清单!$X$5:$X$204,0)+4,"")))</f>
        <v/>
      </c>
      <c r="G85" s="57" t="str">
        <f>IF(COUNTIF(ERP导入清单!$X$5:$X$204,81)=0,"",INDEX(ERP导入清单!G:G,IFERROR(MATCH(81,ERP导入清单!$X$5:$X$204,0)+4,"")))</f>
        <v/>
      </c>
      <c r="H85" s="37" t="str">
        <f>IF(COUNTIF(ERP导入清单!$X$5:$X$204,81)=0,"",INDEX(ERP导入清单!H:H,IFERROR(MATCH(81,ERP导入清单!$X$5:$X$204,0)+4,"")))</f>
        <v/>
      </c>
      <c r="I85" s="57" t="str">
        <f>IF(COUNTIF(ERP导入清单!$X$5:$X$204,81)=0,"",INDEX(ERP导入清单!I:I,IFERROR(MATCH(81,ERP导入清单!$X$5:$X$204,0)+4,"")))</f>
        <v/>
      </c>
      <c r="J85" s="57" t="str">
        <f>IF(COUNTIF(ERP导入清单!$X$5:$X$204,81)=0,"",INDEX(ERP导入清单!J:J,IFERROR(MATCH(81,ERP导入清单!$X$5:$X$204,0)+4,"")))</f>
        <v/>
      </c>
      <c r="K85" s="37" t="str">
        <f>IF(COUNTIF(ERP导入清单!$X$5:$X$204,81)=0,"",INDEX(ERP导入清单!K:K,IFERROR(MATCH(81,ERP导入清单!$X$5:$X$204,0)+4,"")))</f>
        <v/>
      </c>
      <c r="L85" s="37" t="str">
        <f>IF(COUNTIF(ERP导入清单!$X$5:$X$204,81)=0,"",INDEX(ERP导入清单!L:L,IFERROR(MATCH(81,ERP导入清单!$X$5:$X$204,0)+4,"")))</f>
        <v/>
      </c>
      <c r="M85" s="37" t="str">
        <f>IF(COUNTIF(ERP导入清单!$X$5:$X$204,81)=0,"",INDEX(ERP导入清单!M:M,IFERROR(MATCH(81,ERP导入清单!$X$5:$X$204,0)+4,"")))</f>
        <v/>
      </c>
      <c r="N85" s="37" t="str">
        <f>IF(COUNTIF(ERP导入清单!$X$5:$X$204,81)=0,"",INDEX(ERP导入清单!N:N,IFERROR(MATCH(81,ERP导入清单!$X$5:$X$204,0)+4,"")))</f>
        <v/>
      </c>
      <c r="O85" s="37" t="str">
        <f>IF(COUNTIF(ERP导入清单!$X$5:$X$204,81)=0,"",INDEX(ERP导入清单!O:O,IFERROR(MATCH(81,ERP导入清单!$X$5:$X$204,0)+4,"")))</f>
        <v/>
      </c>
      <c r="P85" s="39" t="str">
        <f>IF(COUNTIF(ERP导入清单!$X$5:$X$204,81)=0,"",INDEX(ERP导入清单!P:P,IFERROR(MATCH(81,ERP导入清单!$X$5:$X$204,0)+4,"")))</f>
        <v/>
      </c>
      <c r="Q85" s="39" t="str">
        <f>IF(COUNTIF(ERP导入清单!$X$5:$X$204,81)=0,"",INDEX(ERP导入清单!Q:Q,IFERROR(MATCH(81,ERP导入清单!$X$5:$X$204,0)+4,"")))</f>
        <v/>
      </c>
      <c r="R85" s="59" t="str">
        <f>IF(COUNTIF(ERP导入清单!$X$5:$X$204,81)=0,"",INDEX(ERP导入清单!R:R,IFERROR(MATCH(81,ERP导入清单!$X$5:$X$204,0)+4,"")))</f>
        <v/>
      </c>
      <c r="S85" s="37" t="str">
        <f>IF(COUNTIF(ERP导入清单!$X$5:$X$204,81)=0,"",INDEX(ERP导入清单!S:S,IFERROR(MATCH(81,ERP导入清单!$X$5:$X$204,0)+4,"")))</f>
        <v/>
      </c>
      <c r="T85" s="37" t="str">
        <f>IF(COUNTIF(ERP导入清单!$X$5:$X$204,81)=0,"",INDEX(ERP导入清单!T:T,IFERROR(MATCH(81,ERP导入清单!$X$5:$X$204,0)+4,"")))</f>
        <v/>
      </c>
      <c r="U85" s="37" t="str">
        <f>IF(COUNTIF(ERP导入清单!$X$5:$X$204,81)=0,"",INDEX(ERP导入清单!U:U,IFERROR(MATCH(81,ERP导入清单!$X$5:$X$204,0)+4,"")))</f>
        <v/>
      </c>
      <c r="V85" s="38" t="str">
        <f>IF(COUNTIF(ERP导入清单!$X$5:$X$204,81)=0,"",INDEX(ERP导入清单!V:V,IFERROR(MATCH(81,ERP导入清单!$X$5:$X$204,0)+4,"")))</f>
        <v/>
      </c>
      <c r="W85" s="50" t="str">
        <f>IF(COUNTIF(ERP导入清单!$X$5:$X$204,81)=0,"",INDEX(ERP导入清单!W:W,IFERROR(MATCH(81,ERP导入清单!$X$5:$X$204,0)+4,"")))</f>
        <v/>
      </c>
    </row>
    <row r="86" spans="1:23" ht="24" customHeight="1">
      <c r="A86" s="55" t="str">
        <f>IF(COUNTIF(ERP导入清单!$X$5:$X$204,82)=0,"",INDEX(ERP导入清单!A:A,IFERROR(MATCH(82,ERP导入清单!$X$5:$X$204,0)+4,"")))</f>
        <v/>
      </c>
      <c r="B86" s="37" t="str">
        <f>IF(COUNTIF(ERP导入清单!$X$5:$X$204,82)=0,"",INDEX(ERP导入清单!B:B,IFERROR(MATCH(82,ERP导入清单!$X$5:$X$204,0)+4,"")))</f>
        <v/>
      </c>
      <c r="C86" s="38" t="str">
        <f>IF(COUNTIF(ERP导入清单!$X$5:$X$204,82)=0,"",INDEX(ERP导入清单!C:C,IFERROR(MATCH(82,ERP导入清单!$X$5:$X$204,0)+4,"")))</f>
        <v/>
      </c>
      <c r="D86" s="37" t="str">
        <f>IF(COUNTIF(ERP导入清单!$X$5:$X$204,82)=0,"",INDEX(ERP导入清单!D:D,IFERROR(MATCH(82,ERP导入清单!$X$5:$X$204,0)+4,"")))</f>
        <v/>
      </c>
      <c r="E86" s="37" t="str">
        <f>IF(COUNTIF(ERP导入清单!$X$5:$X$204,82)=0,"",INDEX(ERP导入清单!E:E,IFERROR(MATCH(82,ERP导入清单!$X$5:$X$204,0)+4,"")))</f>
        <v/>
      </c>
      <c r="F86" s="37" t="str">
        <f>IF(COUNTIF(ERP导入清单!$X$5:$X$204,82)=0,"",INDEX(ERP导入清单!F:F,IFERROR(MATCH(82,ERP导入清单!$X$5:$X$204,0)+4,"")))</f>
        <v/>
      </c>
      <c r="G86" s="57" t="str">
        <f>IF(COUNTIF(ERP导入清单!$X$5:$X$204,82)=0,"",INDEX(ERP导入清单!G:G,IFERROR(MATCH(82,ERP导入清单!$X$5:$X$204,0)+4,"")))</f>
        <v/>
      </c>
      <c r="H86" s="37" t="str">
        <f>IF(COUNTIF(ERP导入清单!$X$5:$X$204,82)=0,"",INDEX(ERP导入清单!H:H,IFERROR(MATCH(82,ERP导入清单!$X$5:$X$204,0)+4,"")))</f>
        <v/>
      </c>
      <c r="I86" s="57" t="str">
        <f>IF(COUNTIF(ERP导入清单!$X$5:$X$204,82)=0,"",INDEX(ERP导入清单!I:I,IFERROR(MATCH(82,ERP导入清单!$X$5:$X$204,0)+4,"")))</f>
        <v/>
      </c>
      <c r="J86" s="57" t="str">
        <f>IF(COUNTIF(ERP导入清单!$X$5:$X$204,82)=0,"",INDEX(ERP导入清单!J:J,IFERROR(MATCH(82,ERP导入清单!$X$5:$X$204,0)+4,"")))</f>
        <v/>
      </c>
      <c r="K86" s="37" t="str">
        <f>IF(COUNTIF(ERP导入清单!$X$5:$X$204,82)=0,"",INDEX(ERP导入清单!K:K,IFERROR(MATCH(82,ERP导入清单!$X$5:$X$204,0)+4,"")))</f>
        <v/>
      </c>
      <c r="L86" s="37" t="str">
        <f>IF(COUNTIF(ERP导入清单!$X$5:$X$204,82)=0,"",INDEX(ERP导入清单!L:L,IFERROR(MATCH(82,ERP导入清单!$X$5:$X$204,0)+4,"")))</f>
        <v/>
      </c>
      <c r="M86" s="37" t="str">
        <f>IF(COUNTIF(ERP导入清单!$X$5:$X$204,82)=0,"",INDEX(ERP导入清单!M:M,IFERROR(MATCH(82,ERP导入清单!$X$5:$X$204,0)+4,"")))</f>
        <v/>
      </c>
      <c r="N86" s="37" t="str">
        <f>IF(COUNTIF(ERP导入清单!$X$5:$X$204,82)=0,"",INDEX(ERP导入清单!N:N,IFERROR(MATCH(82,ERP导入清单!$X$5:$X$204,0)+4,"")))</f>
        <v/>
      </c>
      <c r="O86" s="37" t="str">
        <f>IF(COUNTIF(ERP导入清单!$X$5:$X$204,82)=0,"",INDEX(ERP导入清单!O:O,IFERROR(MATCH(82,ERP导入清单!$X$5:$X$204,0)+4,"")))</f>
        <v/>
      </c>
      <c r="P86" s="39" t="str">
        <f>IF(COUNTIF(ERP导入清单!$X$5:$X$204,82)=0,"",INDEX(ERP导入清单!P:P,IFERROR(MATCH(82,ERP导入清单!$X$5:$X$204,0)+4,"")))</f>
        <v/>
      </c>
      <c r="Q86" s="39" t="str">
        <f>IF(COUNTIF(ERP导入清单!$X$5:$X$204,82)=0,"",INDEX(ERP导入清单!Q:Q,IFERROR(MATCH(82,ERP导入清单!$X$5:$X$204,0)+4,"")))</f>
        <v/>
      </c>
      <c r="R86" s="59" t="str">
        <f>IF(COUNTIF(ERP导入清单!$X$5:$X$204,82)=0,"",INDEX(ERP导入清单!R:R,IFERROR(MATCH(82,ERP导入清单!$X$5:$X$204,0)+4,"")))</f>
        <v/>
      </c>
      <c r="S86" s="37" t="str">
        <f>IF(COUNTIF(ERP导入清单!$X$5:$X$204,82)=0,"",INDEX(ERP导入清单!S:S,IFERROR(MATCH(82,ERP导入清单!$X$5:$X$204,0)+4,"")))</f>
        <v/>
      </c>
      <c r="T86" s="37" t="str">
        <f>IF(COUNTIF(ERP导入清单!$X$5:$X$204,82)=0,"",INDEX(ERP导入清单!T:T,IFERROR(MATCH(82,ERP导入清单!$X$5:$X$204,0)+4,"")))</f>
        <v/>
      </c>
      <c r="U86" s="37" t="str">
        <f>IF(COUNTIF(ERP导入清单!$X$5:$X$204,82)=0,"",INDEX(ERP导入清单!U:U,IFERROR(MATCH(82,ERP导入清单!$X$5:$X$204,0)+4,"")))</f>
        <v/>
      </c>
      <c r="V86" s="38" t="str">
        <f>IF(COUNTIF(ERP导入清单!$X$5:$X$204,82)=0,"",INDEX(ERP导入清单!V:V,IFERROR(MATCH(82,ERP导入清单!$X$5:$X$204,0)+4,"")))</f>
        <v/>
      </c>
      <c r="W86" s="50" t="str">
        <f>IF(COUNTIF(ERP导入清单!$X$5:$X$204,82)=0,"",INDEX(ERP导入清单!W:W,IFERROR(MATCH(82,ERP导入清单!$X$5:$X$204,0)+4,"")))</f>
        <v/>
      </c>
    </row>
    <row r="87" spans="1:23" ht="24" customHeight="1">
      <c r="A87" s="55" t="str">
        <f>IF(COUNTIF(ERP导入清单!$X$5:$X$204,83)=0,"",INDEX(ERP导入清单!A:A,IFERROR(MATCH(83,ERP导入清单!$X$5:$X$204,0)+4,"")))</f>
        <v/>
      </c>
      <c r="B87" s="37" t="str">
        <f>IF(COUNTIF(ERP导入清单!$X$5:$X$204,83)=0,"",INDEX(ERP导入清单!B:B,IFERROR(MATCH(83,ERP导入清单!$X$5:$X$204,0)+4,"")))</f>
        <v/>
      </c>
      <c r="C87" s="38" t="str">
        <f>IF(COUNTIF(ERP导入清单!$X$5:$X$204,83)=0,"",INDEX(ERP导入清单!C:C,IFERROR(MATCH(83,ERP导入清单!$X$5:$X$204,0)+4,"")))</f>
        <v/>
      </c>
      <c r="D87" s="37" t="str">
        <f>IF(COUNTIF(ERP导入清单!$X$5:$X$204,83)=0,"",INDEX(ERP导入清单!D:D,IFERROR(MATCH(83,ERP导入清单!$X$5:$X$204,0)+4,"")))</f>
        <v/>
      </c>
      <c r="E87" s="37" t="str">
        <f>IF(COUNTIF(ERP导入清单!$X$5:$X$204,83)=0,"",INDEX(ERP导入清单!E:E,IFERROR(MATCH(83,ERP导入清单!$X$5:$X$204,0)+4,"")))</f>
        <v/>
      </c>
      <c r="F87" s="37" t="str">
        <f>IF(COUNTIF(ERP导入清单!$X$5:$X$204,83)=0,"",INDEX(ERP导入清单!F:F,IFERROR(MATCH(83,ERP导入清单!$X$5:$X$204,0)+4,"")))</f>
        <v/>
      </c>
      <c r="G87" s="57" t="str">
        <f>IF(COUNTIF(ERP导入清单!$X$5:$X$204,83)=0,"",INDEX(ERP导入清单!G:G,IFERROR(MATCH(83,ERP导入清单!$X$5:$X$204,0)+4,"")))</f>
        <v/>
      </c>
      <c r="H87" s="37" t="str">
        <f>IF(COUNTIF(ERP导入清单!$X$5:$X$204,83)=0,"",INDEX(ERP导入清单!H:H,IFERROR(MATCH(83,ERP导入清单!$X$5:$X$204,0)+4,"")))</f>
        <v/>
      </c>
      <c r="I87" s="57" t="str">
        <f>IF(COUNTIF(ERP导入清单!$X$5:$X$204,83)=0,"",INDEX(ERP导入清单!I:I,IFERROR(MATCH(83,ERP导入清单!$X$5:$X$204,0)+4,"")))</f>
        <v/>
      </c>
      <c r="J87" s="57" t="str">
        <f>IF(COUNTIF(ERP导入清单!$X$5:$X$204,83)=0,"",INDEX(ERP导入清单!J:J,IFERROR(MATCH(83,ERP导入清单!$X$5:$X$204,0)+4,"")))</f>
        <v/>
      </c>
      <c r="K87" s="37" t="str">
        <f>IF(COUNTIF(ERP导入清单!$X$5:$X$204,83)=0,"",INDEX(ERP导入清单!K:K,IFERROR(MATCH(83,ERP导入清单!$X$5:$X$204,0)+4,"")))</f>
        <v/>
      </c>
      <c r="L87" s="37" t="str">
        <f>IF(COUNTIF(ERP导入清单!$X$5:$X$204,83)=0,"",INDEX(ERP导入清单!L:L,IFERROR(MATCH(83,ERP导入清单!$X$5:$X$204,0)+4,"")))</f>
        <v/>
      </c>
      <c r="M87" s="37" t="str">
        <f>IF(COUNTIF(ERP导入清单!$X$5:$X$204,83)=0,"",INDEX(ERP导入清单!M:M,IFERROR(MATCH(83,ERP导入清单!$X$5:$X$204,0)+4,"")))</f>
        <v/>
      </c>
      <c r="N87" s="37" t="str">
        <f>IF(COUNTIF(ERP导入清单!$X$5:$X$204,83)=0,"",INDEX(ERP导入清单!N:N,IFERROR(MATCH(83,ERP导入清单!$X$5:$X$204,0)+4,"")))</f>
        <v/>
      </c>
      <c r="O87" s="37" t="str">
        <f>IF(COUNTIF(ERP导入清单!$X$5:$X$204,83)=0,"",INDEX(ERP导入清单!O:O,IFERROR(MATCH(83,ERP导入清单!$X$5:$X$204,0)+4,"")))</f>
        <v/>
      </c>
      <c r="P87" s="39" t="str">
        <f>IF(COUNTIF(ERP导入清单!$X$5:$X$204,83)=0,"",INDEX(ERP导入清单!P:P,IFERROR(MATCH(83,ERP导入清单!$X$5:$X$204,0)+4,"")))</f>
        <v/>
      </c>
      <c r="Q87" s="39" t="str">
        <f>IF(COUNTIF(ERP导入清单!$X$5:$X$204,83)=0,"",INDEX(ERP导入清单!Q:Q,IFERROR(MATCH(83,ERP导入清单!$X$5:$X$204,0)+4,"")))</f>
        <v/>
      </c>
      <c r="R87" s="59" t="str">
        <f>IF(COUNTIF(ERP导入清单!$X$5:$X$204,83)=0,"",INDEX(ERP导入清单!R:R,IFERROR(MATCH(83,ERP导入清单!$X$5:$X$204,0)+4,"")))</f>
        <v/>
      </c>
      <c r="S87" s="37" t="str">
        <f>IF(COUNTIF(ERP导入清单!$X$5:$X$204,83)=0,"",INDEX(ERP导入清单!S:S,IFERROR(MATCH(83,ERP导入清单!$X$5:$X$204,0)+4,"")))</f>
        <v/>
      </c>
      <c r="T87" s="37" t="str">
        <f>IF(COUNTIF(ERP导入清单!$X$5:$X$204,83)=0,"",INDEX(ERP导入清单!T:T,IFERROR(MATCH(83,ERP导入清单!$X$5:$X$204,0)+4,"")))</f>
        <v/>
      </c>
      <c r="U87" s="37" t="str">
        <f>IF(COUNTIF(ERP导入清单!$X$5:$X$204,83)=0,"",INDEX(ERP导入清单!U:U,IFERROR(MATCH(83,ERP导入清单!$X$5:$X$204,0)+4,"")))</f>
        <v/>
      </c>
      <c r="V87" s="38" t="str">
        <f>IF(COUNTIF(ERP导入清单!$X$5:$X$204,83)=0,"",INDEX(ERP导入清单!V:V,IFERROR(MATCH(83,ERP导入清单!$X$5:$X$204,0)+4,"")))</f>
        <v/>
      </c>
      <c r="W87" s="50" t="str">
        <f>IF(COUNTIF(ERP导入清单!$X$5:$X$204,83)=0,"",INDEX(ERP导入清单!W:W,IFERROR(MATCH(83,ERP导入清单!$X$5:$X$204,0)+4,"")))</f>
        <v/>
      </c>
    </row>
    <row r="88" spans="1:23" ht="24" customHeight="1">
      <c r="A88" s="55" t="str">
        <f>IF(COUNTIF(ERP导入清单!$X$5:$X$204,84)=0,"",INDEX(ERP导入清单!A:A,IFERROR(MATCH(84,ERP导入清单!$X$5:$X$204,0)+4,"")))</f>
        <v/>
      </c>
      <c r="B88" s="37" t="str">
        <f>IF(COUNTIF(ERP导入清单!$X$5:$X$204,84)=0,"",INDEX(ERP导入清单!B:B,IFERROR(MATCH(84,ERP导入清单!$X$5:$X$204,0)+4,"")))</f>
        <v/>
      </c>
      <c r="C88" s="38" t="str">
        <f>IF(COUNTIF(ERP导入清单!$X$5:$X$204,84)=0,"",INDEX(ERP导入清单!C:C,IFERROR(MATCH(84,ERP导入清单!$X$5:$X$204,0)+4,"")))</f>
        <v/>
      </c>
      <c r="D88" s="37" t="str">
        <f>IF(COUNTIF(ERP导入清单!$X$5:$X$204,84)=0,"",INDEX(ERP导入清单!D:D,IFERROR(MATCH(84,ERP导入清单!$X$5:$X$204,0)+4,"")))</f>
        <v/>
      </c>
      <c r="E88" s="37" t="str">
        <f>IF(COUNTIF(ERP导入清单!$X$5:$X$204,84)=0,"",INDEX(ERP导入清单!E:E,IFERROR(MATCH(84,ERP导入清单!$X$5:$X$204,0)+4,"")))</f>
        <v/>
      </c>
      <c r="F88" s="37" t="str">
        <f>IF(COUNTIF(ERP导入清单!$X$5:$X$204,84)=0,"",INDEX(ERP导入清单!F:F,IFERROR(MATCH(84,ERP导入清单!$X$5:$X$204,0)+4,"")))</f>
        <v/>
      </c>
      <c r="G88" s="57" t="str">
        <f>IF(COUNTIF(ERP导入清单!$X$5:$X$204,84)=0,"",INDEX(ERP导入清单!G:G,IFERROR(MATCH(84,ERP导入清单!$X$5:$X$204,0)+4,"")))</f>
        <v/>
      </c>
      <c r="H88" s="37" t="str">
        <f>IF(COUNTIF(ERP导入清单!$X$5:$X$204,84)=0,"",INDEX(ERP导入清单!H:H,IFERROR(MATCH(84,ERP导入清单!$X$5:$X$204,0)+4,"")))</f>
        <v/>
      </c>
      <c r="I88" s="57" t="str">
        <f>IF(COUNTIF(ERP导入清单!$X$5:$X$204,84)=0,"",INDEX(ERP导入清单!I:I,IFERROR(MATCH(84,ERP导入清单!$X$5:$X$204,0)+4,"")))</f>
        <v/>
      </c>
      <c r="J88" s="57" t="str">
        <f>IF(COUNTIF(ERP导入清单!$X$5:$X$204,84)=0,"",INDEX(ERP导入清单!J:J,IFERROR(MATCH(84,ERP导入清单!$X$5:$X$204,0)+4,"")))</f>
        <v/>
      </c>
      <c r="K88" s="37" t="str">
        <f>IF(COUNTIF(ERP导入清单!$X$5:$X$204,84)=0,"",INDEX(ERP导入清单!K:K,IFERROR(MATCH(84,ERP导入清单!$X$5:$X$204,0)+4,"")))</f>
        <v/>
      </c>
      <c r="L88" s="37" t="str">
        <f>IF(COUNTIF(ERP导入清单!$X$5:$X$204,84)=0,"",INDEX(ERP导入清单!L:L,IFERROR(MATCH(84,ERP导入清单!$X$5:$X$204,0)+4,"")))</f>
        <v/>
      </c>
      <c r="M88" s="37" t="str">
        <f>IF(COUNTIF(ERP导入清单!$X$5:$X$204,84)=0,"",INDEX(ERP导入清单!M:M,IFERROR(MATCH(84,ERP导入清单!$X$5:$X$204,0)+4,"")))</f>
        <v/>
      </c>
      <c r="N88" s="37" t="str">
        <f>IF(COUNTIF(ERP导入清单!$X$5:$X$204,84)=0,"",INDEX(ERP导入清单!N:N,IFERROR(MATCH(84,ERP导入清单!$X$5:$X$204,0)+4,"")))</f>
        <v/>
      </c>
      <c r="O88" s="37" t="str">
        <f>IF(COUNTIF(ERP导入清单!$X$5:$X$204,84)=0,"",INDEX(ERP导入清单!O:O,IFERROR(MATCH(84,ERP导入清单!$X$5:$X$204,0)+4,"")))</f>
        <v/>
      </c>
      <c r="P88" s="39" t="str">
        <f>IF(COUNTIF(ERP导入清单!$X$5:$X$204,84)=0,"",INDEX(ERP导入清单!P:P,IFERROR(MATCH(84,ERP导入清单!$X$5:$X$204,0)+4,"")))</f>
        <v/>
      </c>
      <c r="Q88" s="39" t="str">
        <f>IF(COUNTIF(ERP导入清单!$X$5:$X$204,84)=0,"",INDEX(ERP导入清单!Q:Q,IFERROR(MATCH(84,ERP导入清单!$X$5:$X$204,0)+4,"")))</f>
        <v/>
      </c>
      <c r="R88" s="59" t="str">
        <f>IF(COUNTIF(ERP导入清单!$X$5:$X$204,84)=0,"",INDEX(ERP导入清单!R:R,IFERROR(MATCH(84,ERP导入清单!$X$5:$X$204,0)+4,"")))</f>
        <v/>
      </c>
      <c r="S88" s="37" t="str">
        <f>IF(COUNTIF(ERP导入清单!$X$5:$X$204,84)=0,"",INDEX(ERP导入清单!S:S,IFERROR(MATCH(84,ERP导入清单!$X$5:$X$204,0)+4,"")))</f>
        <v/>
      </c>
      <c r="T88" s="37" t="str">
        <f>IF(COUNTIF(ERP导入清单!$X$5:$X$204,84)=0,"",INDEX(ERP导入清单!T:T,IFERROR(MATCH(84,ERP导入清单!$X$5:$X$204,0)+4,"")))</f>
        <v/>
      </c>
      <c r="U88" s="37" t="str">
        <f>IF(COUNTIF(ERP导入清单!$X$5:$X$204,84)=0,"",INDEX(ERP导入清单!U:U,IFERROR(MATCH(84,ERP导入清单!$X$5:$X$204,0)+4,"")))</f>
        <v/>
      </c>
      <c r="V88" s="38" t="str">
        <f>IF(COUNTIF(ERP导入清单!$X$5:$X$204,84)=0,"",INDEX(ERP导入清单!V:V,IFERROR(MATCH(84,ERP导入清单!$X$5:$X$204,0)+4,"")))</f>
        <v/>
      </c>
      <c r="W88" s="50" t="str">
        <f>IF(COUNTIF(ERP导入清单!$X$5:$X$204,84)=0,"",INDEX(ERP导入清单!W:W,IFERROR(MATCH(84,ERP导入清单!$X$5:$X$204,0)+4,"")))</f>
        <v/>
      </c>
    </row>
    <row r="89" spans="1:23" ht="24" customHeight="1">
      <c r="A89" s="55" t="str">
        <f>IF(COUNTIF(ERP导入清单!$X$5:$X$204,85)=0,"",INDEX(ERP导入清单!A:A,IFERROR(MATCH(85,ERP导入清单!$X$5:$X$204,0)+4,"")))</f>
        <v/>
      </c>
      <c r="B89" s="37" t="str">
        <f>IF(COUNTIF(ERP导入清单!$X$5:$X$204,85)=0,"",INDEX(ERP导入清单!B:B,IFERROR(MATCH(85,ERP导入清单!$X$5:$X$204,0)+4,"")))</f>
        <v/>
      </c>
      <c r="C89" s="38" t="str">
        <f>IF(COUNTIF(ERP导入清单!$X$5:$X$204,85)=0,"",INDEX(ERP导入清单!C:C,IFERROR(MATCH(85,ERP导入清单!$X$5:$X$204,0)+4,"")))</f>
        <v/>
      </c>
      <c r="D89" s="37" t="str">
        <f>IF(COUNTIF(ERP导入清单!$X$5:$X$204,85)=0,"",INDEX(ERP导入清单!D:D,IFERROR(MATCH(85,ERP导入清单!$X$5:$X$204,0)+4,"")))</f>
        <v/>
      </c>
      <c r="E89" s="37" t="str">
        <f>IF(COUNTIF(ERP导入清单!$X$5:$X$204,85)=0,"",INDEX(ERP导入清单!E:E,IFERROR(MATCH(85,ERP导入清单!$X$5:$X$204,0)+4,"")))</f>
        <v/>
      </c>
      <c r="F89" s="37" t="str">
        <f>IF(COUNTIF(ERP导入清单!$X$5:$X$204,85)=0,"",INDEX(ERP导入清单!F:F,IFERROR(MATCH(85,ERP导入清单!$X$5:$X$204,0)+4,"")))</f>
        <v/>
      </c>
      <c r="G89" s="57" t="str">
        <f>IF(COUNTIF(ERP导入清单!$X$5:$X$204,85)=0,"",INDEX(ERP导入清单!G:G,IFERROR(MATCH(85,ERP导入清单!$X$5:$X$204,0)+4,"")))</f>
        <v/>
      </c>
      <c r="H89" s="37" t="str">
        <f>IF(COUNTIF(ERP导入清单!$X$5:$X$204,85)=0,"",INDEX(ERP导入清单!H:H,IFERROR(MATCH(85,ERP导入清单!$X$5:$X$204,0)+4,"")))</f>
        <v/>
      </c>
      <c r="I89" s="57" t="str">
        <f>IF(COUNTIF(ERP导入清单!$X$5:$X$204,85)=0,"",INDEX(ERP导入清单!I:I,IFERROR(MATCH(85,ERP导入清单!$X$5:$X$204,0)+4,"")))</f>
        <v/>
      </c>
      <c r="J89" s="57" t="str">
        <f>IF(COUNTIF(ERP导入清单!$X$5:$X$204,85)=0,"",INDEX(ERP导入清单!J:J,IFERROR(MATCH(85,ERP导入清单!$X$5:$X$204,0)+4,"")))</f>
        <v/>
      </c>
      <c r="K89" s="37" t="str">
        <f>IF(COUNTIF(ERP导入清单!$X$5:$X$204,85)=0,"",INDEX(ERP导入清单!K:K,IFERROR(MATCH(85,ERP导入清单!$X$5:$X$204,0)+4,"")))</f>
        <v/>
      </c>
      <c r="L89" s="37" t="str">
        <f>IF(COUNTIF(ERP导入清单!$X$5:$X$204,85)=0,"",INDEX(ERP导入清单!L:L,IFERROR(MATCH(85,ERP导入清单!$X$5:$X$204,0)+4,"")))</f>
        <v/>
      </c>
      <c r="M89" s="37" t="str">
        <f>IF(COUNTIF(ERP导入清单!$X$5:$X$204,85)=0,"",INDEX(ERP导入清单!M:M,IFERROR(MATCH(85,ERP导入清单!$X$5:$X$204,0)+4,"")))</f>
        <v/>
      </c>
      <c r="N89" s="37" t="str">
        <f>IF(COUNTIF(ERP导入清单!$X$5:$X$204,85)=0,"",INDEX(ERP导入清单!N:N,IFERROR(MATCH(85,ERP导入清单!$X$5:$X$204,0)+4,"")))</f>
        <v/>
      </c>
      <c r="O89" s="37" t="str">
        <f>IF(COUNTIF(ERP导入清单!$X$5:$X$204,85)=0,"",INDEX(ERP导入清单!O:O,IFERROR(MATCH(85,ERP导入清单!$X$5:$X$204,0)+4,"")))</f>
        <v/>
      </c>
      <c r="P89" s="39" t="str">
        <f>IF(COUNTIF(ERP导入清单!$X$5:$X$204,85)=0,"",INDEX(ERP导入清单!P:P,IFERROR(MATCH(85,ERP导入清单!$X$5:$X$204,0)+4,"")))</f>
        <v/>
      </c>
      <c r="Q89" s="39" t="str">
        <f>IF(COUNTIF(ERP导入清单!$X$5:$X$204,85)=0,"",INDEX(ERP导入清单!Q:Q,IFERROR(MATCH(85,ERP导入清单!$X$5:$X$204,0)+4,"")))</f>
        <v/>
      </c>
      <c r="R89" s="59" t="str">
        <f>IF(COUNTIF(ERP导入清单!$X$5:$X$204,85)=0,"",INDEX(ERP导入清单!R:R,IFERROR(MATCH(85,ERP导入清单!$X$5:$X$204,0)+4,"")))</f>
        <v/>
      </c>
      <c r="S89" s="37" t="str">
        <f>IF(COUNTIF(ERP导入清单!$X$5:$X$204,85)=0,"",INDEX(ERP导入清单!S:S,IFERROR(MATCH(85,ERP导入清单!$X$5:$X$204,0)+4,"")))</f>
        <v/>
      </c>
      <c r="T89" s="37" t="str">
        <f>IF(COUNTIF(ERP导入清单!$X$5:$X$204,85)=0,"",INDEX(ERP导入清单!T:T,IFERROR(MATCH(85,ERP导入清单!$X$5:$X$204,0)+4,"")))</f>
        <v/>
      </c>
      <c r="U89" s="37" t="str">
        <f>IF(COUNTIF(ERP导入清单!$X$5:$X$204,85)=0,"",INDEX(ERP导入清单!U:U,IFERROR(MATCH(85,ERP导入清单!$X$5:$X$204,0)+4,"")))</f>
        <v/>
      </c>
      <c r="V89" s="38" t="str">
        <f>IF(COUNTIF(ERP导入清单!$X$5:$X$204,85)=0,"",INDEX(ERP导入清单!V:V,IFERROR(MATCH(85,ERP导入清单!$X$5:$X$204,0)+4,"")))</f>
        <v/>
      </c>
      <c r="W89" s="50" t="str">
        <f>IF(COUNTIF(ERP导入清单!$X$5:$X$204,85)=0,"",INDEX(ERP导入清单!W:W,IFERROR(MATCH(85,ERP导入清单!$X$5:$X$204,0)+4,"")))</f>
        <v/>
      </c>
    </row>
    <row r="90" spans="1:23" ht="24" customHeight="1">
      <c r="A90" s="55" t="str">
        <f>IF(COUNTIF(ERP导入清单!$X$5:$X$204,86)=0,"",INDEX(ERP导入清单!A:A,IFERROR(MATCH(86,ERP导入清单!$X$5:$X$204,0)+4,"")))</f>
        <v/>
      </c>
      <c r="B90" s="37" t="str">
        <f>IF(COUNTIF(ERP导入清单!$X$5:$X$204,86)=0,"",INDEX(ERP导入清单!B:B,IFERROR(MATCH(86,ERP导入清单!$X$5:$X$204,0)+4,"")))</f>
        <v/>
      </c>
      <c r="C90" s="38" t="str">
        <f>IF(COUNTIF(ERP导入清单!$X$5:$X$204,86)=0,"",INDEX(ERP导入清单!C:C,IFERROR(MATCH(86,ERP导入清单!$X$5:$X$204,0)+4,"")))</f>
        <v/>
      </c>
      <c r="D90" s="37" t="str">
        <f>IF(COUNTIF(ERP导入清单!$X$5:$X$204,86)=0,"",INDEX(ERP导入清单!D:D,IFERROR(MATCH(86,ERP导入清单!$X$5:$X$204,0)+4,"")))</f>
        <v/>
      </c>
      <c r="E90" s="37" t="str">
        <f>IF(COUNTIF(ERP导入清单!$X$5:$X$204,86)=0,"",INDEX(ERP导入清单!E:E,IFERROR(MATCH(86,ERP导入清单!$X$5:$X$204,0)+4,"")))</f>
        <v/>
      </c>
      <c r="F90" s="37" t="str">
        <f>IF(COUNTIF(ERP导入清单!$X$5:$X$204,86)=0,"",INDEX(ERP导入清单!F:F,IFERROR(MATCH(86,ERP导入清单!$X$5:$X$204,0)+4,"")))</f>
        <v/>
      </c>
      <c r="G90" s="57" t="str">
        <f>IF(COUNTIF(ERP导入清单!$X$5:$X$204,86)=0,"",INDEX(ERP导入清单!G:G,IFERROR(MATCH(86,ERP导入清单!$X$5:$X$204,0)+4,"")))</f>
        <v/>
      </c>
      <c r="H90" s="37" t="str">
        <f>IF(COUNTIF(ERP导入清单!$X$5:$X$204,86)=0,"",INDEX(ERP导入清单!H:H,IFERROR(MATCH(86,ERP导入清单!$X$5:$X$204,0)+4,"")))</f>
        <v/>
      </c>
      <c r="I90" s="57" t="str">
        <f>IF(COUNTIF(ERP导入清单!$X$5:$X$204,86)=0,"",INDEX(ERP导入清单!I:I,IFERROR(MATCH(86,ERP导入清单!$X$5:$X$204,0)+4,"")))</f>
        <v/>
      </c>
      <c r="J90" s="57" t="str">
        <f>IF(COUNTIF(ERP导入清单!$X$5:$X$204,86)=0,"",INDEX(ERP导入清单!J:J,IFERROR(MATCH(86,ERP导入清单!$X$5:$X$204,0)+4,"")))</f>
        <v/>
      </c>
      <c r="K90" s="37" t="str">
        <f>IF(COUNTIF(ERP导入清单!$X$5:$X$204,86)=0,"",INDEX(ERP导入清单!K:K,IFERROR(MATCH(86,ERP导入清单!$X$5:$X$204,0)+4,"")))</f>
        <v/>
      </c>
      <c r="L90" s="37" t="str">
        <f>IF(COUNTIF(ERP导入清单!$X$5:$X$204,86)=0,"",INDEX(ERP导入清单!L:L,IFERROR(MATCH(86,ERP导入清单!$X$5:$X$204,0)+4,"")))</f>
        <v/>
      </c>
      <c r="M90" s="37" t="str">
        <f>IF(COUNTIF(ERP导入清单!$X$5:$X$204,86)=0,"",INDEX(ERP导入清单!M:M,IFERROR(MATCH(86,ERP导入清单!$X$5:$X$204,0)+4,"")))</f>
        <v/>
      </c>
      <c r="N90" s="37" t="str">
        <f>IF(COUNTIF(ERP导入清单!$X$5:$X$204,86)=0,"",INDEX(ERP导入清单!N:N,IFERROR(MATCH(86,ERP导入清单!$X$5:$X$204,0)+4,"")))</f>
        <v/>
      </c>
      <c r="O90" s="37" t="str">
        <f>IF(COUNTIF(ERP导入清单!$X$5:$X$204,86)=0,"",INDEX(ERP导入清单!O:O,IFERROR(MATCH(86,ERP导入清单!$X$5:$X$204,0)+4,"")))</f>
        <v/>
      </c>
      <c r="P90" s="39" t="str">
        <f>IF(COUNTIF(ERP导入清单!$X$5:$X$204,86)=0,"",INDEX(ERP导入清单!P:P,IFERROR(MATCH(86,ERP导入清单!$X$5:$X$204,0)+4,"")))</f>
        <v/>
      </c>
      <c r="Q90" s="39" t="str">
        <f>IF(COUNTIF(ERP导入清单!$X$5:$X$204,86)=0,"",INDEX(ERP导入清单!Q:Q,IFERROR(MATCH(86,ERP导入清单!$X$5:$X$204,0)+4,"")))</f>
        <v/>
      </c>
      <c r="R90" s="59" t="str">
        <f>IF(COUNTIF(ERP导入清单!$X$5:$X$204,86)=0,"",INDEX(ERP导入清单!R:R,IFERROR(MATCH(86,ERP导入清单!$X$5:$X$204,0)+4,"")))</f>
        <v/>
      </c>
      <c r="S90" s="37" t="str">
        <f>IF(COUNTIF(ERP导入清单!$X$5:$X$204,86)=0,"",INDEX(ERP导入清单!S:S,IFERROR(MATCH(86,ERP导入清单!$X$5:$X$204,0)+4,"")))</f>
        <v/>
      </c>
      <c r="T90" s="37" t="str">
        <f>IF(COUNTIF(ERP导入清单!$X$5:$X$204,86)=0,"",INDEX(ERP导入清单!T:T,IFERROR(MATCH(86,ERP导入清单!$X$5:$X$204,0)+4,"")))</f>
        <v/>
      </c>
      <c r="U90" s="37" t="str">
        <f>IF(COUNTIF(ERP导入清单!$X$5:$X$204,86)=0,"",INDEX(ERP导入清单!U:U,IFERROR(MATCH(86,ERP导入清单!$X$5:$X$204,0)+4,"")))</f>
        <v/>
      </c>
      <c r="V90" s="38" t="str">
        <f>IF(COUNTIF(ERP导入清单!$X$5:$X$204,86)=0,"",INDEX(ERP导入清单!V:V,IFERROR(MATCH(86,ERP导入清单!$X$5:$X$204,0)+4,"")))</f>
        <v/>
      </c>
      <c r="W90" s="50" t="str">
        <f>IF(COUNTIF(ERP导入清单!$X$5:$X$204,86)=0,"",INDEX(ERP导入清单!W:W,IFERROR(MATCH(86,ERP导入清单!$X$5:$X$204,0)+4,"")))</f>
        <v/>
      </c>
    </row>
    <row r="91" spans="1:23" ht="24" customHeight="1">
      <c r="A91" s="55" t="str">
        <f>IF(COUNTIF(ERP导入清单!$X$5:$X$204,87)=0,"",INDEX(ERP导入清单!A:A,IFERROR(MATCH(87,ERP导入清单!$X$5:$X$204,0)+4,"")))</f>
        <v/>
      </c>
      <c r="B91" s="37" t="str">
        <f>IF(COUNTIF(ERP导入清单!$X$5:$X$204,87)=0,"",INDEX(ERP导入清单!B:B,IFERROR(MATCH(87,ERP导入清单!$X$5:$X$204,0)+4,"")))</f>
        <v/>
      </c>
      <c r="C91" s="38" t="str">
        <f>IF(COUNTIF(ERP导入清单!$X$5:$X$204,87)=0,"",INDEX(ERP导入清单!C:C,IFERROR(MATCH(87,ERP导入清单!$X$5:$X$204,0)+4,"")))</f>
        <v/>
      </c>
      <c r="D91" s="37" t="str">
        <f>IF(COUNTIF(ERP导入清单!$X$5:$X$204,87)=0,"",INDEX(ERP导入清单!D:D,IFERROR(MATCH(87,ERP导入清单!$X$5:$X$204,0)+4,"")))</f>
        <v/>
      </c>
      <c r="E91" s="37" t="str">
        <f>IF(COUNTIF(ERP导入清单!$X$5:$X$204,87)=0,"",INDEX(ERP导入清单!E:E,IFERROR(MATCH(87,ERP导入清单!$X$5:$X$204,0)+4,"")))</f>
        <v/>
      </c>
      <c r="F91" s="37" t="str">
        <f>IF(COUNTIF(ERP导入清单!$X$5:$X$204,87)=0,"",INDEX(ERP导入清单!F:F,IFERROR(MATCH(87,ERP导入清单!$X$5:$X$204,0)+4,"")))</f>
        <v/>
      </c>
      <c r="G91" s="57" t="str">
        <f>IF(COUNTIF(ERP导入清单!$X$5:$X$204,87)=0,"",INDEX(ERP导入清单!G:G,IFERROR(MATCH(87,ERP导入清单!$X$5:$X$204,0)+4,"")))</f>
        <v/>
      </c>
      <c r="H91" s="37" t="str">
        <f>IF(COUNTIF(ERP导入清单!$X$5:$X$204,87)=0,"",INDEX(ERP导入清单!H:H,IFERROR(MATCH(87,ERP导入清单!$X$5:$X$204,0)+4,"")))</f>
        <v/>
      </c>
      <c r="I91" s="57" t="str">
        <f>IF(COUNTIF(ERP导入清单!$X$5:$X$204,87)=0,"",INDEX(ERP导入清单!I:I,IFERROR(MATCH(87,ERP导入清单!$X$5:$X$204,0)+4,"")))</f>
        <v/>
      </c>
      <c r="J91" s="57" t="str">
        <f>IF(COUNTIF(ERP导入清单!$X$5:$X$204,87)=0,"",INDEX(ERP导入清单!J:J,IFERROR(MATCH(87,ERP导入清单!$X$5:$X$204,0)+4,"")))</f>
        <v/>
      </c>
      <c r="K91" s="37" t="str">
        <f>IF(COUNTIF(ERP导入清单!$X$5:$X$204,87)=0,"",INDEX(ERP导入清单!K:K,IFERROR(MATCH(87,ERP导入清单!$X$5:$X$204,0)+4,"")))</f>
        <v/>
      </c>
      <c r="L91" s="37" t="str">
        <f>IF(COUNTIF(ERP导入清单!$X$5:$X$204,87)=0,"",INDEX(ERP导入清单!L:L,IFERROR(MATCH(87,ERP导入清单!$X$5:$X$204,0)+4,"")))</f>
        <v/>
      </c>
      <c r="M91" s="37" t="str">
        <f>IF(COUNTIF(ERP导入清单!$X$5:$X$204,87)=0,"",INDEX(ERP导入清单!M:M,IFERROR(MATCH(87,ERP导入清单!$X$5:$X$204,0)+4,"")))</f>
        <v/>
      </c>
      <c r="N91" s="37" t="str">
        <f>IF(COUNTIF(ERP导入清单!$X$5:$X$204,87)=0,"",INDEX(ERP导入清单!N:N,IFERROR(MATCH(87,ERP导入清单!$X$5:$X$204,0)+4,"")))</f>
        <v/>
      </c>
      <c r="O91" s="37" t="str">
        <f>IF(COUNTIF(ERP导入清单!$X$5:$X$204,87)=0,"",INDEX(ERP导入清单!O:O,IFERROR(MATCH(87,ERP导入清单!$X$5:$X$204,0)+4,"")))</f>
        <v/>
      </c>
      <c r="P91" s="39" t="str">
        <f>IF(COUNTIF(ERP导入清单!$X$5:$X$204,87)=0,"",INDEX(ERP导入清单!P:P,IFERROR(MATCH(87,ERP导入清单!$X$5:$X$204,0)+4,"")))</f>
        <v/>
      </c>
      <c r="Q91" s="39" t="str">
        <f>IF(COUNTIF(ERP导入清单!$X$5:$X$204,87)=0,"",INDEX(ERP导入清单!Q:Q,IFERROR(MATCH(87,ERP导入清单!$X$5:$X$204,0)+4,"")))</f>
        <v/>
      </c>
      <c r="R91" s="59" t="str">
        <f>IF(COUNTIF(ERP导入清单!$X$5:$X$204,87)=0,"",INDEX(ERP导入清单!R:R,IFERROR(MATCH(87,ERP导入清单!$X$5:$X$204,0)+4,"")))</f>
        <v/>
      </c>
      <c r="S91" s="37" t="str">
        <f>IF(COUNTIF(ERP导入清单!$X$5:$X$204,87)=0,"",INDEX(ERP导入清单!S:S,IFERROR(MATCH(87,ERP导入清单!$X$5:$X$204,0)+4,"")))</f>
        <v/>
      </c>
      <c r="T91" s="37" t="str">
        <f>IF(COUNTIF(ERP导入清单!$X$5:$X$204,87)=0,"",INDEX(ERP导入清单!T:T,IFERROR(MATCH(87,ERP导入清单!$X$5:$X$204,0)+4,"")))</f>
        <v/>
      </c>
      <c r="U91" s="37" t="str">
        <f>IF(COUNTIF(ERP导入清单!$X$5:$X$204,87)=0,"",INDEX(ERP导入清单!U:U,IFERROR(MATCH(87,ERP导入清单!$X$5:$X$204,0)+4,"")))</f>
        <v/>
      </c>
      <c r="V91" s="38" t="str">
        <f>IF(COUNTIF(ERP导入清单!$X$5:$X$204,87)=0,"",INDEX(ERP导入清单!V:V,IFERROR(MATCH(87,ERP导入清单!$X$5:$X$204,0)+4,"")))</f>
        <v/>
      </c>
      <c r="W91" s="50" t="str">
        <f>IF(COUNTIF(ERP导入清单!$X$5:$X$204,87)=0,"",INDEX(ERP导入清单!W:W,IFERROR(MATCH(87,ERP导入清单!$X$5:$X$204,0)+4,"")))</f>
        <v/>
      </c>
    </row>
    <row r="92" spans="1:23" ht="24" customHeight="1">
      <c r="A92" s="55" t="str">
        <f>IF(COUNTIF(ERP导入清单!$X$5:$X$204,88)=0,"",INDEX(ERP导入清单!A:A,IFERROR(MATCH(88,ERP导入清单!$X$5:$X$204,0)+4,"")))</f>
        <v/>
      </c>
      <c r="B92" s="37" t="str">
        <f>IF(COUNTIF(ERP导入清单!$X$5:$X$204,88)=0,"",INDEX(ERP导入清单!B:B,IFERROR(MATCH(88,ERP导入清单!$X$5:$X$204,0)+4,"")))</f>
        <v/>
      </c>
      <c r="C92" s="38" t="str">
        <f>IF(COUNTIF(ERP导入清单!$X$5:$X$204,88)=0,"",INDEX(ERP导入清单!C:C,IFERROR(MATCH(88,ERP导入清单!$X$5:$X$204,0)+4,"")))</f>
        <v/>
      </c>
      <c r="D92" s="37" t="str">
        <f>IF(COUNTIF(ERP导入清单!$X$5:$X$204,88)=0,"",INDEX(ERP导入清单!D:D,IFERROR(MATCH(88,ERP导入清单!$X$5:$X$204,0)+4,"")))</f>
        <v/>
      </c>
      <c r="E92" s="37" t="str">
        <f>IF(COUNTIF(ERP导入清单!$X$5:$X$204,88)=0,"",INDEX(ERP导入清单!E:E,IFERROR(MATCH(88,ERP导入清单!$X$5:$X$204,0)+4,"")))</f>
        <v/>
      </c>
      <c r="F92" s="37" t="str">
        <f>IF(COUNTIF(ERP导入清单!$X$5:$X$204,88)=0,"",INDEX(ERP导入清单!F:F,IFERROR(MATCH(88,ERP导入清单!$X$5:$X$204,0)+4,"")))</f>
        <v/>
      </c>
      <c r="G92" s="57" t="str">
        <f>IF(COUNTIF(ERP导入清单!$X$5:$X$204,88)=0,"",INDEX(ERP导入清单!G:G,IFERROR(MATCH(88,ERP导入清单!$X$5:$X$204,0)+4,"")))</f>
        <v/>
      </c>
      <c r="H92" s="37" t="str">
        <f>IF(COUNTIF(ERP导入清单!$X$5:$X$204,88)=0,"",INDEX(ERP导入清单!H:H,IFERROR(MATCH(88,ERP导入清单!$X$5:$X$204,0)+4,"")))</f>
        <v/>
      </c>
      <c r="I92" s="57" t="str">
        <f>IF(COUNTIF(ERP导入清单!$X$5:$X$204,88)=0,"",INDEX(ERP导入清单!I:I,IFERROR(MATCH(88,ERP导入清单!$X$5:$X$204,0)+4,"")))</f>
        <v/>
      </c>
      <c r="J92" s="57" t="str">
        <f>IF(COUNTIF(ERP导入清单!$X$5:$X$204,88)=0,"",INDEX(ERP导入清单!J:J,IFERROR(MATCH(88,ERP导入清单!$X$5:$X$204,0)+4,"")))</f>
        <v/>
      </c>
      <c r="K92" s="37" t="str">
        <f>IF(COUNTIF(ERP导入清单!$X$5:$X$204,88)=0,"",INDEX(ERP导入清单!K:K,IFERROR(MATCH(88,ERP导入清单!$X$5:$X$204,0)+4,"")))</f>
        <v/>
      </c>
      <c r="L92" s="37" t="str">
        <f>IF(COUNTIF(ERP导入清单!$X$5:$X$204,88)=0,"",INDEX(ERP导入清单!L:L,IFERROR(MATCH(88,ERP导入清单!$X$5:$X$204,0)+4,"")))</f>
        <v/>
      </c>
      <c r="M92" s="37" t="str">
        <f>IF(COUNTIF(ERP导入清单!$X$5:$X$204,88)=0,"",INDEX(ERP导入清单!M:M,IFERROR(MATCH(88,ERP导入清单!$X$5:$X$204,0)+4,"")))</f>
        <v/>
      </c>
      <c r="N92" s="37" t="str">
        <f>IF(COUNTIF(ERP导入清单!$X$5:$X$204,88)=0,"",INDEX(ERP导入清单!N:N,IFERROR(MATCH(88,ERP导入清单!$X$5:$X$204,0)+4,"")))</f>
        <v/>
      </c>
      <c r="O92" s="37" t="str">
        <f>IF(COUNTIF(ERP导入清单!$X$5:$X$204,88)=0,"",INDEX(ERP导入清单!O:O,IFERROR(MATCH(88,ERP导入清单!$X$5:$X$204,0)+4,"")))</f>
        <v/>
      </c>
      <c r="P92" s="39" t="str">
        <f>IF(COUNTIF(ERP导入清单!$X$5:$X$204,88)=0,"",INDEX(ERP导入清单!P:P,IFERROR(MATCH(88,ERP导入清单!$X$5:$X$204,0)+4,"")))</f>
        <v/>
      </c>
      <c r="Q92" s="39" t="str">
        <f>IF(COUNTIF(ERP导入清单!$X$5:$X$204,88)=0,"",INDEX(ERP导入清单!Q:Q,IFERROR(MATCH(88,ERP导入清单!$X$5:$X$204,0)+4,"")))</f>
        <v/>
      </c>
      <c r="R92" s="59" t="str">
        <f>IF(COUNTIF(ERP导入清单!$X$5:$X$204,88)=0,"",INDEX(ERP导入清单!R:R,IFERROR(MATCH(88,ERP导入清单!$X$5:$X$204,0)+4,"")))</f>
        <v/>
      </c>
      <c r="S92" s="37" t="str">
        <f>IF(COUNTIF(ERP导入清单!$X$5:$X$204,88)=0,"",INDEX(ERP导入清单!S:S,IFERROR(MATCH(88,ERP导入清单!$X$5:$X$204,0)+4,"")))</f>
        <v/>
      </c>
      <c r="T92" s="37" t="str">
        <f>IF(COUNTIF(ERP导入清单!$X$5:$X$204,88)=0,"",INDEX(ERP导入清单!T:T,IFERROR(MATCH(88,ERP导入清单!$X$5:$X$204,0)+4,"")))</f>
        <v/>
      </c>
      <c r="U92" s="37" t="str">
        <f>IF(COUNTIF(ERP导入清单!$X$5:$X$204,88)=0,"",INDEX(ERP导入清单!U:U,IFERROR(MATCH(88,ERP导入清单!$X$5:$X$204,0)+4,"")))</f>
        <v/>
      </c>
      <c r="V92" s="38" t="str">
        <f>IF(COUNTIF(ERP导入清单!$X$5:$X$204,88)=0,"",INDEX(ERP导入清单!V:V,IFERROR(MATCH(88,ERP导入清单!$X$5:$X$204,0)+4,"")))</f>
        <v/>
      </c>
      <c r="W92" s="50" t="str">
        <f>IF(COUNTIF(ERP导入清单!$X$5:$X$204,88)=0,"",INDEX(ERP导入清单!W:W,IFERROR(MATCH(88,ERP导入清单!$X$5:$X$204,0)+4,"")))</f>
        <v/>
      </c>
    </row>
    <row r="93" spans="1:23" ht="24" customHeight="1">
      <c r="A93" s="55" t="str">
        <f>IF(COUNTIF(ERP导入清单!$X$5:$X$204,89)=0,"",INDEX(ERP导入清单!A:A,IFERROR(MATCH(89,ERP导入清单!$X$5:$X$204,0)+4,"")))</f>
        <v/>
      </c>
      <c r="B93" s="37" t="str">
        <f>IF(COUNTIF(ERP导入清单!$X$5:$X$204,89)=0,"",INDEX(ERP导入清单!B:B,IFERROR(MATCH(89,ERP导入清单!$X$5:$X$204,0)+4,"")))</f>
        <v/>
      </c>
      <c r="C93" s="38" t="str">
        <f>IF(COUNTIF(ERP导入清单!$X$5:$X$204,89)=0,"",INDEX(ERP导入清单!C:C,IFERROR(MATCH(89,ERP导入清单!$X$5:$X$204,0)+4,"")))</f>
        <v/>
      </c>
      <c r="D93" s="37" t="str">
        <f>IF(COUNTIF(ERP导入清单!$X$5:$X$204,89)=0,"",INDEX(ERP导入清单!D:D,IFERROR(MATCH(89,ERP导入清单!$X$5:$X$204,0)+4,"")))</f>
        <v/>
      </c>
      <c r="E93" s="37" t="str">
        <f>IF(COUNTIF(ERP导入清单!$X$5:$X$204,89)=0,"",INDEX(ERP导入清单!E:E,IFERROR(MATCH(89,ERP导入清单!$X$5:$X$204,0)+4,"")))</f>
        <v/>
      </c>
      <c r="F93" s="37" t="str">
        <f>IF(COUNTIF(ERP导入清单!$X$5:$X$204,89)=0,"",INDEX(ERP导入清单!F:F,IFERROR(MATCH(89,ERP导入清单!$X$5:$X$204,0)+4,"")))</f>
        <v/>
      </c>
      <c r="G93" s="57" t="str">
        <f>IF(COUNTIF(ERP导入清单!$X$5:$X$204,89)=0,"",INDEX(ERP导入清单!G:G,IFERROR(MATCH(89,ERP导入清单!$X$5:$X$204,0)+4,"")))</f>
        <v/>
      </c>
      <c r="H93" s="37" t="str">
        <f>IF(COUNTIF(ERP导入清单!$X$5:$X$204,89)=0,"",INDEX(ERP导入清单!H:H,IFERROR(MATCH(89,ERP导入清单!$X$5:$X$204,0)+4,"")))</f>
        <v/>
      </c>
      <c r="I93" s="57" t="str">
        <f>IF(COUNTIF(ERP导入清单!$X$5:$X$204,89)=0,"",INDEX(ERP导入清单!I:I,IFERROR(MATCH(89,ERP导入清单!$X$5:$X$204,0)+4,"")))</f>
        <v/>
      </c>
      <c r="J93" s="57" t="str">
        <f>IF(COUNTIF(ERP导入清单!$X$5:$X$204,89)=0,"",INDEX(ERP导入清单!J:J,IFERROR(MATCH(89,ERP导入清单!$X$5:$X$204,0)+4,"")))</f>
        <v/>
      </c>
      <c r="K93" s="37" t="str">
        <f>IF(COUNTIF(ERP导入清单!$X$5:$X$204,89)=0,"",INDEX(ERP导入清单!K:K,IFERROR(MATCH(89,ERP导入清单!$X$5:$X$204,0)+4,"")))</f>
        <v/>
      </c>
      <c r="L93" s="37" t="str">
        <f>IF(COUNTIF(ERP导入清单!$X$5:$X$204,89)=0,"",INDEX(ERP导入清单!L:L,IFERROR(MATCH(89,ERP导入清单!$X$5:$X$204,0)+4,"")))</f>
        <v/>
      </c>
      <c r="M93" s="37" t="str">
        <f>IF(COUNTIF(ERP导入清单!$X$5:$X$204,89)=0,"",INDEX(ERP导入清单!M:M,IFERROR(MATCH(89,ERP导入清单!$X$5:$X$204,0)+4,"")))</f>
        <v/>
      </c>
      <c r="N93" s="37" t="str">
        <f>IF(COUNTIF(ERP导入清单!$X$5:$X$204,89)=0,"",INDEX(ERP导入清单!N:N,IFERROR(MATCH(89,ERP导入清单!$X$5:$X$204,0)+4,"")))</f>
        <v/>
      </c>
      <c r="O93" s="37" t="str">
        <f>IF(COUNTIF(ERP导入清单!$X$5:$X$204,89)=0,"",INDEX(ERP导入清单!O:O,IFERROR(MATCH(89,ERP导入清单!$X$5:$X$204,0)+4,"")))</f>
        <v/>
      </c>
      <c r="P93" s="39" t="str">
        <f>IF(COUNTIF(ERP导入清单!$X$5:$X$204,89)=0,"",INDEX(ERP导入清单!P:P,IFERROR(MATCH(89,ERP导入清单!$X$5:$X$204,0)+4,"")))</f>
        <v/>
      </c>
      <c r="Q93" s="39" t="str">
        <f>IF(COUNTIF(ERP导入清单!$X$5:$X$204,89)=0,"",INDEX(ERP导入清单!Q:Q,IFERROR(MATCH(89,ERP导入清单!$X$5:$X$204,0)+4,"")))</f>
        <v/>
      </c>
      <c r="R93" s="59" t="str">
        <f>IF(COUNTIF(ERP导入清单!$X$5:$X$204,89)=0,"",INDEX(ERP导入清单!R:R,IFERROR(MATCH(89,ERP导入清单!$X$5:$X$204,0)+4,"")))</f>
        <v/>
      </c>
      <c r="S93" s="37" t="str">
        <f>IF(COUNTIF(ERP导入清单!$X$5:$X$204,89)=0,"",INDEX(ERP导入清单!S:S,IFERROR(MATCH(89,ERP导入清单!$X$5:$X$204,0)+4,"")))</f>
        <v/>
      </c>
      <c r="T93" s="37" t="str">
        <f>IF(COUNTIF(ERP导入清单!$X$5:$X$204,89)=0,"",INDEX(ERP导入清单!T:T,IFERROR(MATCH(89,ERP导入清单!$X$5:$X$204,0)+4,"")))</f>
        <v/>
      </c>
      <c r="U93" s="37" t="str">
        <f>IF(COUNTIF(ERP导入清单!$X$5:$X$204,89)=0,"",INDEX(ERP导入清单!U:U,IFERROR(MATCH(89,ERP导入清单!$X$5:$X$204,0)+4,"")))</f>
        <v/>
      </c>
      <c r="V93" s="38" t="str">
        <f>IF(COUNTIF(ERP导入清单!$X$5:$X$204,89)=0,"",INDEX(ERP导入清单!V:V,IFERROR(MATCH(89,ERP导入清单!$X$5:$X$204,0)+4,"")))</f>
        <v/>
      </c>
      <c r="W93" s="50" t="str">
        <f>IF(COUNTIF(ERP导入清单!$X$5:$X$204,89)=0,"",INDEX(ERP导入清单!W:W,IFERROR(MATCH(89,ERP导入清单!$X$5:$X$204,0)+4,"")))</f>
        <v/>
      </c>
    </row>
    <row r="94" spans="1:23" ht="24" customHeight="1">
      <c r="A94" s="55" t="str">
        <f>IF(COUNTIF(ERP导入清单!$X$5:$X$204,90)=0,"",INDEX(ERP导入清单!A:A,IFERROR(MATCH(90,ERP导入清单!$X$5:$X$204,0)+4,"")))</f>
        <v/>
      </c>
      <c r="B94" s="37" t="str">
        <f>IF(COUNTIF(ERP导入清单!$X$5:$X$204,90)=0,"",INDEX(ERP导入清单!B:B,IFERROR(MATCH(90,ERP导入清单!$X$5:$X$204,0)+4,"")))</f>
        <v/>
      </c>
      <c r="C94" s="38" t="str">
        <f>IF(COUNTIF(ERP导入清单!$X$5:$X$204,90)=0,"",INDEX(ERP导入清单!C:C,IFERROR(MATCH(90,ERP导入清单!$X$5:$X$204,0)+4,"")))</f>
        <v/>
      </c>
      <c r="D94" s="37" t="str">
        <f>IF(COUNTIF(ERP导入清单!$X$5:$X$204,90)=0,"",INDEX(ERP导入清单!D:D,IFERROR(MATCH(90,ERP导入清单!$X$5:$X$204,0)+4,"")))</f>
        <v/>
      </c>
      <c r="E94" s="37" t="str">
        <f>IF(COUNTIF(ERP导入清单!$X$5:$X$204,90)=0,"",INDEX(ERP导入清单!E:E,IFERROR(MATCH(90,ERP导入清单!$X$5:$X$204,0)+4,"")))</f>
        <v/>
      </c>
      <c r="F94" s="37" t="str">
        <f>IF(COUNTIF(ERP导入清单!$X$5:$X$204,90)=0,"",INDEX(ERP导入清单!F:F,IFERROR(MATCH(90,ERP导入清单!$X$5:$X$204,0)+4,"")))</f>
        <v/>
      </c>
      <c r="G94" s="57" t="str">
        <f>IF(COUNTIF(ERP导入清单!$X$5:$X$204,90)=0,"",INDEX(ERP导入清单!G:G,IFERROR(MATCH(90,ERP导入清单!$X$5:$X$204,0)+4,"")))</f>
        <v/>
      </c>
      <c r="H94" s="37" t="str">
        <f>IF(COUNTIF(ERP导入清单!$X$5:$X$204,90)=0,"",INDEX(ERP导入清单!H:H,IFERROR(MATCH(90,ERP导入清单!$X$5:$X$204,0)+4,"")))</f>
        <v/>
      </c>
      <c r="I94" s="57" t="str">
        <f>IF(COUNTIF(ERP导入清单!$X$5:$X$204,90)=0,"",INDEX(ERP导入清单!I:I,IFERROR(MATCH(90,ERP导入清单!$X$5:$X$204,0)+4,"")))</f>
        <v/>
      </c>
      <c r="J94" s="57" t="str">
        <f>IF(COUNTIF(ERP导入清单!$X$5:$X$204,90)=0,"",INDEX(ERP导入清单!J:J,IFERROR(MATCH(90,ERP导入清单!$X$5:$X$204,0)+4,"")))</f>
        <v/>
      </c>
      <c r="K94" s="37" t="str">
        <f>IF(COUNTIF(ERP导入清单!$X$5:$X$204,90)=0,"",INDEX(ERP导入清单!K:K,IFERROR(MATCH(90,ERP导入清单!$X$5:$X$204,0)+4,"")))</f>
        <v/>
      </c>
      <c r="L94" s="37" t="str">
        <f>IF(COUNTIF(ERP导入清单!$X$5:$X$204,90)=0,"",INDEX(ERP导入清单!L:L,IFERROR(MATCH(90,ERP导入清单!$X$5:$X$204,0)+4,"")))</f>
        <v/>
      </c>
      <c r="M94" s="37" t="str">
        <f>IF(COUNTIF(ERP导入清单!$X$5:$X$204,90)=0,"",INDEX(ERP导入清单!M:M,IFERROR(MATCH(90,ERP导入清单!$X$5:$X$204,0)+4,"")))</f>
        <v/>
      </c>
      <c r="N94" s="37" t="str">
        <f>IF(COUNTIF(ERP导入清单!$X$5:$X$204,90)=0,"",INDEX(ERP导入清单!N:N,IFERROR(MATCH(90,ERP导入清单!$X$5:$X$204,0)+4,"")))</f>
        <v/>
      </c>
      <c r="O94" s="37" t="str">
        <f>IF(COUNTIF(ERP导入清单!$X$5:$X$204,90)=0,"",INDEX(ERP导入清单!O:O,IFERROR(MATCH(90,ERP导入清单!$X$5:$X$204,0)+4,"")))</f>
        <v/>
      </c>
      <c r="P94" s="39" t="str">
        <f>IF(COUNTIF(ERP导入清单!$X$5:$X$204,90)=0,"",INDEX(ERP导入清单!P:P,IFERROR(MATCH(90,ERP导入清单!$X$5:$X$204,0)+4,"")))</f>
        <v/>
      </c>
      <c r="Q94" s="39" t="str">
        <f>IF(COUNTIF(ERP导入清单!$X$5:$X$204,90)=0,"",INDEX(ERP导入清单!Q:Q,IFERROR(MATCH(90,ERP导入清单!$X$5:$X$204,0)+4,"")))</f>
        <v/>
      </c>
      <c r="R94" s="59" t="str">
        <f>IF(COUNTIF(ERP导入清单!$X$5:$X$204,90)=0,"",INDEX(ERP导入清单!R:R,IFERROR(MATCH(90,ERP导入清单!$X$5:$X$204,0)+4,"")))</f>
        <v/>
      </c>
      <c r="S94" s="37" t="str">
        <f>IF(COUNTIF(ERP导入清单!$X$5:$X$204,90)=0,"",INDEX(ERP导入清单!S:S,IFERROR(MATCH(90,ERP导入清单!$X$5:$X$204,0)+4,"")))</f>
        <v/>
      </c>
      <c r="T94" s="37" t="str">
        <f>IF(COUNTIF(ERP导入清单!$X$5:$X$204,90)=0,"",INDEX(ERP导入清单!T:T,IFERROR(MATCH(90,ERP导入清单!$X$5:$X$204,0)+4,"")))</f>
        <v/>
      </c>
      <c r="U94" s="37" t="str">
        <f>IF(COUNTIF(ERP导入清单!$X$5:$X$204,90)=0,"",INDEX(ERP导入清单!U:U,IFERROR(MATCH(90,ERP导入清单!$X$5:$X$204,0)+4,"")))</f>
        <v/>
      </c>
      <c r="V94" s="38" t="str">
        <f>IF(COUNTIF(ERP导入清单!$X$5:$X$204,90)=0,"",INDEX(ERP导入清单!V:V,IFERROR(MATCH(90,ERP导入清单!$X$5:$X$204,0)+4,"")))</f>
        <v/>
      </c>
      <c r="W94" s="50" t="str">
        <f>IF(COUNTIF(ERP导入清单!$X$5:$X$204,90)=0,"",INDEX(ERP导入清单!W:W,IFERROR(MATCH(90,ERP导入清单!$X$5:$X$204,0)+4,"")))</f>
        <v/>
      </c>
    </row>
    <row r="95" spans="1:23" ht="24" customHeight="1">
      <c r="A95" s="55" t="str">
        <f>IF(COUNTIF(ERP导入清单!$X$5:$X$204,91)=0,"",INDEX(ERP导入清单!A:A,IFERROR(MATCH(91,ERP导入清单!$X$5:$X$204,0)+4,"")))</f>
        <v/>
      </c>
      <c r="B95" s="37" t="str">
        <f>IF(COUNTIF(ERP导入清单!$X$5:$X$204,91)=0,"",INDEX(ERP导入清单!B:B,IFERROR(MATCH(91,ERP导入清单!$X$5:$X$204,0)+4,"")))</f>
        <v/>
      </c>
      <c r="C95" s="38" t="str">
        <f>IF(COUNTIF(ERP导入清单!$X$5:$X$204,91)=0,"",INDEX(ERP导入清单!C:C,IFERROR(MATCH(91,ERP导入清单!$X$5:$X$204,0)+4,"")))</f>
        <v/>
      </c>
      <c r="D95" s="37" t="str">
        <f>IF(COUNTIF(ERP导入清单!$X$5:$X$204,91)=0,"",INDEX(ERP导入清单!D:D,IFERROR(MATCH(91,ERP导入清单!$X$5:$X$204,0)+4,"")))</f>
        <v/>
      </c>
      <c r="E95" s="37" t="str">
        <f>IF(COUNTIF(ERP导入清单!$X$5:$X$204,91)=0,"",INDEX(ERP导入清单!E:E,IFERROR(MATCH(91,ERP导入清单!$X$5:$X$204,0)+4,"")))</f>
        <v/>
      </c>
      <c r="F95" s="37" t="str">
        <f>IF(COUNTIF(ERP导入清单!$X$5:$X$204,91)=0,"",INDEX(ERP导入清单!F:F,IFERROR(MATCH(91,ERP导入清单!$X$5:$X$204,0)+4,"")))</f>
        <v/>
      </c>
      <c r="G95" s="57" t="str">
        <f>IF(COUNTIF(ERP导入清单!$X$5:$X$204,91)=0,"",INDEX(ERP导入清单!G:G,IFERROR(MATCH(91,ERP导入清单!$X$5:$X$204,0)+4,"")))</f>
        <v/>
      </c>
      <c r="H95" s="37" t="str">
        <f>IF(COUNTIF(ERP导入清单!$X$5:$X$204,91)=0,"",INDEX(ERP导入清单!H:H,IFERROR(MATCH(91,ERP导入清单!$X$5:$X$204,0)+4,"")))</f>
        <v/>
      </c>
      <c r="I95" s="57" t="str">
        <f>IF(COUNTIF(ERP导入清单!$X$5:$X$204,91)=0,"",INDEX(ERP导入清单!I:I,IFERROR(MATCH(91,ERP导入清单!$X$5:$X$204,0)+4,"")))</f>
        <v/>
      </c>
      <c r="J95" s="57" t="str">
        <f>IF(COUNTIF(ERP导入清单!$X$5:$X$204,91)=0,"",INDEX(ERP导入清单!J:J,IFERROR(MATCH(91,ERP导入清单!$X$5:$X$204,0)+4,"")))</f>
        <v/>
      </c>
      <c r="K95" s="37" t="str">
        <f>IF(COUNTIF(ERP导入清单!$X$5:$X$204,91)=0,"",INDEX(ERP导入清单!K:K,IFERROR(MATCH(91,ERP导入清单!$X$5:$X$204,0)+4,"")))</f>
        <v/>
      </c>
      <c r="L95" s="37" t="str">
        <f>IF(COUNTIF(ERP导入清单!$X$5:$X$204,91)=0,"",INDEX(ERP导入清单!L:L,IFERROR(MATCH(91,ERP导入清单!$X$5:$X$204,0)+4,"")))</f>
        <v/>
      </c>
      <c r="M95" s="37" t="str">
        <f>IF(COUNTIF(ERP导入清单!$X$5:$X$204,91)=0,"",INDEX(ERP导入清单!M:M,IFERROR(MATCH(91,ERP导入清单!$X$5:$X$204,0)+4,"")))</f>
        <v/>
      </c>
      <c r="N95" s="37" t="str">
        <f>IF(COUNTIF(ERP导入清单!$X$5:$X$204,91)=0,"",INDEX(ERP导入清单!N:N,IFERROR(MATCH(91,ERP导入清单!$X$5:$X$204,0)+4,"")))</f>
        <v/>
      </c>
      <c r="O95" s="37" t="str">
        <f>IF(COUNTIF(ERP导入清单!$X$5:$X$204,91)=0,"",INDEX(ERP导入清单!O:O,IFERROR(MATCH(91,ERP导入清单!$X$5:$X$204,0)+4,"")))</f>
        <v/>
      </c>
      <c r="P95" s="39" t="str">
        <f>IF(COUNTIF(ERP导入清单!$X$5:$X$204,91)=0,"",INDEX(ERP导入清单!P:P,IFERROR(MATCH(91,ERP导入清单!$X$5:$X$204,0)+4,"")))</f>
        <v/>
      </c>
      <c r="Q95" s="39" t="str">
        <f>IF(COUNTIF(ERP导入清单!$X$5:$X$204,91)=0,"",INDEX(ERP导入清单!Q:Q,IFERROR(MATCH(91,ERP导入清单!$X$5:$X$204,0)+4,"")))</f>
        <v/>
      </c>
      <c r="R95" s="59" t="str">
        <f>IF(COUNTIF(ERP导入清单!$X$5:$X$204,91)=0,"",INDEX(ERP导入清单!R:R,IFERROR(MATCH(91,ERP导入清单!$X$5:$X$204,0)+4,"")))</f>
        <v/>
      </c>
      <c r="S95" s="37" t="str">
        <f>IF(COUNTIF(ERP导入清单!$X$5:$X$204,91)=0,"",INDEX(ERP导入清单!S:S,IFERROR(MATCH(91,ERP导入清单!$X$5:$X$204,0)+4,"")))</f>
        <v/>
      </c>
      <c r="T95" s="37" t="str">
        <f>IF(COUNTIF(ERP导入清单!$X$5:$X$204,91)=0,"",INDEX(ERP导入清单!T:T,IFERROR(MATCH(91,ERP导入清单!$X$5:$X$204,0)+4,"")))</f>
        <v/>
      </c>
      <c r="U95" s="37" t="str">
        <f>IF(COUNTIF(ERP导入清单!$X$5:$X$204,91)=0,"",INDEX(ERP导入清单!U:U,IFERROR(MATCH(91,ERP导入清单!$X$5:$X$204,0)+4,"")))</f>
        <v/>
      </c>
      <c r="V95" s="38" t="str">
        <f>IF(COUNTIF(ERP导入清单!$X$5:$X$204,91)=0,"",INDEX(ERP导入清单!V:V,IFERROR(MATCH(91,ERP导入清单!$X$5:$X$204,0)+4,"")))</f>
        <v/>
      </c>
      <c r="W95" s="50" t="str">
        <f>IF(COUNTIF(ERP导入清单!$X$5:$X$204,91)=0,"",INDEX(ERP导入清单!W:W,IFERROR(MATCH(91,ERP导入清单!$X$5:$X$204,0)+4,"")))</f>
        <v/>
      </c>
    </row>
    <row r="96" spans="1:23" ht="24" customHeight="1">
      <c r="A96" s="55" t="str">
        <f>IF(COUNTIF(ERP导入清单!$X$5:$X$204,92)=0,"",INDEX(ERP导入清单!A:A,IFERROR(MATCH(92,ERP导入清单!$X$5:$X$204,0)+4,"")))</f>
        <v/>
      </c>
      <c r="B96" s="37" t="str">
        <f>IF(COUNTIF(ERP导入清单!$X$5:$X$204,92)=0,"",INDEX(ERP导入清单!B:B,IFERROR(MATCH(92,ERP导入清单!$X$5:$X$204,0)+4,"")))</f>
        <v/>
      </c>
      <c r="C96" s="38" t="str">
        <f>IF(COUNTIF(ERP导入清单!$X$5:$X$204,92)=0,"",INDEX(ERP导入清单!C:C,IFERROR(MATCH(92,ERP导入清单!$X$5:$X$204,0)+4,"")))</f>
        <v/>
      </c>
      <c r="D96" s="37" t="str">
        <f>IF(COUNTIF(ERP导入清单!$X$5:$X$204,92)=0,"",INDEX(ERP导入清单!D:D,IFERROR(MATCH(92,ERP导入清单!$X$5:$X$204,0)+4,"")))</f>
        <v/>
      </c>
      <c r="E96" s="37" t="str">
        <f>IF(COUNTIF(ERP导入清单!$X$5:$X$204,92)=0,"",INDEX(ERP导入清单!E:E,IFERROR(MATCH(92,ERP导入清单!$X$5:$X$204,0)+4,"")))</f>
        <v/>
      </c>
      <c r="F96" s="37" t="str">
        <f>IF(COUNTIF(ERP导入清单!$X$5:$X$204,92)=0,"",INDEX(ERP导入清单!F:F,IFERROR(MATCH(92,ERP导入清单!$X$5:$X$204,0)+4,"")))</f>
        <v/>
      </c>
      <c r="G96" s="57" t="str">
        <f>IF(COUNTIF(ERP导入清单!$X$5:$X$204,92)=0,"",INDEX(ERP导入清单!G:G,IFERROR(MATCH(92,ERP导入清单!$X$5:$X$204,0)+4,"")))</f>
        <v/>
      </c>
      <c r="H96" s="37" t="str">
        <f>IF(COUNTIF(ERP导入清单!$X$5:$X$204,92)=0,"",INDEX(ERP导入清单!H:H,IFERROR(MATCH(92,ERP导入清单!$X$5:$X$204,0)+4,"")))</f>
        <v/>
      </c>
      <c r="I96" s="57" t="str">
        <f>IF(COUNTIF(ERP导入清单!$X$5:$X$204,92)=0,"",INDEX(ERP导入清单!I:I,IFERROR(MATCH(92,ERP导入清单!$X$5:$X$204,0)+4,"")))</f>
        <v/>
      </c>
      <c r="J96" s="57" t="str">
        <f>IF(COUNTIF(ERP导入清单!$X$5:$X$204,92)=0,"",INDEX(ERP导入清单!J:J,IFERROR(MATCH(92,ERP导入清单!$X$5:$X$204,0)+4,"")))</f>
        <v/>
      </c>
      <c r="K96" s="37" t="str">
        <f>IF(COUNTIF(ERP导入清单!$X$5:$X$204,92)=0,"",INDEX(ERP导入清单!K:K,IFERROR(MATCH(92,ERP导入清单!$X$5:$X$204,0)+4,"")))</f>
        <v/>
      </c>
      <c r="L96" s="37" t="str">
        <f>IF(COUNTIF(ERP导入清单!$X$5:$X$204,92)=0,"",INDEX(ERP导入清单!L:L,IFERROR(MATCH(92,ERP导入清单!$X$5:$X$204,0)+4,"")))</f>
        <v/>
      </c>
      <c r="M96" s="37" t="str">
        <f>IF(COUNTIF(ERP导入清单!$X$5:$X$204,92)=0,"",INDEX(ERP导入清单!M:M,IFERROR(MATCH(92,ERP导入清单!$X$5:$X$204,0)+4,"")))</f>
        <v/>
      </c>
      <c r="N96" s="37" t="str">
        <f>IF(COUNTIF(ERP导入清单!$X$5:$X$204,92)=0,"",INDEX(ERP导入清单!N:N,IFERROR(MATCH(92,ERP导入清单!$X$5:$X$204,0)+4,"")))</f>
        <v/>
      </c>
      <c r="O96" s="37" t="str">
        <f>IF(COUNTIF(ERP导入清单!$X$5:$X$204,92)=0,"",INDEX(ERP导入清单!O:O,IFERROR(MATCH(92,ERP导入清单!$X$5:$X$204,0)+4,"")))</f>
        <v/>
      </c>
      <c r="P96" s="39" t="str">
        <f>IF(COUNTIF(ERP导入清单!$X$5:$X$204,92)=0,"",INDEX(ERP导入清单!P:P,IFERROR(MATCH(92,ERP导入清单!$X$5:$X$204,0)+4,"")))</f>
        <v/>
      </c>
      <c r="Q96" s="39" t="str">
        <f>IF(COUNTIF(ERP导入清单!$X$5:$X$204,92)=0,"",INDEX(ERP导入清单!Q:Q,IFERROR(MATCH(92,ERP导入清单!$X$5:$X$204,0)+4,"")))</f>
        <v/>
      </c>
      <c r="R96" s="59" t="str">
        <f>IF(COUNTIF(ERP导入清单!$X$5:$X$204,92)=0,"",INDEX(ERP导入清单!R:R,IFERROR(MATCH(92,ERP导入清单!$X$5:$X$204,0)+4,"")))</f>
        <v/>
      </c>
      <c r="S96" s="37" t="str">
        <f>IF(COUNTIF(ERP导入清单!$X$5:$X$204,92)=0,"",INDEX(ERP导入清单!S:S,IFERROR(MATCH(92,ERP导入清单!$X$5:$X$204,0)+4,"")))</f>
        <v/>
      </c>
      <c r="T96" s="37" t="str">
        <f>IF(COUNTIF(ERP导入清单!$X$5:$X$204,92)=0,"",INDEX(ERP导入清单!T:T,IFERROR(MATCH(92,ERP导入清单!$X$5:$X$204,0)+4,"")))</f>
        <v/>
      </c>
      <c r="U96" s="37" t="str">
        <f>IF(COUNTIF(ERP导入清单!$X$5:$X$204,92)=0,"",INDEX(ERP导入清单!U:U,IFERROR(MATCH(92,ERP导入清单!$X$5:$X$204,0)+4,"")))</f>
        <v/>
      </c>
      <c r="V96" s="38" t="str">
        <f>IF(COUNTIF(ERP导入清单!$X$5:$X$204,92)=0,"",INDEX(ERP导入清单!V:V,IFERROR(MATCH(92,ERP导入清单!$X$5:$X$204,0)+4,"")))</f>
        <v/>
      </c>
      <c r="W96" s="50" t="str">
        <f>IF(COUNTIF(ERP导入清单!$X$5:$X$204,92)=0,"",INDEX(ERP导入清单!W:W,IFERROR(MATCH(92,ERP导入清单!$X$5:$X$204,0)+4,"")))</f>
        <v/>
      </c>
    </row>
    <row r="97" spans="1:23" ht="24" customHeight="1">
      <c r="A97" s="55" t="str">
        <f>IF(COUNTIF(ERP导入清单!$X$5:$X$204,93)=0,"",INDEX(ERP导入清单!A:A,IFERROR(MATCH(93,ERP导入清单!$X$5:$X$204,0)+4,"")))</f>
        <v/>
      </c>
      <c r="B97" s="37" t="str">
        <f>IF(COUNTIF(ERP导入清单!$X$5:$X$204,93)=0,"",INDEX(ERP导入清单!B:B,IFERROR(MATCH(93,ERP导入清单!$X$5:$X$204,0)+4,"")))</f>
        <v/>
      </c>
      <c r="C97" s="38" t="str">
        <f>IF(COUNTIF(ERP导入清单!$X$5:$X$204,93)=0,"",INDEX(ERP导入清单!C:C,IFERROR(MATCH(93,ERP导入清单!$X$5:$X$204,0)+4,"")))</f>
        <v/>
      </c>
      <c r="D97" s="37" t="str">
        <f>IF(COUNTIF(ERP导入清单!$X$5:$X$204,93)=0,"",INDEX(ERP导入清单!D:D,IFERROR(MATCH(93,ERP导入清单!$X$5:$X$204,0)+4,"")))</f>
        <v/>
      </c>
      <c r="E97" s="37" t="str">
        <f>IF(COUNTIF(ERP导入清单!$X$5:$X$204,93)=0,"",INDEX(ERP导入清单!E:E,IFERROR(MATCH(93,ERP导入清单!$X$5:$X$204,0)+4,"")))</f>
        <v/>
      </c>
      <c r="F97" s="37" t="str">
        <f>IF(COUNTIF(ERP导入清单!$X$5:$X$204,93)=0,"",INDEX(ERP导入清单!F:F,IFERROR(MATCH(93,ERP导入清单!$X$5:$X$204,0)+4,"")))</f>
        <v/>
      </c>
      <c r="G97" s="57" t="str">
        <f>IF(COUNTIF(ERP导入清单!$X$5:$X$204,93)=0,"",INDEX(ERP导入清单!G:G,IFERROR(MATCH(93,ERP导入清单!$X$5:$X$204,0)+4,"")))</f>
        <v/>
      </c>
      <c r="H97" s="37" t="str">
        <f>IF(COUNTIF(ERP导入清单!$X$5:$X$204,93)=0,"",INDEX(ERP导入清单!H:H,IFERROR(MATCH(93,ERP导入清单!$X$5:$X$204,0)+4,"")))</f>
        <v/>
      </c>
      <c r="I97" s="57" t="str">
        <f>IF(COUNTIF(ERP导入清单!$X$5:$X$204,93)=0,"",INDEX(ERP导入清单!I:I,IFERROR(MATCH(93,ERP导入清单!$X$5:$X$204,0)+4,"")))</f>
        <v/>
      </c>
      <c r="J97" s="57" t="str">
        <f>IF(COUNTIF(ERP导入清单!$X$5:$X$204,93)=0,"",INDEX(ERP导入清单!J:J,IFERROR(MATCH(93,ERP导入清单!$X$5:$X$204,0)+4,"")))</f>
        <v/>
      </c>
      <c r="K97" s="37" t="str">
        <f>IF(COUNTIF(ERP导入清单!$X$5:$X$204,93)=0,"",INDEX(ERP导入清单!K:K,IFERROR(MATCH(93,ERP导入清单!$X$5:$X$204,0)+4,"")))</f>
        <v/>
      </c>
      <c r="L97" s="37" t="str">
        <f>IF(COUNTIF(ERP导入清单!$X$5:$X$204,93)=0,"",INDEX(ERP导入清单!L:L,IFERROR(MATCH(93,ERP导入清单!$X$5:$X$204,0)+4,"")))</f>
        <v/>
      </c>
      <c r="M97" s="37" t="str">
        <f>IF(COUNTIF(ERP导入清单!$X$5:$X$204,93)=0,"",INDEX(ERP导入清单!M:M,IFERROR(MATCH(93,ERP导入清单!$X$5:$X$204,0)+4,"")))</f>
        <v/>
      </c>
      <c r="N97" s="37" t="str">
        <f>IF(COUNTIF(ERP导入清单!$X$5:$X$204,93)=0,"",INDEX(ERP导入清单!N:N,IFERROR(MATCH(93,ERP导入清单!$X$5:$X$204,0)+4,"")))</f>
        <v/>
      </c>
      <c r="O97" s="37" t="str">
        <f>IF(COUNTIF(ERP导入清单!$X$5:$X$204,93)=0,"",INDEX(ERP导入清单!O:O,IFERROR(MATCH(93,ERP导入清单!$X$5:$X$204,0)+4,"")))</f>
        <v/>
      </c>
      <c r="P97" s="39" t="str">
        <f>IF(COUNTIF(ERP导入清单!$X$5:$X$204,93)=0,"",INDEX(ERP导入清单!P:P,IFERROR(MATCH(93,ERP导入清单!$X$5:$X$204,0)+4,"")))</f>
        <v/>
      </c>
      <c r="Q97" s="39" t="str">
        <f>IF(COUNTIF(ERP导入清单!$X$5:$X$204,93)=0,"",INDEX(ERP导入清单!Q:Q,IFERROR(MATCH(93,ERP导入清单!$X$5:$X$204,0)+4,"")))</f>
        <v/>
      </c>
      <c r="R97" s="59" t="str">
        <f>IF(COUNTIF(ERP导入清单!$X$5:$X$204,93)=0,"",INDEX(ERP导入清单!R:R,IFERROR(MATCH(93,ERP导入清单!$X$5:$X$204,0)+4,"")))</f>
        <v/>
      </c>
      <c r="S97" s="37" t="str">
        <f>IF(COUNTIF(ERP导入清单!$X$5:$X$204,93)=0,"",INDEX(ERP导入清单!S:S,IFERROR(MATCH(93,ERP导入清单!$X$5:$X$204,0)+4,"")))</f>
        <v/>
      </c>
      <c r="T97" s="37" t="str">
        <f>IF(COUNTIF(ERP导入清单!$X$5:$X$204,93)=0,"",INDEX(ERP导入清单!T:T,IFERROR(MATCH(93,ERP导入清单!$X$5:$X$204,0)+4,"")))</f>
        <v/>
      </c>
      <c r="U97" s="37" t="str">
        <f>IF(COUNTIF(ERP导入清单!$X$5:$X$204,93)=0,"",INDEX(ERP导入清单!U:U,IFERROR(MATCH(93,ERP导入清单!$X$5:$X$204,0)+4,"")))</f>
        <v/>
      </c>
      <c r="V97" s="38" t="str">
        <f>IF(COUNTIF(ERP导入清单!$X$5:$X$204,93)=0,"",INDEX(ERP导入清单!V:V,IFERROR(MATCH(93,ERP导入清单!$X$5:$X$204,0)+4,"")))</f>
        <v/>
      </c>
      <c r="W97" s="50" t="str">
        <f>IF(COUNTIF(ERP导入清单!$X$5:$X$204,93)=0,"",INDEX(ERP导入清单!W:W,IFERROR(MATCH(93,ERP导入清单!$X$5:$X$204,0)+4,"")))</f>
        <v/>
      </c>
    </row>
    <row r="98" spans="1:23" ht="24" customHeight="1">
      <c r="A98" s="55" t="str">
        <f>IF(COUNTIF(ERP导入清单!$X$5:$X$204,94)=0,"",INDEX(ERP导入清单!A:A,IFERROR(MATCH(94,ERP导入清单!$X$5:$X$204,0)+4,"")))</f>
        <v/>
      </c>
      <c r="B98" s="37" t="str">
        <f>IF(COUNTIF(ERP导入清单!$X$5:$X$204,94)=0,"",INDEX(ERP导入清单!B:B,IFERROR(MATCH(94,ERP导入清单!$X$5:$X$204,0)+4,"")))</f>
        <v/>
      </c>
      <c r="C98" s="38" t="str">
        <f>IF(COUNTIF(ERP导入清单!$X$5:$X$204,94)=0,"",INDEX(ERP导入清单!C:C,IFERROR(MATCH(94,ERP导入清单!$X$5:$X$204,0)+4,"")))</f>
        <v/>
      </c>
      <c r="D98" s="37" t="str">
        <f>IF(COUNTIF(ERP导入清单!$X$5:$X$204,94)=0,"",INDEX(ERP导入清单!D:D,IFERROR(MATCH(94,ERP导入清单!$X$5:$X$204,0)+4,"")))</f>
        <v/>
      </c>
      <c r="E98" s="37" t="str">
        <f>IF(COUNTIF(ERP导入清单!$X$5:$X$204,94)=0,"",INDEX(ERP导入清单!E:E,IFERROR(MATCH(94,ERP导入清单!$X$5:$X$204,0)+4,"")))</f>
        <v/>
      </c>
      <c r="F98" s="37" t="str">
        <f>IF(COUNTIF(ERP导入清单!$X$5:$X$204,94)=0,"",INDEX(ERP导入清单!F:F,IFERROR(MATCH(94,ERP导入清单!$X$5:$X$204,0)+4,"")))</f>
        <v/>
      </c>
      <c r="G98" s="57" t="str">
        <f>IF(COUNTIF(ERP导入清单!$X$5:$X$204,94)=0,"",INDEX(ERP导入清单!G:G,IFERROR(MATCH(94,ERP导入清单!$X$5:$X$204,0)+4,"")))</f>
        <v/>
      </c>
      <c r="H98" s="37" t="str">
        <f>IF(COUNTIF(ERP导入清单!$X$5:$X$204,94)=0,"",INDEX(ERP导入清单!H:H,IFERROR(MATCH(94,ERP导入清单!$X$5:$X$204,0)+4,"")))</f>
        <v/>
      </c>
      <c r="I98" s="57" t="str">
        <f>IF(COUNTIF(ERP导入清单!$X$5:$X$204,94)=0,"",INDEX(ERP导入清单!I:I,IFERROR(MATCH(94,ERP导入清单!$X$5:$X$204,0)+4,"")))</f>
        <v/>
      </c>
      <c r="J98" s="57" t="str">
        <f>IF(COUNTIF(ERP导入清单!$X$5:$X$204,94)=0,"",INDEX(ERP导入清单!J:J,IFERROR(MATCH(94,ERP导入清单!$X$5:$X$204,0)+4,"")))</f>
        <v/>
      </c>
      <c r="K98" s="37" t="str">
        <f>IF(COUNTIF(ERP导入清单!$X$5:$X$204,94)=0,"",INDEX(ERP导入清单!K:K,IFERROR(MATCH(94,ERP导入清单!$X$5:$X$204,0)+4,"")))</f>
        <v/>
      </c>
      <c r="L98" s="37" t="str">
        <f>IF(COUNTIF(ERP导入清单!$X$5:$X$204,94)=0,"",INDEX(ERP导入清单!L:L,IFERROR(MATCH(94,ERP导入清单!$X$5:$X$204,0)+4,"")))</f>
        <v/>
      </c>
      <c r="M98" s="37" t="str">
        <f>IF(COUNTIF(ERP导入清单!$X$5:$X$204,94)=0,"",INDEX(ERP导入清单!M:M,IFERROR(MATCH(94,ERP导入清单!$X$5:$X$204,0)+4,"")))</f>
        <v/>
      </c>
      <c r="N98" s="37" t="str">
        <f>IF(COUNTIF(ERP导入清单!$X$5:$X$204,94)=0,"",INDEX(ERP导入清单!N:N,IFERROR(MATCH(94,ERP导入清单!$X$5:$X$204,0)+4,"")))</f>
        <v/>
      </c>
      <c r="O98" s="37" t="str">
        <f>IF(COUNTIF(ERP导入清单!$X$5:$X$204,94)=0,"",INDEX(ERP导入清单!O:O,IFERROR(MATCH(94,ERP导入清单!$X$5:$X$204,0)+4,"")))</f>
        <v/>
      </c>
      <c r="P98" s="39" t="str">
        <f>IF(COUNTIF(ERP导入清单!$X$5:$X$204,94)=0,"",INDEX(ERP导入清单!P:P,IFERROR(MATCH(94,ERP导入清单!$X$5:$X$204,0)+4,"")))</f>
        <v/>
      </c>
      <c r="Q98" s="39" t="str">
        <f>IF(COUNTIF(ERP导入清单!$X$5:$X$204,94)=0,"",INDEX(ERP导入清单!Q:Q,IFERROR(MATCH(94,ERP导入清单!$X$5:$X$204,0)+4,"")))</f>
        <v/>
      </c>
      <c r="R98" s="59" t="str">
        <f>IF(COUNTIF(ERP导入清单!$X$5:$X$204,94)=0,"",INDEX(ERP导入清单!R:R,IFERROR(MATCH(94,ERP导入清单!$X$5:$X$204,0)+4,"")))</f>
        <v/>
      </c>
      <c r="S98" s="37" t="str">
        <f>IF(COUNTIF(ERP导入清单!$X$5:$X$204,94)=0,"",INDEX(ERP导入清单!S:S,IFERROR(MATCH(94,ERP导入清单!$X$5:$X$204,0)+4,"")))</f>
        <v/>
      </c>
      <c r="T98" s="37" t="str">
        <f>IF(COUNTIF(ERP导入清单!$X$5:$X$204,94)=0,"",INDEX(ERP导入清单!T:T,IFERROR(MATCH(94,ERP导入清单!$X$5:$X$204,0)+4,"")))</f>
        <v/>
      </c>
      <c r="U98" s="37" t="str">
        <f>IF(COUNTIF(ERP导入清单!$X$5:$X$204,94)=0,"",INDEX(ERP导入清单!U:U,IFERROR(MATCH(94,ERP导入清单!$X$5:$X$204,0)+4,"")))</f>
        <v/>
      </c>
      <c r="V98" s="38" t="str">
        <f>IF(COUNTIF(ERP导入清单!$X$5:$X$204,94)=0,"",INDEX(ERP导入清单!V:V,IFERROR(MATCH(94,ERP导入清单!$X$5:$X$204,0)+4,"")))</f>
        <v/>
      </c>
      <c r="W98" s="50" t="str">
        <f>IF(COUNTIF(ERP导入清单!$X$5:$X$204,94)=0,"",INDEX(ERP导入清单!W:W,IFERROR(MATCH(94,ERP导入清单!$X$5:$X$204,0)+4,"")))</f>
        <v/>
      </c>
    </row>
    <row r="99" spans="1:23" ht="24" customHeight="1">
      <c r="A99" s="55" t="str">
        <f>IF(COUNTIF(ERP导入清单!$X$5:$X$204,95)=0,"",INDEX(ERP导入清单!A:A,IFERROR(MATCH(95,ERP导入清单!$X$5:$X$204,0)+4,"")))</f>
        <v/>
      </c>
      <c r="B99" s="37" t="str">
        <f>IF(COUNTIF(ERP导入清单!$X$5:$X$204,95)=0,"",INDEX(ERP导入清单!B:B,IFERROR(MATCH(95,ERP导入清单!$X$5:$X$204,0)+4,"")))</f>
        <v/>
      </c>
      <c r="C99" s="38" t="str">
        <f>IF(COUNTIF(ERP导入清单!$X$5:$X$204,95)=0,"",INDEX(ERP导入清单!C:C,IFERROR(MATCH(95,ERP导入清单!$X$5:$X$204,0)+4,"")))</f>
        <v/>
      </c>
      <c r="D99" s="37" t="str">
        <f>IF(COUNTIF(ERP导入清单!$X$5:$X$204,95)=0,"",INDEX(ERP导入清单!D:D,IFERROR(MATCH(95,ERP导入清单!$X$5:$X$204,0)+4,"")))</f>
        <v/>
      </c>
      <c r="E99" s="37" t="str">
        <f>IF(COUNTIF(ERP导入清单!$X$5:$X$204,95)=0,"",INDEX(ERP导入清单!E:E,IFERROR(MATCH(95,ERP导入清单!$X$5:$X$204,0)+4,"")))</f>
        <v/>
      </c>
      <c r="F99" s="37" t="str">
        <f>IF(COUNTIF(ERP导入清单!$X$5:$X$204,95)=0,"",INDEX(ERP导入清单!F:F,IFERROR(MATCH(95,ERP导入清单!$X$5:$X$204,0)+4,"")))</f>
        <v/>
      </c>
      <c r="G99" s="57" t="str">
        <f>IF(COUNTIF(ERP导入清单!$X$5:$X$204,95)=0,"",INDEX(ERP导入清单!G:G,IFERROR(MATCH(95,ERP导入清单!$X$5:$X$204,0)+4,"")))</f>
        <v/>
      </c>
      <c r="H99" s="37" t="str">
        <f>IF(COUNTIF(ERP导入清单!$X$5:$X$204,95)=0,"",INDEX(ERP导入清单!H:H,IFERROR(MATCH(95,ERP导入清单!$X$5:$X$204,0)+4,"")))</f>
        <v/>
      </c>
      <c r="I99" s="57" t="str">
        <f>IF(COUNTIF(ERP导入清单!$X$5:$X$204,95)=0,"",INDEX(ERP导入清单!I:I,IFERROR(MATCH(95,ERP导入清单!$X$5:$X$204,0)+4,"")))</f>
        <v/>
      </c>
      <c r="J99" s="57" t="str">
        <f>IF(COUNTIF(ERP导入清单!$X$5:$X$204,95)=0,"",INDEX(ERP导入清单!J:J,IFERROR(MATCH(95,ERP导入清单!$X$5:$X$204,0)+4,"")))</f>
        <v/>
      </c>
      <c r="K99" s="37" t="str">
        <f>IF(COUNTIF(ERP导入清单!$X$5:$X$204,95)=0,"",INDEX(ERP导入清单!K:K,IFERROR(MATCH(95,ERP导入清单!$X$5:$X$204,0)+4,"")))</f>
        <v/>
      </c>
      <c r="L99" s="37" t="str">
        <f>IF(COUNTIF(ERP导入清单!$X$5:$X$204,95)=0,"",INDEX(ERP导入清单!L:L,IFERROR(MATCH(95,ERP导入清单!$X$5:$X$204,0)+4,"")))</f>
        <v/>
      </c>
      <c r="M99" s="37" t="str">
        <f>IF(COUNTIF(ERP导入清单!$X$5:$X$204,95)=0,"",INDEX(ERP导入清单!M:M,IFERROR(MATCH(95,ERP导入清单!$X$5:$X$204,0)+4,"")))</f>
        <v/>
      </c>
      <c r="N99" s="37" t="str">
        <f>IF(COUNTIF(ERP导入清单!$X$5:$X$204,95)=0,"",INDEX(ERP导入清单!N:N,IFERROR(MATCH(95,ERP导入清单!$X$5:$X$204,0)+4,"")))</f>
        <v/>
      </c>
      <c r="O99" s="37" t="str">
        <f>IF(COUNTIF(ERP导入清单!$X$5:$X$204,95)=0,"",INDEX(ERP导入清单!O:O,IFERROR(MATCH(95,ERP导入清单!$X$5:$X$204,0)+4,"")))</f>
        <v/>
      </c>
      <c r="P99" s="39" t="str">
        <f>IF(COUNTIF(ERP导入清单!$X$5:$X$204,95)=0,"",INDEX(ERP导入清单!P:P,IFERROR(MATCH(95,ERP导入清单!$X$5:$X$204,0)+4,"")))</f>
        <v/>
      </c>
      <c r="Q99" s="39" t="str">
        <f>IF(COUNTIF(ERP导入清单!$X$5:$X$204,95)=0,"",INDEX(ERP导入清单!Q:Q,IFERROR(MATCH(95,ERP导入清单!$X$5:$X$204,0)+4,"")))</f>
        <v/>
      </c>
      <c r="R99" s="59" t="str">
        <f>IF(COUNTIF(ERP导入清单!$X$5:$X$204,95)=0,"",INDEX(ERP导入清单!R:R,IFERROR(MATCH(95,ERP导入清单!$X$5:$X$204,0)+4,"")))</f>
        <v/>
      </c>
      <c r="S99" s="37" t="str">
        <f>IF(COUNTIF(ERP导入清单!$X$5:$X$204,95)=0,"",INDEX(ERP导入清单!S:S,IFERROR(MATCH(95,ERP导入清单!$X$5:$X$204,0)+4,"")))</f>
        <v/>
      </c>
      <c r="T99" s="37" t="str">
        <f>IF(COUNTIF(ERP导入清单!$X$5:$X$204,95)=0,"",INDEX(ERP导入清单!T:T,IFERROR(MATCH(95,ERP导入清单!$X$5:$X$204,0)+4,"")))</f>
        <v/>
      </c>
      <c r="U99" s="37" t="str">
        <f>IF(COUNTIF(ERP导入清单!$X$5:$X$204,95)=0,"",INDEX(ERP导入清单!U:U,IFERROR(MATCH(95,ERP导入清单!$X$5:$X$204,0)+4,"")))</f>
        <v/>
      </c>
      <c r="V99" s="38" t="str">
        <f>IF(COUNTIF(ERP导入清单!$X$5:$X$204,95)=0,"",INDEX(ERP导入清单!V:V,IFERROR(MATCH(95,ERP导入清单!$X$5:$X$204,0)+4,"")))</f>
        <v/>
      </c>
      <c r="W99" s="50" t="str">
        <f>IF(COUNTIF(ERP导入清单!$X$5:$X$204,95)=0,"",INDEX(ERP导入清单!W:W,IFERROR(MATCH(95,ERP导入清单!$X$5:$X$204,0)+4,"")))</f>
        <v/>
      </c>
    </row>
    <row r="100" spans="1:23" ht="24" customHeight="1">
      <c r="A100" s="55" t="str">
        <f>IF(COUNTIF(ERP导入清单!$X$5:$X$204,96)=0,"",INDEX(ERP导入清单!A:A,IFERROR(MATCH(96,ERP导入清单!$X$5:$X$204,0)+4,"")))</f>
        <v/>
      </c>
      <c r="B100" s="37" t="str">
        <f>IF(COUNTIF(ERP导入清单!$X$5:$X$204,96)=0,"",INDEX(ERP导入清单!B:B,IFERROR(MATCH(96,ERP导入清单!$X$5:$X$204,0)+4,"")))</f>
        <v/>
      </c>
      <c r="C100" s="38" t="str">
        <f>IF(COUNTIF(ERP导入清单!$X$5:$X$204,96)=0,"",INDEX(ERP导入清单!C:C,IFERROR(MATCH(96,ERP导入清单!$X$5:$X$204,0)+4,"")))</f>
        <v/>
      </c>
      <c r="D100" s="37" t="str">
        <f>IF(COUNTIF(ERP导入清单!$X$5:$X$204,96)=0,"",INDEX(ERP导入清单!D:D,IFERROR(MATCH(96,ERP导入清单!$X$5:$X$204,0)+4,"")))</f>
        <v/>
      </c>
      <c r="E100" s="37" t="str">
        <f>IF(COUNTIF(ERP导入清单!$X$5:$X$204,96)=0,"",INDEX(ERP导入清单!E:E,IFERROR(MATCH(96,ERP导入清单!$X$5:$X$204,0)+4,"")))</f>
        <v/>
      </c>
      <c r="F100" s="37" t="str">
        <f>IF(COUNTIF(ERP导入清单!$X$5:$X$204,96)=0,"",INDEX(ERP导入清单!F:F,IFERROR(MATCH(96,ERP导入清单!$X$5:$X$204,0)+4,"")))</f>
        <v/>
      </c>
      <c r="G100" s="57" t="str">
        <f>IF(COUNTIF(ERP导入清单!$X$5:$X$204,96)=0,"",INDEX(ERP导入清单!G:G,IFERROR(MATCH(96,ERP导入清单!$X$5:$X$204,0)+4,"")))</f>
        <v/>
      </c>
      <c r="H100" s="37" t="str">
        <f>IF(COUNTIF(ERP导入清单!$X$5:$X$204,96)=0,"",INDEX(ERP导入清单!H:H,IFERROR(MATCH(96,ERP导入清单!$X$5:$X$204,0)+4,"")))</f>
        <v/>
      </c>
      <c r="I100" s="57" t="str">
        <f>IF(COUNTIF(ERP导入清单!$X$5:$X$204,96)=0,"",INDEX(ERP导入清单!I:I,IFERROR(MATCH(96,ERP导入清单!$X$5:$X$204,0)+4,"")))</f>
        <v/>
      </c>
      <c r="J100" s="57" t="str">
        <f>IF(COUNTIF(ERP导入清单!$X$5:$X$204,96)=0,"",INDEX(ERP导入清单!J:J,IFERROR(MATCH(96,ERP导入清单!$X$5:$X$204,0)+4,"")))</f>
        <v/>
      </c>
      <c r="K100" s="37" t="str">
        <f>IF(COUNTIF(ERP导入清单!$X$5:$X$204,96)=0,"",INDEX(ERP导入清单!K:K,IFERROR(MATCH(96,ERP导入清单!$X$5:$X$204,0)+4,"")))</f>
        <v/>
      </c>
      <c r="L100" s="37" t="str">
        <f>IF(COUNTIF(ERP导入清单!$X$5:$X$204,96)=0,"",INDEX(ERP导入清单!L:L,IFERROR(MATCH(96,ERP导入清单!$X$5:$X$204,0)+4,"")))</f>
        <v/>
      </c>
      <c r="M100" s="37" t="str">
        <f>IF(COUNTIF(ERP导入清单!$X$5:$X$204,96)=0,"",INDEX(ERP导入清单!M:M,IFERROR(MATCH(96,ERP导入清单!$X$5:$X$204,0)+4,"")))</f>
        <v/>
      </c>
      <c r="N100" s="37" t="str">
        <f>IF(COUNTIF(ERP导入清单!$X$5:$X$204,96)=0,"",INDEX(ERP导入清单!N:N,IFERROR(MATCH(96,ERP导入清单!$X$5:$X$204,0)+4,"")))</f>
        <v/>
      </c>
      <c r="O100" s="37" t="str">
        <f>IF(COUNTIF(ERP导入清单!$X$5:$X$204,96)=0,"",INDEX(ERP导入清单!O:O,IFERROR(MATCH(96,ERP导入清单!$X$5:$X$204,0)+4,"")))</f>
        <v/>
      </c>
      <c r="P100" s="39" t="str">
        <f>IF(COUNTIF(ERP导入清单!$X$5:$X$204,96)=0,"",INDEX(ERP导入清单!P:P,IFERROR(MATCH(96,ERP导入清单!$X$5:$X$204,0)+4,"")))</f>
        <v/>
      </c>
      <c r="Q100" s="39" t="str">
        <f>IF(COUNTIF(ERP导入清单!$X$5:$X$204,96)=0,"",INDEX(ERP导入清单!Q:Q,IFERROR(MATCH(96,ERP导入清单!$X$5:$X$204,0)+4,"")))</f>
        <v/>
      </c>
      <c r="R100" s="59" t="str">
        <f>IF(COUNTIF(ERP导入清单!$X$5:$X$204,96)=0,"",INDEX(ERP导入清单!R:R,IFERROR(MATCH(96,ERP导入清单!$X$5:$X$204,0)+4,"")))</f>
        <v/>
      </c>
      <c r="S100" s="37" t="str">
        <f>IF(COUNTIF(ERP导入清单!$X$5:$X$204,96)=0,"",INDEX(ERP导入清单!S:S,IFERROR(MATCH(96,ERP导入清单!$X$5:$X$204,0)+4,"")))</f>
        <v/>
      </c>
      <c r="T100" s="37" t="str">
        <f>IF(COUNTIF(ERP导入清单!$X$5:$X$204,96)=0,"",INDEX(ERP导入清单!T:T,IFERROR(MATCH(96,ERP导入清单!$X$5:$X$204,0)+4,"")))</f>
        <v/>
      </c>
      <c r="U100" s="37" t="str">
        <f>IF(COUNTIF(ERP导入清单!$X$5:$X$204,96)=0,"",INDEX(ERP导入清单!U:U,IFERROR(MATCH(96,ERP导入清单!$X$5:$X$204,0)+4,"")))</f>
        <v/>
      </c>
      <c r="V100" s="38" t="str">
        <f>IF(COUNTIF(ERP导入清单!$X$5:$X$204,96)=0,"",INDEX(ERP导入清单!V:V,IFERROR(MATCH(96,ERP导入清单!$X$5:$X$204,0)+4,"")))</f>
        <v/>
      </c>
      <c r="W100" s="50" t="str">
        <f>IF(COUNTIF(ERP导入清单!$X$5:$X$204,96)=0,"",INDEX(ERP导入清单!W:W,IFERROR(MATCH(96,ERP导入清单!$X$5:$X$204,0)+4,"")))</f>
        <v/>
      </c>
    </row>
    <row r="101" spans="1:23" ht="24" customHeight="1">
      <c r="A101" s="55" t="str">
        <f>IF(COUNTIF(ERP导入清单!$X$5:$X$204,97)=0,"",INDEX(ERP导入清单!A:A,IFERROR(MATCH(97,ERP导入清单!$X$5:$X$204,0)+4,"")))</f>
        <v/>
      </c>
      <c r="B101" s="37" t="str">
        <f>IF(COUNTIF(ERP导入清单!$X$5:$X$204,97)=0,"",INDEX(ERP导入清单!B:B,IFERROR(MATCH(97,ERP导入清单!$X$5:$X$204,0)+4,"")))</f>
        <v/>
      </c>
      <c r="C101" s="38" t="str">
        <f>IF(COUNTIF(ERP导入清单!$X$5:$X$204,97)=0,"",INDEX(ERP导入清单!C:C,IFERROR(MATCH(97,ERP导入清单!$X$5:$X$204,0)+4,"")))</f>
        <v/>
      </c>
      <c r="D101" s="37" t="str">
        <f>IF(COUNTIF(ERP导入清单!$X$5:$X$204,97)=0,"",INDEX(ERP导入清单!D:D,IFERROR(MATCH(97,ERP导入清单!$X$5:$X$204,0)+4,"")))</f>
        <v/>
      </c>
      <c r="E101" s="37" t="str">
        <f>IF(COUNTIF(ERP导入清单!$X$5:$X$204,97)=0,"",INDEX(ERP导入清单!E:E,IFERROR(MATCH(97,ERP导入清单!$X$5:$X$204,0)+4,"")))</f>
        <v/>
      </c>
      <c r="F101" s="37" t="str">
        <f>IF(COUNTIF(ERP导入清单!$X$5:$X$204,97)=0,"",INDEX(ERP导入清单!F:F,IFERROR(MATCH(97,ERP导入清单!$X$5:$X$204,0)+4,"")))</f>
        <v/>
      </c>
      <c r="G101" s="57" t="str">
        <f>IF(COUNTIF(ERP导入清单!$X$5:$X$204,97)=0,"",INDEX(ERP导入清单!G:G,IFERROR(MATCH(97,ERP导入清单!$X$5:$X$204,0)+4,"")))</f>
        <v/>
      </c>
      <c r="H101" s="37" t="str">
        <f>IF(COUNTIF(ERP导入清单!$X$5:$X$204,97)=0,"",INDEX(ERP导入清单!H:H,IFERROR(MATCH(97,ERP导入清单!$X$5:$X$204,0)+4,"")))</f>
        <v/>
      </c>
      <c r="I101" s="57" t="str">
        <f>IF(COUNTIF(ERP导入清单!$X$5:$X$204,97)=0,"",INDEX(ERP导入清单!I:I,IFERROR(MATCH(97,ERP导入清单!$X$5:$X$204,0)+4,"")))</f>
        <v/>
      </c>
      <c r="J101" s="57" t="str">
        <f>IF(COUNTIF(ERP导入清单!$X$5:$X$204,97)=0,"",INDEX(ERP导入清单!J:J,IFERROR(MATCH(97,ERP导入清单!$X$5:$X$204,0)+4,"")))</f>
        <v/>
      </c>
      <c r="K101" s="37" t="str">
        <f>IF(COUNTIF(ERP导入清单!$X$5:$X$204,97)=0,"",INDEX(ERP导入清单!K:K,IFERROR(MATCH(97,ERP导入清单!$X$5:$X$204,0)+4,"")))</f>
        <v/>
      </c>
      <c r="L101" s="37" t="str">
        <f>IF(COUNTIF(ERP导入清单!$X$5:$X$204,97)=0,"",INDEX(ERP导入清单!L:L,IFERROR(MATCH(97,ERP导入清单!$X$5:$X$204,0)+4,"")))</f>
        <v/>
      </c>
      <c r="M101" s="37" t="str">
        <f>IF(COUNTIF(ERP导入清单!$X$5:$X$204,97)=0,"",INDEX(ERP导入清单!M:M,IFERROR(MATCH(97,ERP导入清单!$X$5:$X$204,0)+4,"")))</f>
        <v/>
      </c>
      <c r="N101" s="37" t="str">
        <f>IF(COUNTIF(ERP导入清单!$X$5:$X$204,97)=0,"",INDEX(ERP导入清单!N:N,IFERROR(MATCH(97,ERP导入清单!$X$5:$X$204,0)+4,"")))</f>
        <v/>
      </c>
      <c r="O101" s="37" t="str">
        <f>IF(COUNTIF(ERP导入清单!$X$5:$X$204,97)=0,"",INDEX(ERP导入清单!O:O,IFERROR(MATCH(97,ERP导入清单!$X$5:$X$204,0)+4,"")))</f>
        <v/>
      </c>
      <c r="P101" s="39" t="str">
        <f>IF(COUNTIF(ERP导入清单!$X$5:$X$204,97)=0,"",INDEX(ERP导入清单!P:P,IFERROR(MATCH(97,ERP导入清单!$X$5:$X$204,0)+4,"")))</f>
        <v/>
      </c>
      <c r="Q101" s="39" t="str">
        <f>IF(COUNTIF(ERP导入清单!$X$5:$X$204,97)=0,"",INDEX(ERP导入清单!Q:Q,IFERROR(MATCH(97,ERP导入清单!$X$5:$X$204,0)+4,"")))</f>
        <v/>
      </c>
      <c r="R101" s="59" t="str">
        <f>IF(COUNTIF(ERP导入清单!$X$5:$X$204,97)=0,"",INDEX(ERP导入清单!R:R,IFERROR(MATCH(97,ERP导入清单!$X$5:$X$204,0)+4,"")))</f>
        <v/>
      </c>
      <c r="S101" s="37" t="str">
        <f>IF(COUNTIF(ERP导入清单!$X$5:$X$204,97)=0,"",INDEX(ERP导入清单!S:S,IFERROR(MATCH(97,ERP导入清单!$X$5:$X$204,0)+4,"")))</f>
        <v/>
      </c>
      <c r="T101" s="37" t="str">
        <f>IF(COUNTIF(ERP导入清单!$X$5:$X$204,97)=0,"",INDEX(ERP导入清单!T:T,IFERROR(MATCH(97,ERP导入清单!$X$5:$X$204,0)+4,"")))</f>
        <v/>
      </c>
      <c r="U101" s="37" t="str">
        <f>IF(COUNTIF(ERP导入清单!$X$5:$X$204,97)=0,"",INDEX(ERP导入清单!U:U,IFERROR(MATCH(97,ERP导入清单!$X$5:$X$204,0)+4,"")))</f>
        <v/>
      </c>
      <c r="V101" s="38" t="str">
        <f>IF(COUNTIF(ERP导入清单!$X$5:$X$204,97)=0,"",INDEX(ERP导入清单!V:V,IFERROR(MATCH(97,ERP导入清单!$X$5:$X$204,0)+4,"")))</f>
        <v/>
      </c>
      <c r="W101" s="50" t="str">
        <f>IF(COUNTIF(ERP导入清单!$X$5:$X$204,97)=0,"",INDEX(ERP导入清单!W:W,IFERROR(MATCH(97,ERP导入清单!$X$5:$X$204,0)+4,"")))</f>
        <v/>
      </c>
    </row>
    <row r="102" spans="1:23" ht="24" customHeight="1">
      <c r="A102" s="55" t="str">
        <f>IF(COUNTIF(ERP导入清单!$X$5:$X$204,98)=0,"",INDEX(ERP导入清单!A:A,IFERROR(MATCH(98,ERP导入清单!$X$5:$X$204,0)+4,"")))</f>
        <v/>
      </c>
      <c r="B102" s="37" t="str">
        <f>IF(COUNTIF(ERP导入清单!$X$5:$X$204,98)=0,"",INDEX(ERP导入清单!B:B,IFERROR(MATCH(98,ERP导入清单!$X$5:$X$204,0)+4,"")))</f>
        <v/>
      </c>
      <c r="C102" s="38" t="str">
        <f>IF(COUNTIF(ERP导入清单!$X$5:$X$204,98)=0,"",INDEX(ERP导入清单!C:C,IFERROR(MATCH(98,ERP导入清单!$X$5:$X$204,0)+4,"")))</f>
        <v/>
      </c>
      <c r="D102" s="37" t="str">
        <f>IF(COUNTIF(ERP导入清单!$X$5:$X$204,98)=0,"",INDEX(ERP导入清单!D:D,IFERROR(MATCH(98,ERP导入清单!$X$5:$X$204,0)+4,"")))</f>
        <v/>
      </c>
      <c r="E102" s="37" t="str">
        <f>IF(COUNTIF(ERP导入清单!$X$5:$X$204,98)=0,"",INDEX(ERP导入清单!E:E,IFERROR(MATCH(98,ERP导入清单!$X$5:$X$204,0)+4,"")))</f>
        <v/>
      </c>
      <c r="F102" s="37" t="str">
        <f>IF(COUNTIF(ERP导入清单!$X$5:$X$204,98)=0,"",INDEX(ERP导入清单!F:F,IFERROR(MATCH(98,ERP导入清单!$X$5:$X$204,0)+4,"")))</f>
        <v/>
      </c>
      <c r="G102" s="57" t="str">
        <f>IF(COUNTIF(ERP导入清单!$X$5:$X$204,98)=0,"",INDEX(ERP导入清单!G:G,IFERROR(MATCH(98,ERP导入清单!$X$5:$X$204,0)+4,"")))</f>
        <v/>
      </c>
      <c r="H102" s="37" t="str">
        <f>IF(COUNTIF(ERP导入清单!$X$5:$X$204,98)=0,"",INDEX(ERP导入清单!H:H,IFERROR(MATCH(98,ERP导入清单!$X$5:$X$204,0)+4,"")))</f>
        <v/>
      </c>
      <c r="I102" s="57" t="str">
        <f>IF(COUNTIF(ERP导入清单!$X$5:$X$204,98)=0,"",INDEX(ERP导入清单!I:I,IFERROR(MATCH(98,ERP导入清单!$X$5:$X$204,0)+4,"")))</f>
        <v/>
      </c>
      <c r="J102" s="57" t="str">
        <f>IF(COUNTIF(ERP导入清单!$X$5:$X$204,98)=0,"",INDEX(ERP导入清单!J:J,IFERROR(MATCH(98,ERP导入清单!$X$5:$X$204,0)+4,"")))</f>
        <v/>
      </c>
      <c r="K102" s="37" t="str">
        <f>IF(COUNTIF(ERP导入清单!$X$5:$X$204,98)=0,"",INDEX(ERP导入清单!K:K,IFERROR(MATCH(98,ERP导入清单!$X$5:$X$204,0)+4,"")))</f>
        <v/>
      </c>
      <c r="L102" s="37" t="str">
        <f>IF(COUNTIF(ERP导入清单!$X$5:$X$204,98)=0,"",INDEX(ERP导入清单!L:L,IFERROR(MATCH(98,ERP导入清单!$X$5:$X$204,0)+4,"")))</f>
        <v/>
      </c>
      <c r="M102" s="37" t="str">
        <f>IF(COUNTIF(ERP导入清单!$X$5:$X$204,98)=0,"",INDEX(ERP导入清单!M:M,IFERROR(MATCH(98,ERP导入清单!$X$5:$X$204,0)+4,"")))</f>
        <v/>
      </c>
      <c r="N102" s="37" t="str">
        <f>IF(COUNTIF(ERP导入清单!$X$5:$X$204,98)=0,"",INDEX(ERP导入清单!N:N,IFERROR(MATCH(98,ERP导入清单!$X$5:$X$204,0)+4,"")))</f>
        <v/>
      </c>
      <c r="O102" s="37" t="str">
        <f>IF(COUNTIF(ERP导入清单!$X$5:$X$204,98)=0,"",INDEX(ERP导入清单!O:O,IFERROR(MATCH(98,ERP导入清单!$X$5:$X$204,0)+4,"")))</f>
        <v/>
      </c>
      <c r="P102" s="39" t="str">
        <f>IF(COUNTIF(ERP导入清单!$X$5:$X$204,98)=0,"",INDEX(ERP导入清单!P:P,IFERROR(MATCH(98,ERP导入清单!$X$5:$X$204,0)+4,"")))</f>
        <v/>
      </c>
      <c r="Q102" s="39" t="str">
        <f>IF(COUNTIF(ERP导入清单!$X$5:$X$204,98)=0,"",INDEX(ERP导入清单!Q:Q,IFERROR(MATCH(98,ERP导入清单!$X$5:$X$204,0)+4,"")))</f>
        <v/>
      </c>
      <c r="R102" s="59" t="str">
        <f>IF(COUNTIF(ERP导入清单!$X$5:$X$204,98)=0,"",INDEX(ERP导入清单!R:R,IFERROR(MATCH(98,ERP导入清单!$X$5:$X$204,0)+4,"")))</f>
        <v/>
      </c>
      <c r="S102" s="37" t="str">
        <f>IF(COUNTIF(ERP导入清单!$X$5:$X$204,98)=0,"",INDEX(ERP导入清单!S:S,IFERROR(MATCH(98,ERP导入清单!$X$5:$X$204,0)+4,"")))</f>
        <v/>
      </c>
      <c r="T102" s="37" t="str">
        <f>IF(COUNTIF(ERP导入清单!$X$5:$X$204,98)=0,"",INDEX(ERP导入清单!T:T,IFERROR(MATCH(98,ERP导入清单!$X$5:$X$204,0)+4,"")))</f>
        <v/>
      </c>
      <c r="U102" s="37" t="str">
        <f>IF(COUNTIF(ERP导入清单!$X$5:$X$204,98)=0,"",INDEX(ERP导入清单!U:U,IFERROR(MATCH(98,ERP导入清单!$X$5:$X$204,0)+4,"")))</f>
        <v/>
      </c>
      <c r="V102" s="38" t="str">
        <f>IF(COUNTIF(ERP导入清单!$X$5:$X$204,98)=0,"",INDEX(ERP导入清单!V:V,IFERROR(MATCH(98,ERP导入清单!$X$5:$X$204,0)+4,"")))</f>
        <v/>
      </c>
      <c r="W102" s="50" t="str">
        <f>IF(COUNTIF(ERP导入清单!$X$5:$X$204,98)=0,"",INDEX(ERP导入清单!W:W,IFERROR(MATCH(98,ERP导入清单!$X$5:$X$204,0)+4,"")))</f>
        <v/>
      </c>
    </row>
    <row r="103" spans="1:23" ht="24" customHeight="1">
      <c r="A103" s="55" t="str">
        <f>IF(COUNTIF(ERP导入清单!$X$5:$X$204,99)=0,"",INDEX(ERP导入清单!A:A,IFERROR(MATCH(99,ERP导入清单!$X$5:$X$204,0)+4,"")))</f>
        <v/>
      </c>
      <c r="B103" s="37" t="str">
        <f>IF(COUNTIF(ERP导入清单!$X$5:$X$204,99)=0,"",INDEX(ERP导入清单!B:B,IFERROR(MATCH(99,ERP导入清单!$X$5:$X$204,0)+4,"")))</f>
        <v/>
      </c>
      <c r="C103" s="38" t="str">
        <f>IF(COUNTIF(ERP导入清单!$X$5:$X$204,99)=0,"",INDEX(ERP导入清单!C:C,IFERROR(MATCH(99,ERP导入清单!$X$5:$X$204,0)+4,"")))</f>
        <v/>
      </c>
      <c r="D103" s="37" t="str">
        <f>IF(COUNTIF(ERP导入清单!$X$5:$X$204,99)=0,"",INDEX(ERP导入清单!D:D,IFERROR(MATCH(99,ERP导入清单!$X$5:$X$204,0)+4,"")))</f>
        <v/>
      </c>
      <c r="E103" s="37" t="str">
        <f>IF(COUNTIF(ERP导入清单!$X$5:$X$204,99)=0,"",INDEX(ERP导入清单!E:E,IFERROR(MATCH(99,ERP导入清单!$X$5:$X$204,0)+4,"")))</f>
        <v/>
      </c>
      <c r="F103" s="37" t="str">
        <f>IF(COUNTIF(ERP导入清单!$X$5:$X$204,99)=0,"",INDEX(ERP导入清单!F:F,IFERROR(MATCH(99,ERP导入清单!$X$5:$X$204,0)+4,"")))</f>
        <v/>
      </c>
      <c r="G103" s="57" t="str">
        <f>IF(COUNTIF(ERP导入清单!$X$5:$X$204,99)=0,"",INDEX(ERP导入清单!G:G,IFERROR(MATCH(99,ERP导入清单!$X$5:$X$204,0)+4,"")))</f>
        <v/>
      </c>
      <c r="H103" s="37" t="str">
        <f>IF(COUNTIF(ERP导入清单!$X$5:$X$204,99)=0,"",INDEX(ERP导入清单!H:H,IFERROR(MATCH(99,ERP导入清单!$X$5:$X$204,0)+4,"")))</f>
        <v/>
      </c>
      <c r="I103" s="57" t="str">
        <f>IF(COUNTIF(ERP导入清单!$X$5:$X$204,99)=0,"",INDEX(ERP导入清单!I:I,IFERROR(MATCH(99,ERP导入清单!$X$5:$X$204,0)+4,"")))</f>
        <v/>
      </c>
      <c r="J103" s="57" t="str">
        <f>IF(COUNTIF(ERP导入清单!$X$5:$X$204,99)=0,"",INDEX(ERP导入清单!J:J,IFERROR(MATCH(99,ERP导入清单!$X$5:$X$204,0)+4,"")))</f>
        <v/>
      </c>
      <c r="K103" s="37" t="str">
        <f>IF(COUNTIF(ERP导入清单!$X$5:$X$204,99)=0,"",INDEX(ERP导入清单!K:K,IFERROR(MATCH(99,ERP导入清单!$X$5:$X$204,0)+4,"")))</f>
        <v/>
      </c>
      <c r="L103" s="37" t="str">
        <f>IF(COUNTIF(ERP导入清单!$X$5:$X$204,99)=0,"",INDEX(ERP导入清单!L:L,IFERROR(MATCH(99,ERP导入清单!$X$5:$X$204,0)+4,"")))</f>
        <v/>
      </c>
      <c r="M103" s="37" t="str">
        <f>IF(COUNTIF(ERP导入清单!$X$5:$X$204,99)=0,"",INDEX(ERP导入清单!M:M,IFERROR(MATCH(99,ERP导入清单!$X$5:$X$204,0)+4,"")))</f>
        <v/>
      </c>
      <c r="N103" s="37" t="str">
        <f>IF(COUNTIF(ERP导入清单!$X$5:$X$204,99)=0,"",INDEX(ERP导入清单!N:N,IFERROR(MATCH(99,ERP导入清单!$X$5:$X$204,0)+4,"")))</f>
        <v/>
      </c>
      <c r="O103" s="37" t="str">
        <f>IF(COUNTIF(ERP导入清单!$X$5:$X$204,99)=0,"",INDEX(ERP导入清单!O:O,IFERROR(MATCH(99,ERP导入清单!$X$5:$X$204,0)+4,"")))</f>
        <v/>
      </c>
      <c r="P103" s="39" t="str">
        <f>IF(COUNTIF(ERP导入清单!$X$5:$X$204,99)=0,"",INDEX(ERP导入清单!P:P,IFERROR(MATCH(99,ERP导入清单!$X$5:$X$204,0)+4,"")))</f>
        <v/>
      </c>
      <c r="Q103" s="39" t="str">
        <f>IF(COUNTIF(ERP导入清单!$X$5:$X$204,99)=0,"",INDEX(ERP导入清单!Q:Q,IFERROR(MATCH(99,ERP导入清单!$X$5:$X$204,0)+4,"")))</f>
        <v/>
      </c>
      <c r="R103" s="59" t="str">
        <f>IF(COUNTIF(ERP导入清单!$X$5:$X$204,99)=0,"",INDEX(ERP导入清单!R:R,IFERROR(MATCH(99,ERP导入清单!$X$5:$X$204,0)+4,"")))</f>
        <v/>
      </c>
      <c r="S103" s="37" t="str">
        <f>IF(COUNTIF(ERP导入清单!$X$5:$X$204,99)=0,"",INDEX(ERP导入清单!S:S,IFERROR(MATCH(99,ERP导入清单!$X$5:$X$204,0)+4,"")))</f>
        <v/>
      </c>
      <c r="T103" s="37" t="str">
        <f>IF(COUNTIF(ERP导入清单!$X$5:$X$204,99)=0,"",INDEX(ERP导入清单!T:T,IFERROR(MATCH(99,ERP导入清单!$X$5:$X$204,0)+4,"")))</f>
        <v/>
      </c>
      <c r="U103" s="37" t="str">
        <f>IF(COUNTIF(ERP导入清单!$X$5:$X$204,99)=0,"",INDEX(ERP导入清单!U:U,IFERROR(MATCH(99,ERP导入清单!$X$5:$X$204,0)+4,"")))</f>
        <v/>
      </c>
      <c r="V103" s="38" t="str">
        <f>IF(COUNTIF(ERP导入清单!$X$5:$X$204,99)=0,"",INDEX(ERP导入清单!V:V,IFERROR(MATCH(99,ERP导入清单!$X$5:$X$204,0)+4,"")))</f>
        <v/>
      </c>
      <c r="W103" s="50" t="str">
        <f>IF(COUNTIF(ERP导入清单!$X$5:$X$204,99)=0,"",INDEX(ERP导入清单!W:W,IFERROR(MATCH(99,ERP导入清单!$X$5:$X$204,0)+4,"")))</f>
        <v/>
      </c>
    </row>
    <row r="104" spans="1:23" ht="24" customHeight="1">
      <c r="A104" s="55" t="str">
        <f>IF(COUNTIF(ERP导入清单!$X$5:$X$204,100)=0,"",INDEX(ERP导入清单!A:A,IFERROR(MATCH(100,ERP导入清单!$X$5:$X$204,0)+4,"")))</f>
        <v/>
      </c>
      <c r="B104" s="37" t="str">
        <f>IF(COUNTIF(ERP导入清单!$X$5:$X$204,100)=0,"",INDEX(ERP导入清单!B:B,IFERROR(MATCH(100,ERP导入清单!$X$5:$X$204,0)+4,"")))</f>
        <v/>
      </c>
      <c r="C104" s="38" t="str">
        <f>IF(COUNTIF(ERP导入清单!$X$5:$X$204,100)=0,"",INDEX(ERP导入清单!C:C,IFERROR(MATCH(100,ERP导入清单!$X$5:$X$204,0)+4,"")))</f>
        <v/>
      </c>
      <c r="D104" s="37" t="str">
        <f>IF(COUNTIF(ERP导入清单!$X$5:$X$204,100)=0,"",INDEX(ERP导入清单!D:D,IFERROR(MATCH(100,ERP导入清单!$X$5:$X$204,0)+4,"")))</f>
        <v/>
      </c>
      <c r="E104" s="37" t="str">
        <f>IF(COUNTIF(ERP导入清单!$X$5:$X$204,100)=0,"",INDEX(ERP导入清单!E:E,IFERROR(MATCH(100,ERP导入清单!$X$5:$X$204,0)+4,"")))</f>
        <v/>
      </c>
      <c r="F104" s="37" t="str">
        <f>IF(COUNTIF(ERP导入清单!$X$5:$X$204,100)=0,"",INDEX(ERP导入清单!F:F,IFERROR(MATCH(100,ERP导入清单!$X$5:$X$204,0)+4,"")))</f>
        <v/>
      </c>
      <c r="G104" s="57" t="str">
        <f>IF(COUNTIF(ERP导入清单!$X$5:$X$204,100)=0,"",INDEX(ERP导入清单!G:G,IFERROR(MATCH(100,ERP导入清单!$X$5:$X$204,0)+4,"")))</f>
        <v/>
      </c>
      <c r="H104" s="37" t="str">
        <f>IF(COUNTIF(ERP导入清单!$X$5:$X$204,100)=0,"",INDEX(ERP导入清单!H:H,IFERROR(MATCH(100,ERP导入清单!$X$5:$X$204,0)+4,"")))</f>
        <v/>
      </c>
      <c r="I104" s="57" t="str">
        <f>IF(COUNTIF(ERP导入清单!$X$5:$X$204,100)=0,"",INDEX(ERP导入清单!I:I,IFERROR(MATCH(100,ERP导入清单!$X$5:$X$204,0)+4,"")))</f>
        <v/>
      </c>
      <c r="J104" s="57" t="str">
        <f>IF(COUNTIF(ERP导入清单!$X$5:$X$204,100)=0,"",INDEX(ERP导入清单!J:J,IFERROR(MATCH(100,ERP导入清单!$X$5:$X$204,0)+4,"")))</f>
        <v/>
      </c>
      <c r="K104" s="37" t="str">
        <f>IF(COUNTIF(ERP导入清单!$X$5:$X$204,100)=0,"",INDEX(ERP导入清单!K:K,IFERROR(MATCH(100,ERP导入清单!$X$5:$X$204,0)+4,"")))</f>
        <v/>
      </c>
      <c r="L104" s="37" t="str">
        <f>IF(COUNTIF(ERP导入清单!$X$5:$X$204,100)=0,"",INDEX(ERP导入清单!L:L,IFERROR(MATCH(100,ERP导入清单!$X$5:$X$204,0)+4,"")))</f>
        <v/>
      </c>
      <c r="M104" s="37" t="str">
        <f>IF(COUNTIF(ERP导入清单!$X$5:$X$204,100)=0,"",INDEX(ERP导入清单!M:M,IFERROR(MATCH(100,ERP导入清单!$X$5:$X$204,0)+4,"")))</f>
        <v/>
      </c>
      <c r="N104" s="37" t="str">
        <f>IF(COUNTIF(ERP导入清单!$X$5:$X$204,100)=0,"",INDEX(ERP导入清单!N:N,IFERROR(MATCH(100,ERP导入清单!$X$5:$X$204,0)+4,"")))</f>
        <v/>
      </c>
      <c r="O104" s="37" t="str">
        <f>IF(COUNTIF(ERP导入清单!$X$5:$X$204,100)=0,"",INDEX(ERP导入清单!O:O,IFERROR(MATCH(100,ERP导入清单!$X$5:$X$204,0)+4,"")))</f>
        <v/>
      </c>
      <c r="P104" s="39" t="str">
        <f>IF(COUNTIF(ERP导入清单!$X$5:$X$204,100)=0,"",INDEX(ERP导入清单!P:P,IFERROR(MATCH(100,ERP导入清单!$X$5:$X$204,0)+4,"")))</f>
        <v/>
      </c>
      <c r="Q104" s="39" t="str">
        <f>IF(COUNTIF(ERP导入清单!$X$5:$X$204,100)=0,"",INDEX(ERP导入清单!Q:Q,IFERROR(MATCH(100,ERP导入清单!$X$5:$X$204,0)+4,"")))</f>
        <v/>
      </c>
      <c r="R104" s="59" t="str">
        <f>IF(COUNTIF(ERP导入清单!$X$5:$X$204,100)=0,"",INDEX(ERP导入清单!R:R,IFERROR(MATCH(100,ERP导入清单!$X$5:$X$204,0)+4,"")))</f>
        <v/>
      </c>
      <c r="S104" s="37" t="str">
        <f>IF(COUNTIF(ERP导入清单!$X$5:$X$204,100)=0,"",INDEX(ERP导入清单!S:S,IFERROR(MATCH(100,ERP导入清单!$X$5:$X$204,0)+4,"")))</f>
        <v/>
      </c>
      <c r="T104" s="37" t="str">
        <f>IF(COUNTIF(ERP导入清单!$X$5:$X$204,100)=0,"",INDEX(ERP导入清单!T:T,IFERROR(MATCH(100,ERP导入清单!$X$5:$X$204,0)+4,"")))</f>
        <v/>
      </c>
      <c r="U104" s="37" t="str">
        <f>IF(COUNTIF(ERP导入清单!$X$5:$X$204,100)=0,"",INDEX(ERP导入清单!U:U,IFERROR(MATCH(100,ERP导入清单!$X$5:$X$204,0)+4,"")))</f>
        <v/>
      </c>
      <c r="V104" s="38" t="str">
        <f>IF(COUNTIF(ERP导入清单!$X$5:$X$204,100)=0,"",INDEX(ERP导入清单!V:V,IFERROR(MATCH(100,ERP导入清单!$X$5:$X$204,0)+4,"")))</f>
        <v/>
      </c>
      <c r="W104" s="50" t="str">
        <f>IF(COUNTIF(ERP导入清单!$X$5:$X$204,100)=0,"",INDEX(ERP导入清单!W:W,IFERROR(MATCH(100,ERP导入清单!$X$5:$X$204,0)+4,"")))</f>
        <v/>
      </c>
    </row>
    <row r="105" spans="1:23" ht="24" customHeight="1">
      <c r="A105" s="55" t="str">
        <f>IF(COUNTIF(ERP导入清单!$X$5:$X$204,101)=0,"",INDEX(ERP导入清单!A:A,IFERROR(MATCH(101,ERP导入清单!$X$5:$X$204,0)+4,"")))</f>
        <v/>
      </c>
      <c r="B105" s="37" t="str">
        <f>IF(COUNTIF(ERP导入清单!$X$5:$X$204,101)=0,"",INDEX(ERP导入清单!B:B,IFERROR(MATCH(101,ERP导入清单!$X$5:$X$204,0)+4,"")))</f>
        <v/>
      </c>
      <c r="C105" s="38" t="str">
        <f>IF(COUNTIF(ERP导入清单!$X$5:$X$204,101)=0,"",INDEX(ERP导入清单!C:C,IFERROR(MATCH(101,ERP导入清单!$X$5:$X$204,0)+4,"")))</f>
        <v/>
      </c>
      <c r="D105" s="37" t="str">
        <f>IF(COUNTIF(ERP导入清单!$X$5:$X$204,101)=0,"",INDEX(ERP导入清单!D:D,IFERROR(MATCH(101,ERP导入清单!$X$5:$X$204,0)+4,"")))</f>
        <v/>
      </c>
      <c r="E105" s="37" t="str">
        <f>IF(COUNTIF(ERP导入清单!$X$5:$X$204,101)=0,"",INDEX(ERP导入清单!E:E,IFERROR(MATCH(101,ERP导入清单!$X$5:$X$204,0)+4,"")))</f>
        <v/>
      </c>
      <c r="F105" s="37" t="str">
        <f>IF(COUNTIF(ERP导入清单!$X$5:$X$204,101)=0,"",INDEX(ERP导入清单!F:F,IFERROR(MATCH(101,ERP导入清单!$X$5:$X$204,0)+4,"")))</f>
        <v/>
      </c>
      <c r="G105" s="57" t="str">
        <f>IF(COUNTIF(ERP导入清单!$X$5:$X$204,101)=0,"",INDEX(ERP导入清单!G:G,IFERROR(MATCH(101,ERP导入清单!$X$5:$X$204,0)+4,"")))</f>
        <v/>
      </c>
      <c r="H105" s="37" t="str">
        <f>IF(COUNTIF(ERP导入清单!$X$5:$X$204,101)=0,"",INDEX(ERP导入清单!H:H,IFERROR(MATCH(101,ERP导入清单!$X$5:$X$204,0)+4,"")))</f>
        <v/>
      </c>
      <c r="I105" s="57" t="str">
        <f>IF(COUNTIF(ERP导入清单!$X$5:$X$204,101)=0,"",INDEX(ERP导入清单!I:I,IFERROR(MATCH(101,ERP导入清单!$X$5:$X$204,0)+4,"")))</f>
        <v/>
      </c>
      <c r="J105" s="57" t="str">
        <f>IF(COUNTIF(ERP导入清单!$X$5:$X$204,101)=0,"",INDEX(ERP导入清单!J:J,IFERROR(MATCH(101,ERP导入清单!$X$5:$X$204,0)+4,"")))</f>
        <v/>
      </c>
      <c r="K105" s="37" t="str">
        <f>IF(COUNTIF(ERP导入清单!$X$5:$X$204,101)=0,"",INDEX(ERP导入清单!K:K,IFERROR(MATCH(101,ERP导入清单!$X$5:$X$204,0)+4,"")))</f>
        <v/>
      </c>
      <c r="L105" s="37" t="str">
        <f>IF(COUNTIF(ERP导入清单!$X$5:$X$204,101)=0,"",INDEX(ERP导入清单!L:L,IFERROR(MATCH(101,ERP导入清单!$X$5:$X$204,0)+4,"")))</f>
        <v/>
      </c>
      <c r="M105" s="37" t="str">
        <f>IF(COUNTIF(ERP导入清单!$X$5:$X$204,101)=0,"",INDEX(ERP导入清单!M:M,IFERROR(MATCH(101,ERP导入清单!$X$5:$X$204,0)+4,"")))</f>
        <v/>
      </c>
      <c r="N105" s="37" t="str">
        <f>IF(COUNTIF(ERP导入清单!$X$5:$X$204,101)=0,"",INDEX(ERP导入清单!N:N,IFERROR(MATCH(101,ERP导入清单!$X$5:$X$204,0)+4,"")))</f>
        <v/>
      </c>
      <c r="O105" s="37" t="str">
        <f>IF(COUNTIF(ERP导入清单!$X$5:$X$204,101)=0,"",INDEX(ERP导入清单!O:O,IFERROR(MATCH(101,ERP导入清单!$X$5:$X$204,0)+4,"")))</f>
        <v/>
      </c>
      <c r="P105" s="39" t="str">
        <f>IF(COUNTIF(ERP导入清单!$X$5:$X$204,101)=0,"",INDEX(ERP导入清单!P:P,IFERROR(MATCH(101,ERP导入清单!$X$5:$X$204,0)+4,"")))</f>
        <v/>
      </c>
      <c r="Q105" s="39" t="str">
        <f>IF(COUNTIF(ERP导入清单!$X$5:$X$204,101)=0,"",INDEX(ERP导入清单!Q:Q,IFERROR(MATCH(101,ERP导入清单!$X$5:$X$204,0)+4,"")))</f>
        <v/>
      </c>
      <c r="R105" s="59" t="str">
        <f>IF(COUNTIF(ERP导入清单!$X$5:$X$204,101)=0,"",INDEX(ERP导入清单!R:R,IFERROR(MATCH(101,ERP导入清单!$X$5:$X$204,0)+4,"")))</f>
        <v/>
      </c>
      <c r="S105" s="37" t="str">
        <f>IF(COUNTIF(ERP导入清单!$X$5:$X$204,101)=0,"",INDEX(ERP导入清单!S:S,IFERROR(MATCH(101,ERP导入清单!$X$5:$X$204,0)+4,"")))</f>
        <v/>
      </c>
      <c r="T105" s="37" t="str">
        <f>IF(COUNTIF(ERP导入清单!$X$5:$X$204,101)=0,"",INDEX(ERP导入清单!T:T,IFERROR(MATCH(101,ERP导入清单!$X$5:$X$204,0)+4,"")))</f>
        <v/>
      </c>
      <c r="U105" s="37" t="str">
        <f>IF(COUNTIF(ERP导入清单!$X$5:$X$204,101)=0,"",INDEX(ERP导入清单!U:U,IFERROR(MATCH(101,ERP导入清单!$X$5:$X$204,0)+4,"")))</f>
        <v/>
      </c>
      <c r="V105" s="38" t="str">
        <f>IF(COUNTIF(ERP导入清单!$X$5:$X$204,101)=0,"",INDEX(ERP导入清单!V:V,IFERROR(MATCH(101,ERP导入清单!$X$5:$X$204,0)+4,"")))</f>
        <v/>
      </c>
      <c r="W105" s="50" t="str">
        <f>IF(COUNTIF(ERP导入清单!$X$5:$X$204,101)=0,"",INDEX(ERP导入清单!W:W,IFERROR(MATCH(101,ERP导入清单!$X$5:$X$204,0)+4,"")))</f>
        <v/>
      </c>
    </row>
    <row r="106" spans="1:23" ht="24" customHeight="1">
      <c r="A106" s="55" t="str">
        <f>IF(COUNTIF(ERP导入清单!$X$5:$X$204,102)=0,"",INDEX(ERP导入清单!A:A,IFERROR(MATCH(102,ERP导入清单!$X$5:$X$204,0)+4,"")))</f>
        <v/>
      </c>
      <c r="B106" s="37" t="str">
        <f>IF(COUNTIF(ERP导入清单!$X$5:$X$204,102)=0,"",INDEX(ERP导入清单!B:B,IFERROR(MATCH(102,ERP导入清单!$X$5:$X$204,0)+4,"")))</f>
        <v/>
      </c>
      <c r="C106" s="38" t="str">
        <f>IF(COUNTIF(ERP导入清单!$X$5:$X$204,102)=0,"",INDEX(ERP导入清单!C:C,IFERROR(MATCH(102,ERP导入清单!$X$5:$X$204,0)+4,"")))</f>
        <v/>
      </c>
      <c r="D106" s="37" t="str">
        <f>IF(COUNTIF(ERP导入清单!$X$5:$X$204,102)=0,"",INDEX(ERP导入清单!D:D,IFERROR(MATCH(102,ERP导入清单!$X$5:$X$204,0)+4,"")))</f>
        <v/>
      </c>
      <c r="E106" s="37" t="str">
        <f>IF(COUNTIF(ERP导入清单!$X$5:$X$204,102)=0,"",INDEX(ERP导入清单!E:E,IFERROR(MATCH(102,ERP导入清单!$X$5:$X$204,0)+4,"")))</f>
        <v/>
      </c>
      <c r="F106" s="37" t="str">
        <f>IF(COUNTIF(ERP导入清单!$X$5:$X$204,102)=0,"",INDEX(ERP导入清单!F:F,IFERROR(MATCH(102,ERP导入清单!$X$5:$X$204,0)+4,"")))</f>
        <v/>
      </c>
      <c r="G106" s="57" t="str">
        <f>IF(COUNTIF(ERP导入清单!$X$5:$X$204,102)=0,"",INDEX(ERP导入清单!G:G,IFERROR(MATCH(102,ERP导入清单!$X$5:$X$204,0)+4,"")))</f>
        <v/>
      </c>
      <c r="H106" s="37" t="str">
        <f>IF(COUNTIF(ERP导入清单!$X$5:$X$204,102)=0,"",INDEX(ERP导入清单!H:H,IFERROR(MATCH(102,ERP导入清单!$X$5:$X$204,0)+4,"")))</f>
        <v/>
      </c>
      <c r="I106" s="57" t="str">
        <f>IF(COUNTIF(ERP导入清单!$X$5:$X$204,102)=0,"",INDEX(ERP导入清单!I:I,IFERROR(MATCH(102,ERP导入清单!$X$5:$X$204,0)+4,"")))</f>
        <v/>
      </c>
      <c r="J106" s="57" t="str">
        <f>IF(COUNTIF(ERP导入清单!$X$5:$X$204,102)=0,"",INDEX(ERP导入清单!J:J,IFERROR(MATCH(102,ERP导入清单!$X$5:$X$204,0)+4,"")))</f>
        <v/>
      </c>
      <c r="K106" s="37" t="str">
        <f>IF(COUNTIF(ERP导入清单!$X$5:$X$204,102)=0,"",INDEX(ERP导入清单!K:K,IFERROR(MATCH(102,ERP导入清单!$X$5:$X$204,0)+4,"")))</f>
        <v/>
      </c>
      <c r="L106" s="37" t="str">
        <f>IF(COUNTIF(ERP导入清单!$X$5:$X$204,102)=0,"",INDEX(ERP导入清单!L:L,IFERROR(MATCH(102,ERP导入清单!$X$5:$X$204,0)+4,"")))</f>
        <v/>
      </c>
      <c r="M106" s="37" t="str">
        <f>IF(COUNTIF(ERP导入清单!$X$5:$X$204,102)=0,"",INDEX(ERP导入清单!M:M,IFERROR(MATCH(102,ERP导入清单!$X$5:$X$204,0)+4,"")))</f>
        <v/>
      </c>
      <c r="N106" s="37" t="str">
        <f>IF(COUNTIF(ERP导入清单!$X$5:$X$204,102)=0,"",INDEX(ERP导入清单!N:N,IFERROR(MATCH(102,ERP导入清单!$X$5:$X$204,0)+4,"")))</f>
        <v/>
      </c>
      <c r="O106" s="37" t="str">
        <f>IF(COUNTIF(ERP导入清单!$X$5:$X$204,102)=0,"",INDEX(ERP导入清单!O:O,IFERROR(MATCH(102,ERP导入清单!$X$5:$X$204,0)+4,"")))</f>
        <v/>
      </c>
      <c r="P106" s="39" t="str">
        <f>IF(COUNTIF(ERP导入清单!$X$5:$X$204,102)=0,"",INDEX(ERP导入清单!P:P,IFERROR(MATCH(102,ERP导入清单!$X$5:$X$204,0)+4,"")))</f>
        <v/>
      </c>
      <c r="Q106" s="39" t="str">
        <f>IF(COUNTIF(ERP导入清单!$X$5:$X$204,102)=0,"",INDEX(ERP导入清单!Q:Q,IFERROR(MATCH(102,ERP导入清单!$X$5:$X$204,0)+4,"")))</f>
        <v/>
      </c>
      <c r="R106" s="59" t="str">
        <f>IF(COUNTIF(ERP导入清单!$X$5:$X$204,102)=0,"",INDEX(ERP导入清单!R:R,IFERROR(MATCH(102,ERP导入清单!$X$5:$X$204,0)+4,"")))</f>
        <v/>
      </c>
      <c r="S106" s="37" t="str">
        <f>IF(COUNTIF(ERP导入清单!$X$5:$X$204,102)=0,"",INDEX(ERP导入清单!S:S,IFERROR(MATCH(102,ERP导入清单!$X$5:$X$204,0)+4,"")))</f>
        <v/>
      </c>
      <c r="T106" s="37" t="str">
        <f>IF(COUNTIF(ERP导入清单!$X$5:$X$204,102)=0,"",INDEX(ERP导入清单!T:T,IFERROR(MATCH(102,ERP导入清单!$X$5:$X$204,0)+4,"")))</f>
        <v/>
      </c>
      <c r="U106" s="37" t="str">
        <f>IF(COUNTIF(ERP导入清单!$X$5:$X$204,102)=0,"",INDEX(ERP导入清单!U:U,IFERROR(MATCH(102,ERP导入清单!$X$5:$X$204,0)+4,"")))</f>
        <v/>
      </c>
      <c r="V106" s="38" t="str">
        <f>IF(COUNTIF(ERP导入清单!$X$5:$X$204,102)=0,"",INDEX(ERP导入清单!V:V,IFERROR(MATCH(102,ERP导入清单!$X$5:$X$204,0)+4,"")))</f>
        <v/>
      </c>
      <c r="W106" s="50" t="str">
        <f>IF(COUNTIF(ERP导入清单!$X$5:$X$204,102)=0,"",INDEX(ERP导入清单!W:W,IFERROR(MATCH(102,ERP导入清单!$X$5:$X$204,0)+4,"")))</f>
        <v/>
      </c>
    </row>
    <row r="107" spans="1:23" ht="24" customHeight="1">
      <c r="A107" s="55" t="str">
        <f>IF(COUNTIF(ERP导入清单!$X$5:$X$204,103)=0,"",INDEX(ERP导入清单!A:A,IFERROR(MATCH(103,ERP导入清单!$X$5:$X$204,0)+4,"")))</f>
        <v/>
      </c>
      <c r="B107" s="37" t="str">
        <f>IF(COUNTIF(ERP导入清单!$X$5:$X$204,103)=0,"",INDEX(ERP导入清单!B:B,IFERROR(MATCH(103,ERP导入清单!$X$5:$X$204,0)+4,"")))</f>
        <v/>
      </c>
      <c r="C107" s="38" t="str">
        <f>IF(COUNTIF(ERP导入清单!$X$5:$X$204,103)=0,"",INDEX(ERP导入清单!C:C,IFERROR(MATCH(103,ERP导入清单!$X$5:$X$204,0)+4,"")))</f>
        <v/>
      </c>
      <c r="D107" s="37" t="str">
        <f>IF(COUNTIF(ERP导入清单!$X$5:$X$204,103)=0,"",INDEX(ERP导入清单!D:D,IFERROR(MATCH(103,ERP导入清单!$X$5:$X$204,0)+4,"")))</f>
        <v/>
      </c>
      <c r="E107" s="37" t="str">
        <f>IF(COUNTIF(ERP导入清单!$X$5:$X$204,103)=0,"",INDEX(ERP导入清单!E:E,IFERROR(MATCH(103,ERP导入清单!$X$5:$X$204,0)+4,"")))</f>
        <v/>
      </c>
      <c r="F107" s="37" t="str">
        <f>IF(COUNTIF(ERP导入清单!$X$5:$X$204,103)=0,"",INDEX(ERP导入清单!F:F,IFERROR(MATCH(103,ERP导入清单!$X$5:$X$204,0)+4,"")))</f>
        <v/>
      </c>
      <c r="G107" s="57" t="str">
        <f>IF(COUNTIF(ERP导入清单!$X$5:$X$204,103)=0,"",INDEX(ERP导入清单!G:G,IFERROR(MATCH(103,ERP导入清单!$X$5:$X$204,0)+4,"")))</f>
        <v/>
      </c>
      <c r="H107" s="37" t="str">
        <f>IF(COUNTIF(ERP导入清单!$X$5:$X$204,103)=0,"",INDEX(ERP导入清单!H:H,IFERROR(MATCH(103,ERP导入清单!$X$5:$X$204,0)+4,"")))</f>
        <v/>
      </c>
      <c r="I107" s="57" t="str">
        <f>IF(COUNTIF(ERP导入清单!$X$5:$X$204,103)=0,"",INDEX(ERP导入清单!I:I,IFERROR(MATCH(103,ERP导入清单!$X$5:$X$204,0)+4,"")))</f>
        <v/>
      </c>
      <c r="J107" s="57" t="str">
        <f>IF(COUNTIF(ERP导入清单!$X$5:$X$204,103)=0,"",INDEX(ERP导入清单!J:J,IFERROR(MATCH(103,ERP导入清单!$X$5:$X$204,0)+4,"")))</f>
        <v/>
      </c>
      <c r="K107" s="37" t="str">
        <f>IF(COUNTIF(ERP导入清单!$X$5:$X$204,103)=0,"",INDEX(ERP导入清单!K:K,IFERROR(MATCH(103,ERP导入清单!$X$5:$X$204,0)+4,"")))</f>
        <v/>
      </c>
      <c r="L107" s="37" t="str">
        <f>IF(COUNTIF(ERP导入清单!$X$5:$X$204,103)=0,"",INDEX(ERP导入清单!L:L,IFERROR(MATCH(103,ERP导入清单!$X$5:$X$204,0)+4,"")))</f>
        <v/>
      </c>
      <c r="M107" s="37" t="str">
        <f>IF(COUNTIF(ERP导入清单!$X$5:$X$204,103)=0,"",INDEX(ERP导入清单!M:M,IFERROR(MATCH(103,ERP导入清单!$X$5:$X$204,0)+4,"")))</f>
        <v/>
      </c>
      <c r="N107" s="37" t="str">
        <f>IF(COUNTIF(ERP导入清单!$X$5:$X$204,103)=0,"",INDEX(ERP导入清单!N:N,IFERROR(MATCH(103,ERP导入清单!$X$5:$X$204,0)+4,"")))</f>
        <v/>
      </c>
      <c r="O107" s="37" t="str">
        <f>IF(COUNTIF(ERP导入清单!$X$5:$X$204,103)=0,"",INDEX(ERP导入清单!O:O,IFERROR(MATCH(103,ERP导入清单!$X$5:$X$204,0)+4,"")))</f>
        <v/>
      </c>
      <c r="P107" s="39" t="str">
        <f>IF(COUNTIF(ERP导入清单!$X$5:$X$204,103)=0,"",INDEX(ERP导入清单!P:P,IFERROR(MATCH(103,ERP导入清单!$X$5:$X$204,0)+4,"")))</f>
        <v/>
      </c>
      <c r="Q107" s="39" t="str">
        <f>IF(COUNTIF(ERP导入清单!$X$5:$X$204,103)=0,"",INDEX(ERP导入清单!Q:Q,IFERROR(MATCH(103,ERP导入清单!$X$5:$X$204,0)+4,"")))</f>
        <v/>
      </c>
      <c r="R107" s="59" t="str">
        <f>IF(COUNTIF(ERP导入清单!$X$5:$X$204,103)=0,"",INDEX(ERP导入清单!R:R,IFERROR(MATCH(103,ERP导入清单!$X$5:$X$204,0)+4,"")))</f>
        <v/>
      </c>
      <c r="S107" s="37" t="str">
        <f>IF(COUNTIF(ERP导入清单!$X$5:$X$204,103)=0,"",INDEX(ERP导入清单!S:S,IFERROR(MATCH(103,ERP导入清单!$X$5:$X$204,0)+4,"")))</f>
        <v/>
      </c>
      <c r="T107" s="37" t="str">
        <f>IF(COUNTIF(ERP导入清单!$X$5:$X$204,103)=0,"",INDEX(ERP导入清单!T:T,IFERROR(MATCH(103,ERP导入清单!$X$5:$X$204,0)+4,"")))</f>
        <v/>
      </c>
      <c r="U107" s="37" t="str">
        <f>IF(COUNTIF(ERP导入清单!$X$5:$X$204,103)=0,"",INDEX(ERP导入清单!U:U,IFERROR(MATCH(103,ERP导入清单!$X$5:$X$204,0)+4,"")))</f>
        <v/>
      </c>
      <c r="V107" s="38" t="str">
        <f>IF(COUNTIF(ERP导入清单!$X$5:$X$204,103)=0,"",INDEX(ERP导入清单!V:V,IFERROR(MATCH(103,ERP导入清单!$X$5:$X$204,0)+4,"")))</f>
        <v/>
      </c>
      <c r="W107" s="50" t="str">
        <f>IF(COUNTIF(ERP导入清单!$X$5:$X$204,103)=0,"",INDEX(ERP导入清单!W:W,IFERROR(MATCH(103,ERP导入清单!$X$5:$X$204,0)+4,"")))</f>
        <v/>
      </c>
    </row>
    <row r="108" spans="1:23" ht="24" customHeight="1">
      <c r="A108" s="55" t="str">
        <f>IF(COUNTIF(ERP导入清单!$X$5:$X$204,104)=0,"",INDEX(ERP导入清单!A:A,IFERROR(MATCH(104,ERP导入清单!$X$5:$X$204,0)+4,"")))</f>
        <v/>
      </c>
      <c r="B108" s="37" t="str">
        <f>IF(COUNTIF(ERP导入清单!$X$5:$X$204,104)=0,"",INDEX(ERP导入清单!B:B,IFERROR(MATCH(104,ERP导入清单!$X$5:$X$204,0)+4,"")))</f>
        <v/>
      </c>
      <c r="C108" s="38" t="str">
        <f>IF(COUNTIF(ERP导入清单!$X$5:$X$204,104)=0,"",INDEX(ERP导入清单!C:C,IFERROR(MATCH(104,ERP导入清单!$X$5:$X$204,0)+4,"")))</f>
        <v/>
      </c>
      <c r="D108" s="37" t="str">
        <f>IF(COUNTIF(ERP导入清单!$X$5:$X$204,104)=0,"",INDEX(ERP导入清单!D:D,IFERROR(MATCH(104,ERP导入清单!$X$5:$X$204,0)+4,"")))</f>
        <v/>
      </c>
      <c r="E108" s="37" t="str">
        <f>IF(COUNTIF(ERP导入清单!$X$5:$X$204,104)=0,"",INDEX(ERP导入清单!E:E,IFERROR(MATCH(104,ERP导入清单!$X$5:$X$204,0)+4,"")))</f>
        <v/>
      </c>
      <c r="F108" s="37" t="str">
        <f>IF(COUNTIF(ERP导入清单!$X$5:$X$204,104)=0,"",INDEX(ERP导入清单!F:F,IFERROR(MATCH(104,ERP导入清单!$X$5:$X$204,0)+4,"")))</f>
        <v/>
      </c>
      <c r="G108" s="57" t="str">
        <f>IF(COUNTIF(ERP导入清单!$X$5:$X$204,104)=0,"",INDEX(ERP导入清单!G:G,IFERROR(MATCH(104,ERP导入清单!$X$5:$X$204,0)+4,"")))</f>
        <v/>
      </c>
      <c r="H108" s="37" t="str">
        <f>IF(COUNTIF(ERP导入清单!$X$5:$X$204,104)=0,"",INDEX(ERP导入清单!H:H,IFERROR(MATCH(104,ERP导入清单!$X$5:$X$204,0)+4,"")))</f>
        <v/>
      </c>
      <c r="I108" s="57" t="str">
        <f>IF(COUNTIF(ERP导入清单!$X$5:$X$204,104)=0,"",INDEX(ERP导入清单!I:I,IFERROR(MATCH(104,ERP导入清单!$X$5:$X$204,0)+4,"")))</f>
        <v/>
      </c>
      <c r="J108" s="57" t="str">
        <f>IF(COUNTIF(ERP导入清单!$X$5:$X$204,104)=0,"",INDEX(ERP导入清单!J:J,IFERROR(MATCH(104,ERP导入清单!$X$5:$X$204,0)+4,"")))</f>
        <v/>
      </c>
      <c r="K108" s="37" t="str">
        <f>IF(COUNTIF(ERP导入清单!$X$5:$X$204,104)=0,"",INDEX(ERP导入清单!K:K,IFERROR(MATCH(104,ERP导入清单!$X$5:$X$204,0)+4,"")))</f>
        <v/>
      </c>
      <c r="L108" s="37" t="str">
        <f>IF(COUNTIF(ERP导入清单!$X$5:$X$204,104)=0,"",INDEX(ERP导入清单!L:L,IFERROR(MATCH(104,ERP导入清单!$X$5:$X$204,0)+4,"")))</f>
        <v/>
      </c>
      <c r="M108" s="37" t="str">
        <f>IF(COUNTIF(ERP导入清单!$X$5:$X$204,104)=0,"",INDEX(ERP导入清单!M:M,IFERROR(MATCH(104,ERP导入清单!$X$5:$X$204,0)+4,"")))</f>
        <v/>
      </c>
      <c r="N108" s="37" t="str">
        <f>IF(COUNTIF(ERP导入清单!$X$5:$X$204,104)=0,"",INDEX(ERP导入清单!N:N,IFERROR(MATCH(104,ERP导入清单!$X$5:$X$204,0)+4,"")))</f>
        <v/>
      </c>
      <c r="O108" s="37" t="str">
        <f>IF(COUNTIF(ERP导入清单!$X$5:$X$204,104)=0,"",INDEX(ERP导入清单!O:O,IFERROR(MATCH(104,ERP导入清单!$X$5:$X$204,0)+4,"")))</f>
        <v/>
      </c>
      <c r="P108" s="39" t="str">
        <f>IF(COUNTIF(ERP导入清单!$X$5:$X$204,104)=0,"",INDEX(ERP导入清单!P:P,IFERROR(MATCH(104,ERP导入清单!$X$5:$X$204,0)+4,"")))</f>
        <v/>
      </c>
      <c r="Q108" s="39" t="str">
        <f>IF(COUNTIF(ERP导入清单!$X$5:$X$204,104)=0,"",INDEX(ERP导入清单!Q:Q,IFERROR(MATCH(104,ERP导入清单!$X$5:$X$204,0)+4,"")))</f>
        <v/>
      </c>
      <c r="R108" s="59" t="str">
        <f>IF(COUNTIF(ERP导入清单!$X$5:$X$204,104)=0,"",INDEX(ERP导入清单!R:R,IFERROR(MATCH(104,ERP导入清单!$X$5:$X$204,0)+4,"")))</f>
        <v/>
      </c>
      <c r="S108" s="37" t="str">
        <f>IF(COUNTIF(ERP导入清单!$X$5:$X$204,104)=0,"",INDEX(ERP导入清单!S:S,IFERROR(MATCH(104,ERP导入清单!$X$5:$X$204,0)+4,"")))</f>
        <v/>
      </c>
      <c r="T108" s="37" t="str">
        <f>IF(COUNTIF(ERP导入清单!$X$5:$X$204,104)=0,"",INDEX(ERP导入清单!T:T,IFERROR(MATCH(104,ERP导入清单!$X$5:$X$204,0)+4,"")))</f>
        <v/>
      </c>
      <c r="U108" s="37" t="str">
        <f>IF(COUNTIF(ERP导入清单!$X$5:$X$204,104)=0,"",INDEX(ERP导入清单!U:U,IFERROR(MATCH(104,ERP导入清单!$X$5:$X$204,0)+4,"")))</f>
        <v/>
      </c>
      <c r="V108" s="38" t="str">
        <f>IF(COUNTIF(ERP导入清单!$X$5:$X$204,104)=0,"",INDEX(ERP导入清单!V:V,IFERROR(MATCH(104,ERP导入清单!$X$5:$X$204,0)+4,"")))</f>
        <v/>
      </c>
      <c r="W108" s="50" t="str">
        <f>IF(COUNTIF(ERP导入清单!$X$5:$X$204,104)=0,"",INDEX(ERP导入清单!W:W,IFERROR(MATCH(104,ERP导入清单!$X$5:$X$204,0)+4,"")))</f>
        <v/>
      </c>
    </row>
    <row r="109" spans="1:23" ht="24" customHeight="1">
      <c r="A109" s="55" t="str">
        <f>IF(COUNTIF(ERP导入清单!$X$5:$X$204,105)=0,"",INDEX(ERP导入清单!A:A,IFERROR(MATCH(105,ERP导入清单!$X$5:$X$204,0)+4,"")))</f>
        <v/>
      </c>
      <c r="B109" s="37" t="str">
        <f>IF(COUNTIF(ERP导入清单!$X$5:$X$204,105)=0,"",INDEX(ERP导入清单!B:B,IFERROR(MATCH(105,ERP导入清单!$X$5:$X$204,0)+4,"")))</f>
        <v/>
      </c>
      <c r="C109" s="38" t="str">
        <f>IF(COUNTIF(ERP导入清单!$X$5:$X$204,105)=0,"",INDEX(ERP导入清单!C:C,IFERROR(MATCH(105,ERP导入清单!$X$5:$X$204,0)+4,"")))</f>
        <v/>
      </c>
      <c r="D109" s="37" t="str">
        <f>IF(COUNTIF(ERP导入清单!$X$5:$X$204,105)=0,"",INDEX(ERP导入清单!D:D,IFERROR(MATCH(105,ERP导入清单!$X$5:$X$204,0)+4,"")))</f>
        <v/>
      </c>
      <c r="E109" s="37" t="str">
        <f>IF(COUNTIF(ERP导入清单!$X$5:$X$204,105)=0,"",INDEX(ERP导入清单!E:E,IFERROR(MATCH(105,ERP导入清单!$X$5:$X$204,0)+4,"")))</f>
        <v/>
      </c>
      <c r="F109" s="37" t="str">
        <f>IF(COUNTIF(ERP导入清单!$X$5:$X$204,105)=0,"",INDEX(ERP导入清单!F:F,IFERROR(MATCH(105,ERP导入清单!$X$5:$X$204,0)+4,"")))</f>
        <v/>
      </c>
      <c r="G109" s="57" t="str">
        <f>IF(COUNTIF(ERP导入清单!$X$5:$X$204,105)=0,"",INDEX(ERP导入清单!G:G,IFERROR(MATCH(105,ERP导入清单!$X$5:$X$204,0)+4,"")))</f>
        <v/>
      </c>
      <c r="H109" s="37" t="str">
        <f>IF(COUNTIF(ERP导入清单!$X$5:$X$204,105)=0,"",INDEX(ERP导入清单!H:H,IFERROR(MATCH(105,ERP导入清单!$X$5:$X$204,0)+4,"")))</f>
        <v/>
      </c>
      <c r="I109" s="57" t="str">
        <f>IF(COUNTIF(ERP导入清单!$X$5:$X$204,105)=0,"",INDEX(ERP导入清单!I:I,IFERROR(MATCH(105,ERP导入清单!$X$5:$X$204,0)+4,"")))</f>
        <v/>
      </c>
      <c r="J109" s="57" t="str">
        <f>IF(COUNTIF(ERP导入清单!$X$5:$X$204,105)=0,"",INDEX(ERP导入清单!J:J,IFERROR(MATCH(105,ERP导入清单!$X$5:$X$204,0)+4,"")))</f>
        <v/>
      </c>
      <c r="K109" s="37" t="str">
        <f>IF(COUNTIF(ERP导入清单!$X$5:$X$204,105)=0,"",INDEX(ERP导入清单!K:K,IFERROR(MATCH(105,ERP导入清单!$X$5:$X$204,0)+4,"")))</f>
        <v/>
      </c>
      <c r="L109" s="37" t="str">
        <f>IF(COUNTIF(ERP导入清单!$X$5:$X$204,105)=0,"",INDEX(ERP导入清单!L:L,IFERROR(MATCH(105,ERP导入清单!$X$5:$X$204,0)+4,"")))</f>
        <v/>
      </c>
      <c r="M109" s="37" t="str">
        <f>IF(COUNTIF(ERP导入清单!$X$5:$X$204,105)=0,"",INDEX(ERP导入清单!M:M,IFERROR(MATCH(105,ERP导入清单!$X$5:$X$204,0)+4,"")))</f>
        <v/>
      </c>
      <c r="N109" s="37" t="str">
        <f>IF(COUNTIF(ERP导入清单!$X$5:$X$204,105)=0,"",INDEX(ERP导入清单!N:N,IFERROR(MATCH(105,ERP导入清单!$X$5:$X$204,0)+4,"")))</f>
        <v/>
      </c>
      <c r="O109" s="37" t="str">
        <f>IF(COUNTIF(ERP导入清单!$X$5:$X$204,105)=0,"",INDEX(ERP导入清单!O:O,IFERROR(MATCH(105,ERP导入清单!$X$5:$X$204,0)+4,"")))</f>
        <v/>
      </c>
      <c r="P109" s="39" t="str">
        <f>IF(COUNTIF(ERP导入清单!$X$5:$X$204,105)=0,"",INDEX(ERP导入清单!P:P,IFERROR(MATCH(105,ERP导入清单!$X$5:$X$204,0)+4,"")))</f>
        <v/>
      </c>
      <c r="Q109" s="39" t="str">
        <f>IF(COUNTIF(ERP导入清单!$X$5:$X$204,105)=0,"",INDEX(ERP导入清单!Q:Q,IFERROR(MATCH(105,ERP导入清单!$X$5:$X$204,0)+4,"")))</f>
        <v/>
      </c>
      <c r="R109" s="59" t="str">
        <f>IF(COUNTIF(ERP导入清单!$X$5:$X$204,105)=0,"",INDEX(ERP导入清单!R:R,IFERROR(MATCH(105,ERP导入清单!$X$5:$X$204,0)+4,"")))</f>
        <v/>
      </c>
      <c r="S109" s="37" t="str">
        <f>IF(COUNTIF(ERP导入清单!$X$5:$X$204,105)=0,"",INDEX(ERP导入清单!S:S,IFERROR(MATCH(105,ERP导入清单!$X$5:$X$204,0)+4,"")))</f>
        <v/>
      </c>
      <c r="T109" s="37" t="str">
        <f>IF(COUNTIF(ERP导入清单!$X$5:$X$204,105)=0,"",INDEX(ERP导入清单!T:T,IFERROR(MATCH(105,ERP导入清单!$X$5:$X$204,0)+4,"")))</f>
        <v/>
      </c>
      <c r="U109" s="37" t="str">
        <f>IF(COUNTIF(ERP导入清单!$X$5:$X$204,105)=0,"",INDEX(ERP导入清单!U:U,IFERROR(MATCH(105,ERP导入清单!$X$5:$X$204,0)+4,"")))</f>
        <v/>
      </c>
      <c r="V109" s="38" t="str">
        <f>IF(COUNTIF(ERP导入清单!$X$5:$X$204,105)=0,"",INDEX(ERP导入清单!V:V,IFERROR(MATCH(105,ERP导入清单!$X$5:$X$204,0)+4,"")))</f>
        <v/>
      </c>
      <c r="W109" s="50" t="str">
        <f>IF(COUNTIF(ERP导入清单!$X$5:$X$204,105)=0,"",INDEX(ERP导入清单!W:W,IFERROR(MATCH(105,ERP导入清单!$X$5:$X$204,0)+4,"")))</f>
        <v/>
      </c>
    </row>
    <row r="110" spans="1:23" ht="24" customHeight="1">
      <c r="A110" s="55" t="str">
        <f>IF(COUNTIF(ERP导入清单!$X$5:$X$204,106)=0,"",INDEX(ERP导入清单!A:A,IFERROR(MATCH(106,ERP导入清单!$X$5:$X$204,0)+4,"")))</f>
        <v/>
      </c>
      <c r="B110" s="37" t="str">
        <f>IF(COUNTIF(ERP导入清单!$X$5:$X$204,106)=0,"",INDEX(ERP导入清单!B:B,IFERROR(MATCH(106,ERP导入清单!$X$5:$X$204,0)+4,"")))</f>
        <v/>
      </c>
      <c r="C110" s="38" t="str">
        <f>IF(COUNTIF(ERP导入清单!$X$5:$X$204,106)=0,"",INDEX(ERP导入清单!C:C,IFERROR(MATCH(106,ERP导入清单!$X$5:$X$204,0)+4,"")))</f>
        <v/>
      </c>
      <c r="D110" s="37" t="str">
        <f>IF(COUNTIF(ERP导入清单!$X$5:$X$204,106)=0,"",INDEX(ERP导入清单!D:D,IFERROR(MATCH(106,ERP导入清单!$X$5:$X$204,0)+4,"")))</f>
        <v/>
      </c>
      <c r="E110" s="37" t="str">
        <f>IF(COUNTIF(ERP导入清单!$X$5:$X$204,106)=0,"",INDEX(ERP导入清单!E:E,IFERROR(MATCH(106,ERP导入清单!$X$5:$X$204,0)+4,"")))</f>
        <v/>
      </c>
      <c r="F110" s="37" t="str">
        <f>IF(COUNTIF(ERP导入清单!$X$5:$X$204,106)=0,"",INDEX(ERP导入清单!F:F,IFERROR(MATCH(106,ERP导入清单!$X$5:$X$204,0)+4,"")))</f>
        <v/>
      </c>
      <c r="G110" s="57" t="str">
        <f>IF(COUNTIF(ERP导入清单!$X$5:$X$204,106)=0,"",INDEX(ERP导入清单!G:G,IFERROR(MATCH(106,ERP导入清单!$X$5:$X$204,0)+4,"")))</f>
        <v/>
      </c>
      <c r="H110" s="37" t="str">
        <f>IF(COUNTIF(ERP导入清单!$X$5:$X$204,106)=0,"",INDEX(ERP导入清单!H:H,IFERROR(MATCH(106,ERP导入清单!$X$5:$X$204,0)+4,"")))</f>
        <v/>
      </c>
      <c r="I110" s="57" t="str">
        <f>IF(COUNTIF(ERP导入清单!$X$5:$X$204,106)=0,"",INDEX(ERP导入清单!I:I,IFERROR(MATCH(106,ERP导入清单!$X$5:$X$204,0)+4,"")))</f>
        <v/>
      </c>
      <c r="J110" s="57" t="str">
        <f>IF(COUNTIF(ERP导入清单!$X$5:$X$204,106)=0,"",INDEX(ERP导入清单!J:J,IFERROR(MATCH(106,ERP导入清单!$X$5:$X$204,0)+4,"")))</f>
        <v/>
      </c>
      <c r="K110" s="37" t="str">
        <f>IF(COUNTIF(ERP导入清单!$X$5:$X$204,106)=0,"",INDEX(ERP导入清单!K:K,IFERROR(MATCH(106,ERP导入清单!$X$5:$X$204,0)+4,"")))</f>
        <v/>
      </c>
      <c r="L110" s="37" t="str">
        <f>IF(COUNTIF(ERP导入清单!$X$5:$X$204,106)=0,"",INDEX(ERP导入清单!L:L,IFERROR(MATCH(106,ERP导入清单!$X$5:$X$204,0)+4,"")))</f>
        <v/>
      </c>
      <c r="M110" s="37" t="str">
        <f>IF(COUNTIF(ERP导入清单!$X$5:$X$204,106)=0,"",INDEX(ERP导入清单!M:M,IFERROR(MATCH(106,ERP导入清单!$X$5:$X$204,0)+4,"")))</f>
        <v/>
      </c>
      <c r="N110" s="37" t="str">
        <f>IF(COUNTIF(ERP导入清单!$X$5:$X$204,106)=0,"",INDEX(ERP导入清单!N:N,IFERROR(MATCH(106,ERP导入清单!$X$5:$X$204,0)+4,"")))</f>
        <v/>
      </c>
      <c r="O110" s="37" t="str">
        <f>IF(COUNTIF(ERP导入清单!$X$5:$X$204,106)=0,"",INDEX(ERP导入清单!O:O,IFERROR(MATCH(106,ERP导入清单!$X$5:$X$204,0)+4,"")))</f>
        <v/>
      </c>
      <c r="P110" s="39" t="str">
        <f>IF(COUNTIF(ERP导入清单!$X$5:$X$204,106)=0,"",INDEX(ERP导入清单!P:P,IFERROR(MATCH(106,ERP导入清单!$X$5:$X$204,0)+4,"")))</f>
        <v/>
      </c>
      <c r="Q110" s="39" t="str">
        <f>IF(COUNTIF(ERP导入清单!$X$5:$X$204,106)=0,"",INDEX(ERP导入清单!Q:Q,IFERROR(MATCH(106,ERP导入清单!$X$5:$X$204,0)+4,"")))</f>
        <v/>
      </c>
      <c r="R110" s="59" t="str">
        <f>IF(COUNTIF(ERP导入清单!$X$5:$X$204,106)=0,"",INDEX(ERP导入清单!R:R,IFERROR(MATCH(106,ERP导入清单!$X$5:$X$204,0)+4,"")))</f>
        <v/>
      </c>
      <c r="S110" s="37" t="str">
        <f>IF(COUNTIF(ERP导入清单!$X$5:$X$204,106)=0,"",INDEX(ERP导入清单!S:S,IFERROR(MATCH(106,ERP导入清单!$X$5:$X$204,0)+4,"")))</f>
        <v/>
      </c>
      <c r="T110" s="37" t="str">
        <f>IF(COUNTIF(ERP导入清单!$X$5:$X$204,106)=0,"",INDEX(ERP导入清单!T:T,IFERROR(MATCH(106,ERP导入清单!$X$5:$X$204,0)+4,"")))</f>
        <v/>
      </c>
      <c r="U110" s="37" t="str">
        <f>IF(COUNTIF(ERP导入清单!$X$5:$X$204,106)=0,"",INDEX(ERP导入清单!U:U,IFERROR(MATCH(106,ERP导入清单!$X$5:$X$204,0)+4,"")))</f>
        <v/>
      </c>
      <c r="V110" s="38" t="str">
        <f>IF(COUNTIF(ERP导入清单!$X$5:$X$204,106)=0,"",INDEX(ERP导入清单!V:V,IFERROR(MATCH(106,ERP导入清单!$X$5:$X$204,0)+4,"")))</f>
        <v/>
      </c>
      <c r="W110" s="50" t="str">
        <f>IF(COUNTIF(ERP导入清单!$X$5:$X$204,106)=0,"",INDEX(ERP导入清单!W:W,IFERROR(MATCH(106,ERP导入清单!$X$5:$X$204,0)+4,"")))</f>
        <v/>
      </c>
    </row>
    <row r="111" spans="1:23" ht="24" customHeight="1">
      <c r="A111" s="55" t="str">
        <f>IF(COUNTIF(ERP导入清单!$X$5:$X$204,107)=0,"",INDEX(ERP导入清单!A:A,IFERROR(MATCH(107,ERP导入清单!$X$5:$X$204,0)+4,"")))</f>
        <v/>
      </c>
      <c r="B111" s="37" t="str">
        <f>IF(COUNTIF(ERP导入清单!$X$5:$X$204,107)=0,"",INDEX(ERP导入清单!B:B,IFERROR(MATCH(107,ERP导入清单!$X$5:$X$204,0)+4,"")))</f>
        <v/>
      </c>
      <c r="C111" s="38" t="str">
        <f>IF(COUNTIF(ERP导入清单!$X$5:$X$204,107)=0,"",INDEX(ERP导入清单!C:C,IFERROR(MATCH(107,ERP导入清单!$X$5:$X$204,0)+4,"")))</f>
        <v/>
      </c>
      <c r="D111" s="37" t="str">
        <f>IF(COUNTIF(ERP导入清单!$X$5:$X$204,107)=0,"",INDEX(ERP导入清单!D:D,IFERROR(MATCH(107,ERP导入清单!$X$5:$X$204,0)+4,"")))</f>
        <v/>
      </c>
      <c r="E111" s="37" t="str">
        <f>IF(COUNTIF(ERP导入清单!$X$5:$X$204,107)=0,"",INDEX(ERP导入清单!E:E,IFERROR(MATCH(107,ERP导入清单!$X$5:$X$204,0)+4,"")))</f>
        <v/>
      </c>
      <c r="F111" s="37" t="str">
        <f>IF(COUNTIF(ERP导入清单!$X$5:$X$204,107)=0,"",INDEX(ERP导入清单!F:F,IFERROR(MATCH(107,ERP导入清单!$X$5:$X$204,0)+4,"")))</f>
        <v/>
      </c>
      <c r="G111" s="57" t="str">
        <f>IF(COUNTIF(ERP导入清单!$X$5:$X$204,107)=0,"",INDEX(ERP导入清单!G:G,IFERROR(MATCH(107,ERP导入清单!$X$5:$X$204,0)+4,"")))</f>
        <v/>
      </c>
      <c r="H111" s="37" t="str">
        <f>IF(COUNTIF(ERP导入清单!$X$5:$X$204,107)=0,"",INDEX(ERP导入清单!H:H,IFERROR(MATCH(107,ERP导入清单!$X$5:$X$204,0)+4,"")))</f>
        <v/>
      </c>
      <c r="I111" s="57" t="str">
        <f>IF(COUNTIF(ERP导入清单!$X$5:$X$204,107)=0,"",INDEX(ERP导入清单!I:I,IFERROR(MATCH(107,ERP导入清单!$X$5:$X$204,0)+4,"")))</f>
        <v/>
      </c>
      <c r="J111" s="57" t="str">
        <f>IF(COUNTIF(ERP导入清单!$X$5:$X$204,107)=0,"",INDEX(ERP导入清单!J:J,IFERROR(MATCH(107,ERP导入清单!$X$5:$X$204,0)+4,"")))</f>
        <v/>
      </c>
      <c r="K111" s="37" t="str">
        <f>IF(COUNTIF(ERP导入清单!$X$5:$X$204,107)=0,"",INDEX(ERP导入清单!K:K,IFERROR(MATCH(107,ERP导入清单!$X$5:$X$204,0)+4,"")))</f>
        <v/>
      </c>
      <c r="L111" s="37" t="str">
        <f>IF(COUNTIF(ERP导入清单!$X$5:$X$204,107)=0,"",INDEX(ERP导入清单!L:L,IFERROR(MATCH(107,ERP导入清单!$X$5:$X$204,0)+4,"")))</f>
        <v/>
      </c>
      <c r="M111" s="37" t="str">
        <f>IF(COUNTIF(ERP导入清单!$X$5:$X$204,107)=0,"",INDEX(ERP导入清单!M:M,IFERROR(MATCH(107,ERP导入清单!$X$5:$X$204,0)+4,"")))</f>
        <v/>
      </c>
      <c r="N111" s="37" t="str">
        <f>IF(COUNTIF(ERP导入清单!$X$5:$X$204,107)=0,"",INDEX(ERP导入清单!N:N,IFERROR(MATCH(107,ERP导入清单!$X$5:$X$204,0)+4,"")))</f>
        <v/>
      </c>
      <c r="O111" s="37" t="str">
        <f>IF(COUNTIF(ERP导入清单!$X$5:$X$204,107)=0,"",INDEX(ERP导入清单!O:O,IFERROR(MATCH(107,ERP导入清单!$X$5:$X$204,0)+4,"")))</f>
        <v/>
      </c>
      <c r="P111" s="39" t="str">
        <f>IF(COUNTIF(ERP导入清单!$X$5:$X$204,107)=0,"",INDEX(ERP导入清单!P:P,IFERROR(MATCH(107,ERP导入清单!$X$5:$X$204,0)+4,"")))</f>
        <v/>
      </c>
      <c r="Q111" s="39" t="str">
        <f>IF(COUNTIF(ERP导入清单!$X$5:$X$204,107)=0,"",INDEX(ERP导入清单!Q:Q,IFERROR(MATCH(107,ERP导入清单!$X$5:$X$204,0)+4,"")))</f>
        <v/>
      </c>
      <c r="R111" s="59" t="str">
        <f>IF(COUNTIF(ERP导入清单!$X$5:$X$204,107)=0,"",INDEX(ERP导入清单!R:R,IFERROR(MATCH(107,ERP导入清单!$X$5:$X$204,0)+4,"")))</f>
        <v/>
      </c>
      <c r="S111" s="37" t="str">
        <f>IF(COUNTIF(ERP导入清单!$X$5:$X$204,107)=0,"",INDEX(ERP导入清单!S:S,IFERROR(MATCH(107,ERP导入清单!$X$5:$X$204,0)+4,"")))</f>
        <v/>
      </c>
      <c r="T111" s="37" t="str">
        <f>IF(COUNTIF(ERP导入清单!$X$5:$X$204,107)=0,"",INDEX(ERP导入清单!T:T,IFERROR(MATCH(107,ERP导入清单!$X$5:$X$204,0)+4,"")))</f>
        <v/>
      </c>
      <c r="U111" s="37" t="str">
        <f>IF(COUNTIF(ERP导入清单!$X$5:$X$204,107)=0,"",INDEX(ERP导入清单!U:U,IFERROR(MATCH(107,ERP导入清单!$X$5:$X$204,0)+4,"")))</f>
        <v/>
      </c>
      <c r="V111" s="38" t="str">
        <f>IF(COUNTIF(ERP导入清单!$X$5:$X$204,107)=0,"",INDEX(ERP导入清单!V:V,IFERROR(MATCH(107,ERP导入清单!$X$5:$X$204,0)+4,"")))</f>
        <v/>
      </c>
      <c r="W111" s="50" t="str">
        <f>IF(COUNTIF(ERP导入清单!$X$5:$X$204,107)=0,"",INDEX(ERP导入清单!W:W,IFERROR(MATCH(107,ERP导入清单!$X$5:$X$204,0)+4,"")))</f>
        <v/>
      </c>
    </row>
    <row r="112" spans="1:23" ht="24" customHeight="1">
      <c r="A112" s="55" t="str">
        <f>IF(COUNTIF(ERP导入清单!$X$5:$X$204,108)=0,"",INDEX(ERP导入清单!A:A,IFERROR(MATCH(108,ERP导入清单!$X$5:$X$204,0)+4,"")))</f>
        <v/>
      </c>
      <c r="B112" s="37" t="str">
        <f>IF(COUNTIF(ERP导入清单!$X$5:$X$204,108)=0,"",INDEX(ERP导入清单!B:B,IFERROR(MATCH(108,ERP导入清单!$X$5:$X$204,0)+4,"")))</f>
        <v/>
      </c>
      <c r="C112" s="38" t="str">
        <f>IF(COUNTIF(ERP导入清单!$X$5:$X$204,108)=0,"",INDEX(ERP导入清单!C:C,IFERROR(MATCH(108,ERP导入清单!$X$5:$X$204,0)+4,"")))</f>
        <v/>
      </c>
      <c r="D112" s="37" t="str">
        <f>IF(COUNTIF(ERP导入清单!$X$5:$X$204,108)=0,"",INDEX(ERP导入清单!D:D,IFERROR(MATCH(108,ERP导入清单!$X$5:$X$204,0)+4,"")))</f>
        <v/>
      </c>
      <c r="E112" s="37" t="str">
        <f>IF(COUNTIF(ERP导入清单!$X$5:$X$204,108)=0,"",INDEX(ERP导入清单!E:E,IFERROR(MATCH(108,ERP导入清单!$X$5:$X$204,0)+4,"")))</f>
        <v/>
      </c>
      <c r="F112" s="37" t="str">
        <f>IF(COUNTIF(ERP导入清单!$X$5:$X$204,108)=0,"",INDEX(ERP导入清单!F:F,IFERROR(MATCH(108,ERP导入清单!$X$5:$X$204,0)+4,"")))</f>
        <v/>
      </c>
      <c r="G112" s="57" t="str">
        <f>IF(COUNTIF(ERP导入清单!$X$5:$X$204,108)=0,"",INDEX(ERP导入清单!G:G,IFERROR(MATCH(108,ERP导入清单!$X$5:$X$204,0)+4,"")))</f>
        <v/>
      </c>
      <c r="H112" s="37" t="str">
        <f>IF(COUNTIF(ERP导入清单!$X$5:$X$204,108)=0,"",INDEX(ERP导入清单!H:H,IFERROR(MATCH(108,ERP导入清单!$X$5:$X$204,0)+4,"")))</f>
        <v/>
      </c>
      <c r="I112" s="57" t="str">
        <f>IF(COUNTIF(ERP导入清单!$X$5:$X$204,108)=0,"",INDEX(ERP导入清单!I:I,IFERROR(MATCH(108,ERP导入清单!$X$5:$X$204,0)+4,"")))</f>
        <v/>
      </c>
      <c r="J112" s="57" t="str">
        <f>IF(COUNTIF(ERP导入清单!$X$5:$X$204,108)=0,"",INDEX(ERP导入清单!J:J,IFERROR(MATCH(108,ERP导入清单!$X$5:$X$204,0)+4,"")))</f>
        <v/>
      </c>
      <c r="K112" s="37" t="str">
        <f>IF(COUNTIF(ERP导入清单!$X$5:$X$204,108)=0,"",INDEX(ERP导入清单!K:K,IFERROR(MATCH(108,ERP导入清单!$X$5:$X$204,0)+4,"")))</f>
        <v/>
      </c>
      <c r="L112" s="37" t="str">
        <f>IF(COUNTIF(ERP导入清单!$X$5:$X$204,108)=0,"",INDEX(ERP导入清单!L:L,IFERROR(MATCH(108,ERP导入清单!$X$5:$X$204,0)+4,"")))</f>
        <v/>
      </c>
      <c r="M112" s="37" t="str">
        <f>IF(COUNTIF(ERP导入清单!$X$5:$X$204,108)=0,"",INDEX(ERP导入清单!M:M,IFERROR(MATCH(108,ERP导入清单!$X$5:$X$204,0)+4,"")))</f>
        <v/>
      </c>
      <c r="N112" s="37" t="str">
        <f>IF(COUNTIF(ERP导入清单!$X$5:$X$204,108)=0,"",INDEX(ERP导入清单!N:N,IFERROR(MATCH(108,ERP导入清单!$X$5:$X$204,0)+4,"")))</f>
        <v/>
      </c>
      <c r="O112" s="37" t="str">
        <f>IF(COUNTIF(ERP导入清单!$X$5:$X$204,108)=0,"",INDEX(ERP导入清单!O:O,IFERROR(MATCH(108,ERP导入清单!$X$5:$X$204,0)+4,"")))</f>
        <v/>
      </c>
      <c r="P112" s="39" t="str">
        <f>IF(COUNTIF(ERP导入清单!$X$5:$X$204,108)=0,"",INDEX(ERP导入清单!P:P,IFERROR(MATCH(108,ERP导入清单!$X$5:$X$204,0)+4,"")))</f>
        <v/>
      </c>
      <c r="Q112" s="39" t="str">
        <f>IF(COUNTIF(ERP导入清单!$X$5:$X$204,108)=0,"",INDEX(ERP导入清单!Q:Q,IFERROR(MATCH(108,ERP导入清单!$X$5:$X$204,0)+4,"")))</f>
        <v/>
      </c>
      <c r="R112" s="59" t="str">
        <f>IF(COUNTIF(ERP导入清单!$X$5:$X$204,108)=0,"",INDEX(ERP导入清单!R:R,IFERROR(MATCH(108,ERP导入清单!$X$5:$X$204,0)+4,"")))</f>
        <v/>
      </c>
      <c r="S112" s="37" t="str">
        <f>IF(COUNTIF(ERP导入清单!$X$5:$X$204,108)=0,"",INDEX(ERP导入清单!S:S,IFERROR(MATCH(108,ERP导入清单!$X$5:$X$204,0)+4,"")))</f>
        <v/>
      </c>
      <c r="T112" s="37" t="str">
        <f>IF(COUNTIF(ERP导入清单!$X$5:$X$204,108)=0,"",INDEX(ERP导入清单!T:T,IFERROR(MATCH(108,ERP导入清单!$X$5:$X$204,0)+4,"")))</f>
        <v/>
      </c>
      <c r="U112" s="37" t="str">
        <f>IF(COUNTIF(ERP导入清单!$X$5:$X$204,108)=0,"",INDEX(ERP导入清单!U:U,IFERROR(MATCH(108,ERP导入清单!$X$5:$X$204,0)+4,"")))</f>
        <v/>
      </c>
      <c r="V112" s="38" t="str">
        <f>IF(COUNTIF(ERP导入清单!$X$5:$X$204,108)=0,"",INDEX(ERP导入清单!V:V,IFERROR(MATCH(108,ERP导入清单!$X$5:$X$204,0)+4,"")))</f>
        <v/>
      </c>
      <c r="W112" s="50" t="str">
        <f>IF(COUNTIF(ERP导入清单!$X$5:$X$204,108)=0,"",INDEX(ERP导入清单!W:W,IFERROR(MATCH(108,ERP导入清单!$X$5:$X$204,0)+4,"")))</f>
        <v/>
      </c>
    </row>
    <row r="113" spans="1:23" ht="24" customHeight="1">
      <c r="A113" s="55" t="str">
        <f>IF(COUNTIF(ERP导入清单!$X$5:$X$204,109)=0,"",INDEX(ERP导入清单!A:A,IFERROR(MATCH(109,ERP导入清单!$X$5:$X$204,0)+4,"")))</f>
        <v/>
      </c>
      <c r="B113" s="37" t="str">
        <f>IF(COUNTIF(ERP导入清单!$X$5:$X$204,109)=0,"",INDEX(ERP导入清单!B:B,IFERROR(MATCH(109,ERP导入清单!$X$5:$X$204,0)+4,"")))</f>
        <v/>
      </c>
      <c r="C113" s="38" t="str">
        <f>IF(COUNTIF(ERP导入清单!$X$5:$X$204,109)=0,"",INDEX(ERP导入清单!C:C,IFERROR(MATCH(109,ERP导入清单!$X$5:$X$204,0)+4,"")))</f>
        <v/>
      </c>
      <c r="D113" s="37" t="str">
        <f>IF(COUNTIF(ERP导入清单!$X$5:$X$204,109)=0,"",INDEX(ERP导入清单!D:D,IFERROR(MATCH(109,ERP导入清单!$X$5:$X$204,0)+4,"")))</f>
        <v/>
      </c>
      <c r="E113" s="37" t="str">
        <f>IF(COUNTIF(ERP导入清单!$X$5:$X$204,109)=0,"",INDEX(ERP导入清单!E:E,IFERROR(MATCH(109,ERP导入清单!$X$5:$X$204,0)+4,"")))</f>
        <v/>
      </c>
      <c r="F113" s="37" t="str">
        <f>IF(COUNTIF(ERP导入清单!$X$5:$X$204,109)=0,"",INDEX(ERP导入清单!F:F,IFERROR(MATCH(109,ERP导入清单!$X$5:$X$204,0)+4,"")))</f>
        <v/>
      </c>
      <c r="G113" s="57" t="str">
        <f>IF(COUNTIF(ERP导入清单!$X$5:$X$204,109)=0,"",INDEX(ERP导入清单!G:G,IFERROR(MATCH(109,ERP导入清单!$X$5:$X$204,0)+4,"")))</f>
        <v/>
      </c>
      <c r="H113" s="37" t="str">
        <f>IF(COUNTIF(ERP导入清单!$X$5:$X$204,109)=0,"",INDEX(ERP导入清单!H:H,IFERROR(MATCH(109,ERP导入清单!$X$5:$X$204,0)+4,"")))</f>
        <v/>
      </c>
      <c r="I113" s="57" t="str">
        <f>IF(COUNTIF(ERP导入清单!$X$5:$X$204,109)=0,"",INDEX(ERP导入清单!I:I,IFERROR(MATCH(109,ERP导入清单!$X$5:$X$204,0)+4,"")))</f>
        <v/>
      </c>
      <c r="J113" s="57" t="str">
        <f>IF(COUNTIF(ERP导入清单!$X$5:$X$204,109)=0,"",INDEX(ERP导入清单!J:J,IFERROR(MATCH(109,ERP导入清单!$X$5:$X$204,0)+4,"")))</f>
        <v/>
      </c>
      <c r="K113" s="37" t="str">
        <f>IF(COUNTIF(ERP导入清单!$X$5:$X$204,109)=0,"",INDEX(ERP导入清单!K:K,IFERROR(MATCH(109,ERP导入清单!$X$5:$X$204,0)+4,"")))</f>
        <v/>
      </c>
      <c r="L113" s="37" t="str">
        <f>IF(COUNTIF(ERP导入清单!$X$5:$X$204,109)=0,"",INDEX(ERP导入清单!L:L,IFERROR(MATCH(109,ERP导入清单!$X$5:$X$204,0)+4,"")))</f>
        <v/>
      </c>
      <c r="M113" s="37" t="str">
        <f>IF(COUNTIF(ERP导入清单!$X$5:$X$204,109)=0,"",INDEX(ERP导入清单!M:M,IFERROR(MATCH(109,ERP导入清单!$X$5:$X$204,0)+4,"")))</f>
        <v/>
      </c>
      <c r="N113" s="37" t="str">
        <f>IF(COUNTIF(ERP导入清单!$X$5:$X$204,109)=0,"",INDEX(ERP导入清单!N:N,IFERROR(MATCH(109,ERP导入清单!$X$5:$X$204,0)+4,"")))</f>
        <v/>
      </c>
      <c r="O113" s="37" t="str">
        <f>IF(COUNTIF(ERP导入清单!$X$5:$X$204,109)=0,"",INDEX(ERP导入清单!O:O,IFERROR(MATCH(109,ERP导入清单!$X$5:$X$204,0)+4,"")))</f>
        <v/>
      </c>
      <c r="P113" s="39" t="str">
        <f>IF(COUNTIF(ERP导入清单!$X$5:$X$204,109)=0,"",INDEX(ERP导入清单!P:P,IFERROR(MATCH(109,ERP导入清单!$X$5:$X$204,0)+4,"")))</f>
        <v/>
      </c>
      <c r="Q113" s="39" t="str">
        <f>IF(COUNTIF(ERP导入清单!$X$5:$X$204,109)=0,"",INDEX(ERP导入清单!Q:Q,IFERROR(MATCH(109,ERP导入清单!$X$5:$X$204,0)+4,"")))</f>
        <v/>
      </c>
      <c r="R113" s="59" t="str">
        <f>IF(COUNTIF(ERP导入清单!$X$5:$X$204,109)=0,"",INDEX(ERP导入清单!R:R,IFERROR(MATCH(109,ERP导入清单!$X$5:$X$204,0)+4,"")))</f>
        <v/>
      </c>
      <c r="S113" s="37" t="str">
        <f>IF(COUNTIF(ERP导入清单!$X$5:$X$204,109)=0,"",INDEX(ERP导入清单!S:S,IFERROR(MATCH(109,ERP导入清单!$X$5:$X$204,0)+4,"")))</f>
        <v/>
      </c>
      <c r="T113" s="37" t="str">
        <f>IF(COUNTIF(ERP导入清单!$X$5:$X$204,109)=0,"",INDEX(ERP导入清单!T:T,IFERROR(MATCH(109,ERP导入清单!$X$5:$X$204,0)+4,"")))</f>
        <v/>
      </c>
      <c r="U113" s="37" t="str">
        <f>IF(COUNTIF(ERP导入清单!$X$5:$X$204,109)=0,"",INDEX(ERP导入清单!U:U,IFERROR(MATCH(109,ERP导入清单!$X$5:$X$204,0)+4,"")))</f>
        <v/>
      </c>
      <c r="V113" s="38" t="str">
        <f>IF(COUNTIF(ERP导入清单!$X$5:$X$204,109)=0,"",INDEX(ERP导入清单!V:V,IFERROR(MATCH(109,ERP导入清单!$X$5:$X$204,0)+4,"")))</f>
        <v/>
      </c>
      <c r="W113" s="50" t="str">
        <f>IF(COUNTIF(ERP导入清单!$X$5:$X$204,109)=0,"",INDEX(ERP导入清单!W:W,IFERROR(MATCH(109,ERP导入清单!$X$5:$X$204,0)+4,"")))</f>
        <v/>
      </c>
    </row>
    <row r="114" spans="1:23" ht="24" customHeight="1">
      <c r="A114" s="55" t="str">
        <f>IF(COUNTIF(ERP导入清单!$X$5:$X$204,110)=0,"",INDEX(ERP导入清单!A:A,IFERROR(MATCH(110,ERP导入清单!$X$5:$X$204,0)+4,"")))</f>
        <v/>
      </c>
      <c r="B114" s="37" t="str">
        <f>IF(COUNTIF(ERP导入清单!$X$5:$X$204,110)=0,"",INDEX(ERP导入清单!B:B,IFERROR(MATCH(110,ERP导入清单!$X$5:$X$204,0)+4,"")))</f>
        <v/>
      </c>
      <c r="C114" s="38" t="str">
        <f>IF(COUNTIF(ERP导入清单!$X$5:$X$204,110)=0,"",INDEX(ERP导入清单!C:C,IFERROR(MATCH(110,ERP导入清单!$X$5:$X$204,0)+4,"")))</f>
        <v/>
      </c>
      <c r="D114" s="37" t="str">
        <f>IF(COUNTIF(ERP导入清单!$X$5:$X$204,110)=0,"",INDEX(ERP导入清单!D:D,IFERROR(MATCH(110,ERP导入清单!$X$5:$X$204,0)+4,"")))</f>
        <v/>
      </c>
      <c r="E114" s="37" t="str">
        <f>IF(COUNTIF(ERP导入清单!$X$5:$X$204,110)=0,"",INDEX(ERP导入清单!E:E,IFERROR(MATCH(110,ERP导入清单!$X$5:$X$204,0)+4,"")))</f>
        <v/>
      </c>
      <c r="F114" s="37" t="str">
        <f>IF(COUNTIF(ERP导入清单!$X$5:$X$204,110)=0,"",INDEX(ERP导入清单!F:F,IFERROR(MATCH(110,ERP导入清单!$X$5:$X$204,0)+4,"")))</f>
        <v/>
      </c>
      <c r="G114" s="57" t="str">
        <f>IF(COUNTIF(ERP导入清单!$X$5:$X$204,110)=0,"",INDEX(ERP导入清单!G:G,IFERROR(MATCH(110,ERP导入清单!$X$5:$X$204,0)+4,"")))</f>
        <v/>
      </c>
      <c r="H114" s="37" t="str">
        <f>IF(COUNTIF(ERP导入清单!$X$5:$X$204,110)=0,"",INDEX(ERP导入清单!H:H,IFERROR(MATCH(110,ERP导入清单!$X$5:$X$204,0)+4,"")))</f>
        <v/>
      </c>
      <c r="I114" s="57" t="str">
        <f>IF(COUNTIF(ERP导入清单!$X$5:$X$204,110)=0,"",INDEX(ERP导入清单!I:I,IFERROR(MATCH(110,ERP导入清单!$X$5:$X$204,0)+4,"")))</f>
        <v/>
      </c>
      <c r="J114" s="57" t="str">
        <f>IF(COUNTIF(ERP导入清单!$X$5:$X$204,110)=0,"",INDEX(ERP导入清单!J:J,IFERROR(MATCH(110,ERP导入清单!$X$5:$X$204,0)+4,"")))</f>
        <v/>
      </c>
      <c r="K114" s="37" t="str">
        <f>IF(COUNTIF(ERP导入清单!$X$5:$X$204,110)=0,"",INDEX(ERP导入清单!K:K,IFERROR(MATCH(110,ERP导入清单!$X$5:$X$204,0)+4,"")))</f>
        <v/>
      </c>
      <c r="L114" s="37" t="str">
        <f>IF(COUNTIF(ERP导入清单!$X$5:$X$204,110)=0,"",INDEX(ERP导入清单!L:L,IFERROR(MATCH(110,ERP导入清单!$X$5:$X$204,0)+4,"")))</f>
        <v/>
      </c>
      <c r="M114" s="37" t="str">
        <f>IF(COUNTIF(ERP导入清单!$X$5:$X$204,110)=0,"",INDEX(ERP导入清单!M:M,IFERROR(MATCH(110,ERP导入清单!$X$5:$X$204,0)+4,"")))</f>
        <v/>
      </c>
      <c r="N114" s="37" t="str">
        <f>IF(COUNTIF(ERP导入清单!$X$5:$X$204,110)=0,"",INDEX(ERP导入清单!N:N,IFERROR(MATCH(110,ERP导入清单!$X$5:$X$204,0)+4,"")))</f>
        <v/>
      </c>
      <c r="O114" s="37" t="str">
        <f>IF(COUNTIF(ERP导入清单!$X$5:$X$204,110)=0,"",INDEX(ERP导入清单!O:O,IFERROR(MATCH(110,ERP导入清单!$X$5:$X$204,0)+4,"")))</f>
        <v/>
      </c>
      <c r="P114" s="39" t="str">
        <f>IF(COUNTIF(ERP导入清单!$X$5:$X$204,110)=0,"",INDEX(ERP导入清单!P:P,IFERROR(MATCH(110,ERP导入清单!$X$5:$X$204,0)+4,"")))</f>
        <v/>
      </c>
      <c r="Q114" s="39" t="str">
        <f>IF(COUNTIF(ERP导入清单!$X$5:$X$204,110)=0,"",INDEX(ERP导入清单!Q:Q,IFERROR(MATCH(110,ERP导入清单!$X$5:$X$204,0)+4,"")))</f>
        <v/>
      </c>
      <c r="R114" s="59" t="str">
        <f>IF(COUNTIF(ERP导入清单!$X$5:$X$204,110)=0,"",INDEX(ERP导入清单!R:R,IFERROR(MATCH(110,ERP导入清单!$X$5:$X$204,0)+4,"")))</f>
        <v/>
      </c>
      <c r="S114" s="37" t="str">
        <f>IF(COUNTIF(ERP导入清单!$X$5:$X$204,110)=0,"",INDEX(ERP导入清单!S:S,IFERROR(MATCH(110,ERP导入清单!$X$5:$X$204,0)+4,"")))</f>
        <v/>
      </c>
      <c r="T114" s="37" t="str">
        <f>IF(COUNTIF(ERP导入清单!$X$5:$X$204,110)=0,"",INDEX(ERP导入清单!T:T,IFERROR(MATCH(110,ERP导入清单!$X$5:$X$204,0)+4,"")))</f>
        <v/>
      </c>
      <c r="U114" s="37" t="str">
        <f>IF(COUNTIF(ERP导入清单!$X$5:$X$204,110)=0,"",INDEX(ERP导入清单!U:U,IFERROR(MATCH(110,ERP导入清单!$X$5:$X$204,0)+4,"")))</f>
        <v/>
      </c>
      <c r="V114" s="38" t="str">
        <f>IF(COUNTIF(ERP导入清单!$X$5:$X$204,110)=0,"",INDEX(ERP导入清单!V:V,IFERROR(MATCH(110,ERP导入清单!$X$5:$X$204,0)+4,"")))</f>
        <v/>
      </c>
      <c r="W114" s="50" t="str">
        <f>IF(COUNTIF(ERP导入清单!$X$5:$X$204,110)=0,"",INDEX(ERP导入清单!W:W,IFERROR(MATCH(110,ERP导入清单!$X$5:$X$204,0)+4,"")))</f>
        <v/>
      </c>
    </row>
    <row r="115" spans="1:23" ht="24" customHeight="1">
      <c r="A115" s="55" t="str">
        <f>IF(COUNTIF(ERP导入清单!$X$5:$X$204,111)=0,"",INDEX(ERP导入清单!A:A,IFERROR(MATCH(111,ERP导入清单!$X$5:$X$204,0)+4,"")))</f>
        <v/>
      </c>
      <c r="B115" s="37" t="str">
        <f>IF(COUNTIF(ERP导入清单!$X$5:$X$204,111)=0,"",INDEX(ERP导入清单!B:B,IFERROR(MATCH(111,ERP导入清单!$X$5:$X$204,0)+4,"")))</f>
        <v/>
      </c>
      <c r="C115" s="38" t="str">
        <f>IF(COUNTIF(ERP导入清单!$X$5:$X$204,111)=0,"",INDEX(ERP导入清单!C:C,IFERROR(MATCH(111,ERP导入清单!$X$5:$X$204,0)+4,"")))</f>
        <v/>
      </c>
      <c r="D115" s="37" t="str">
        <f>IF(COUNTIF(ERP导入清单!$X$5:$X$204,111)=0,"",INDEX(ERP导入清单!D:D,IFERROR(MATCH(111,ERP导入清单!$X$5:$X$204,0)+4,"")))</f>
        <v/>
      </c>
      <c r="E115" s="37" t="str">
        <f>IF(COUNTIF(ERP导入清单!$X$5:$X$204,111)=0,"",INDEX(ERP导入清单!E:E,IFERROR(MATCH(111,ERP导入清单!$X$5:$X$204,0)+4,"")))</f>
        <v/>
      </c>
      <c r="F115" s="37" t="str">
        <f>IF(COUNTIF(ERP导入清单!$X$5:$X$204,111)=0,"",INDEX(ERP导入清单!F:F,IFERROR(MATCH(111,ERP导入清单!$X$5:$X$204,0)+4,"")))</f>
        <v/>
      </c>
      <c r="G115" s="57" t="str">
        <f>IF(COUNTIF(ERP导入清单!$X$5:$X$204,111)=0,"",INDEX(ERP导入清单!G:G,IFERROR(MATCH(111,ERP导入清单!$X$5:$X$204,0)+4,"")))</f>
        <v/>
      </c>
      <c r="H115" s="37" t="str">
        <f>IF(COUNTIF(ERP导入清单!$X$5:$X$204,111)=0,"",INDEX(ERP导入清单!H:H,IFERROR(MATCH(111,ERP导入清单!$X$5:$X$204,0)+4,"")))</f>
        <v/>
      </c>
      <c r="I115" s="57" t="str">
        <f>IF(COUNTIF(ERP导入清单!$X$5:$X$204,111)=0,"",INDEX(ERP导入清单!I:I,IFERROR(MATCH(111,ERP导入清单!$X$5:$X$204,0)+4,"")))</f>
        <v/>
      </c>
      <c r="J115" s="57" t="str">
        <f>IF(COUNTIF(ERP导入清单!$X$5:$X$204,111)=0,"",INDEX(ERP导入清单!J:J,IFERROR(MATCH(111,ERP导入清单!$X$5:$X$204,0)+4,"")))</f>
        <v/>
      </c>
      <c r="K115" s="37" t="str">
        <f>IF(COUNTIF(ERP导入清单!$X$5:$X$204,111)=0,"",INDEX(ERP导入清单!K:K,IFERROR(MATCH(111,ERP导入清单!$X$5:$X$204,0)+4,"")))</f>
        <v/>
      </c>
      <c r="L115" s="37" t="str">
        <f>IF(COUNTIF(ERP导入清单!$X$5:$X$204,111)=0,"",INDEX(ERP导入清单!L:L,IFERROR(MATCH(111,ERP导入清单!$X$5:$X$204,0)+4,"")))</f>
        <v/>
      </c>
      <c r="M115" s="37" t="str">
        <f>IF(COUNTIF(ERP导入清单!$X$5:$X$204,111)=0,"",INDEX(ERP导入清单!M:M,IFERROR(MATCH(111,ERP导入清单!$X$5:$X$204,0)+4,"")))</f>
        <v/>
      </c>
      <c r="N115" s="37" t="str">
        <f>IF(COUNTIF(ERP导入清单!$X$5:$X$204,111)=0,"",INDEX(ERP导入清单!N:N,IFERROR(MATCH(111,ERP导入清单!$X$5:$X$204,0)+4,"")))</f>
        <v/>
      </c>
      <c r="O115" s="37" t="str">
        <f>IF(COUNTIF(ERP导入清单!$X$5:$X$204,111)=0,"",INDEX(ERP导入清单!O:O,IFERROR(MATCH(111,ERP导入清单!$X$5:$X$204,0)+4,"")))</f>
        <v/>
      </c>
      <c r="P115" s="39" t="str">
        <f>IF(COUNTIF(ERP导入清单!$X$5:$X$204,111)=0,"",INDEX(ERP导入清单!P:P,IFERROR(MATCH(111,ERP导入清单!$X$5:$X$204,0)+4,"")))</f>
        <v/>
      </c>
      <c r="Q115" s="39" t="str">
        <f>IF(COUNTIF(ERP导入清单!$X$5:$X$204,111)=0,"",INDEX(ERP导入清单!Q:Q,IFERROR(MATCH(111,ERP导入清单!$X$5:$X$204,0)+4,"")))</f>
        <v/>
      </c>
      <c r="R115" s="59" t="str">
        <f>IF(COUNTIF(ERP导入清单!$X$5:$X$204,111)=0,"",INDEX(ERP导入清单!R:R,IFERROR(MATCH(111,ERP导入清单!$X$5:$X$204,0)+4,"")))</f>
        <v/>
      </c>
      <c r="S115" s="37" t="str">
        <f>IF(COUNTIF(ERP导入清单!$X$5:$X$204,111)=0,"",INDEX(ERP导入清单!S:S,IFERROR(MATCH(111,ERP导入清单!$X$5:$X$204,0)+4,"")))</f>
        <v/>
      </c>
      <c r="T115" s="37" t="str">
        <f>IF(COUNTIF(ERP导入清单!$X$5:$X$204,111)=0,"",INDEX(ERP导入清单!T:T,IFERROR(MATCH(111,ERP导入清单!$X$5:$X$204,0)+4,"")))</f>
        <v/>
      </c>
      <c r="U115" s="37" t="str">
        <f>IF(COUNTIF(ERP导入清单!$X$5:$X$204,111)=0,"",INDEX(ERP导入清单!U:U,IFERROR(MATCH(111,ERP导入清单!$X$5:$X$204,0)+4,"")))</f>
        <v/>
      </c>
      <c r="V115" s="38" t="str">
        <f>IF(COUNTIF(ERP导入清单!$X$5:$X$204,111)=0,"",INDEX(ERP导入清单!V:V,IFERROR(MATCH(111,ERP导入清单!$X$5:$X$204,0)+4,"")))</f>
        <v/>
      </c>
      <c r="W115" s="50" t="str">
        <f>IF(COUNTIF(ERP导入清单!$X$5:$X$204,111)=0,"",INDEX(ERP导入清单!W:W,IFERROR(MATCH(111,ERP导入清单!$X$5:$X$204,0)+4,"")))</f>
        <v/>
      </c>
    </row>
    <row r="116" spans="1:23" ht="24" customHeight="1">
      <c r="A116" s="55" t="str">
        <f>IF(COUNTIF(ERP导入清单!$X$5:$X$204,112)=0,"",INDEX(ERP导入清单!A:A,IFERROR(MATCH(112,ERP导入清单!$X$5:$X$204,0)+4,"")))</f>
        <v/>
      </c>
      <c r="B116" s="37" t="str">
        <f>IF(COUNTIF(ERP导入清单!$X$5:$X$204,112)=0,"",INDEX(ERP导入清单!B:B,IFERROR(MATCH(112,ERP导入清单!$X$5:$X$204,0)+4,"")))</f>
        <v/>
      </c>
      <c r="C116" s="38" t="str">
        <f>IF(COUNTIF(ERP导入清单!$X$5:$X$204,112)=0,"",INDEX(ERP导入清单!C:C,IFERROR(MATCH(112,ERP导入清单!$X$5:$X$204,0)+4,"")))</f>
        <v/>
      </c>
      <c r="D116" s="37" t="str">
        <f>IF(COUNTIF(ERP导入清单!$X$5:$X$204,112)=0,"",INDEX(ERP导入清单!D:D,IFERROR(MATCH(112,ERP导入清单!$X$5:$X$204,0)+4,"")))</f>
        <v/>
      </c>
      <c r="E116" s="37" t="str">
        <f>IF(COUNTIF(ERP导入清单!$X$5:$X$204,112)=0,"",INDEX(ERP导入清单!E:E,IFERROR(MATCH(112,ERP导入清单!$X$5:$X$204,0)+4,"")))</f>
        <v/>
      </c>
      <c r="F116" s="37" t="str">
        <f>IF(COUNTIF(ERP导入清单!$X$5:$X$204,112)=0,"",INDEX(ERP导入清单!F:F,IFERROR(MATCH(112,ERP导入清单!$X$5:$X$204,0)+4,"")))</f>
        <v/>
      </c>
      <c r="G116" s="57" t="str">
        <f>IF(COUNTIF(ERP导入清单!$X$5:$X$204,112)=0,"",INDEX(ERP导入清单!G:G,IFERROR(MATCH(112,ERP导入清单!$X$5:$X$204,0)+4,"")))</f>
        <v/>
      </c>
      <c r="H116" s="37" t="str">
        <f>IF(COUNTIF(ERP导入清单!$X$5:$X$204,112)=0,"",INDEX(ERP导入清单!H:H,IFERROR(MATCH(112,ERP导入清单!$X$5:$X$204,0)+4,"")))</f>
        <v/>
      </c>
      <c r="I116" s="57" t="str">
        <f>IF(COUNTIF(ERP导入清单!$X$5:$X$204,112)=0,"",INDEX(ERP导入清单!I:I,IFERROR(MATCH(112,ERP导入清单!$X$5:$X$204,0)+4,"")))</f>
        <v/>
      </c>
      <c r="J116" s="57" t="str">
        <f>IF(COUNTIF(ERP导入清单!$X$5:$X$204,112)=0,"",INDEX(ERP导入清单!J:J,IFERROR(MATCH(112,ERP导入清单!$X$5:$X$204,0)+4,"")))</f>
        <v/>
      </c>
      <c r="K116" s="37" t="str">
        <f>IF(COUNTIF(ERP导入清单!$X$5:$X$204,112)=0,"",INDEX(ERP导入清单!K:K,IFERROR(MATCH(112,ERP导入清单!$X$5:$X$204,0)+4,"")))</f>
        <v/>
      </c>
      <c r="L116" s="37" t="str">
        <f>IF(COUNTIF(ERP导入清单!$X$5:$X$204,112)=0,"",INDEX(ERP导入清单!L:L,IFERROR(MATCH(112,ERP导入清单!$X$5:$X$204,0)+4,"")))</f>
        <v/>
      </c>
      <c r="M116" s="37" t="str">
        <f>IF(COUNTIF(ERP导入清单!$X$5:$X$204,112)=0,"",INDEX(ERP导入清单!M:M,IFERROR(MATCH(112,ERP导入清单!$X$5:$X$204,0)+4,"")))</f>
        <v/>
      </c>
      <c r="N116" s="37" t="str">
        <f>IF(COUNTIF(ERP导入清单!$X$5:$X$204,112)=0,"",INDEX(ERP导入清单!N:N,IFERROR(MATCH(112,ERP导入清单!$X$5:$X$204,0)+4,"")))</f>
        <v/>
      </c>
      <c r="O116" s="37" t="str">
        <f>IF(COUNTIF(ERP导入清单!$X$5:$X$204,112)=0,"",INDEX(ERP导入清单!O:O,IFERROR(MATCH(112,ERP导入清单!$X$5:$X$204,0)+4,"")))</f>
        <v/>
      </c>
      <c r="P116" s="39" t="str">
        <f>IF(COUNTIF(ERP导入清单!$X$5:$X$204,112)=0,"",INDEX(ERP导入清单!P:P,IFERROR(MATCH(112,ERP导入清单!$X$5:$X$204,0)+4,"")))</f>
        <v/>
      </c>
      <c r="Q116" s="39" t="str">
        <f>IF(COUNTIF(ERP导入清单!$X$5:$X$204,112)=0,"",INDEX(ERP导入清单!Q:Q,IFERROR(MATCH(112,ERP导入清单!$X$5:$X$204,0)+4,"")))</f>
        <v/>
      </c>
      <c r="R116" s="59" t="str">
        <f>IF(COUNTIF(ERP导入清单!$X$5:$X$204,112)=0,"",INDEX(ERP导入清单!R:R,IFERROR(MATCH(112,ERP导入清单!$X$5:$X$204,0)+4,"")))</f>
        <v/>
      </c>
      <c r="S116" s="37" t="str">
        <f>IF(COUNTIF(ERP导入清单!$X$5:$X$204,112)=0,"",INDEX(ERP导入清单!S:S,IFERROR(MATCH(112,ERP导入清单!$X$5:$X$204,0)+4,"")))</f>
        <v/>
      </c>
      <c r="T116" s="37" t="str">
        <f>IF(COUNTIF(ERP导入清单!$X$5:$X$204,112)=0,"",INDEX(ERP导入清单!T:T,IFERROR(MATCH(112,ERP导入清单!$X$5:$X$204,0)+4,"")))</f>
        <v/>
      </c>
      <c r="U116" s="37" t="str">
        <f>IF(COUNTIF(ERP导入清单!$X$5:$X$204,112)=0,"",INDEX(ERP导入清单!U:U,IFERROR(MATCH(112,ERP导入清单!$X$5:$X$204,0)+4,"")))</f>
        <v/>
      </c>
      <c r="V116" s="38" t="str">
        <f>IF(COUNTIF(ERP导入清单!$X$5:$X$204,112)=0,"",INDEX(ERP导入清单!V:V,IFERROR(MATCH(112,ERP导入清单!$X$5:$X$204,0)+4,"")))</f>
        <v/>
      </c>
      <c r="W116" s="50" t="str">
        <f>IF(COUNTIF(ERP导入清单!$X$5:$X$204,112)=0,"",INDEX(ERP导入清单!W:W,IFERROR(MATCH(112,ERP导入清单!$X$5:$X$204,0)+4,"")))</f>
        <v/>
      </c>
    </row>
    <row r="117" spans="1:23" ht="24" customHeight="1">
      <c r="A117" s="55" t="str">
        <f>IF(COUNTIF(ERP导入清单!$X$5:$X$204,113)=0,"",INDEX(ERP导入清单!A:A,IFERROR(MATCH(113,ERP导入清单!$X$5:$X$204,0)+4,"")))</f>
        <v/>
      </c>
      <c r="B117" s="37" t="str">
        <f>IF(COUNTIF(ERP导入清单!$X$5:$X$204,113)=0,"",INDEX(ERP导入清单!B:B,IFERROR(MATCH(113,ERP导入清单!$X$5:$X$204,0)+4,"")))</f>
        <v/>
      </c>
      <c r="C117" s="38" t="str">
        <f>IF(COUNTIF(ERP导入清单!$X$5:$X$204,113)=0,"",INDEX(ERP导入清单!C:C,IFERROR(MATCH(113,ERP导入清单!$X$5:$X$204,0)+4,"")))</f>
        <v/>
      </c>
      <c r="D117" s="37" t="str">
        <f>IF(COUNTIF(ERP导入清单!$X$5:$X$204,113)=0,"",INDEX(ERP导入清单!D:D,IFERROR(MATCH(113,ERP导入清单!$X$5:$X$204,0)+4,"")))</f>
        <v/>
      </c>
      <c r="E117" s="37" t="str">
        <f>IF(COUNTIF(ERP导入清单!$X$5:$X$204,113)=0,"",INDEX(ERP导入清单!E:E,IFERROR(MATCH(113,ERP导入清单!$X$5:$X$204,0)+4,"")))</f>
        <v/>
      </c>
      <c r="F117" s="37" t="str">
        <f>IF(COUNTIF(ERP导入清单!$X$5:$X$204,113)=0,"",INDEX(ERP导入清单!F:F,IFERROR(MATCH(113,ERP导入清单!$X$5:$X$204,0)+4,"")))</f>
        <v/>
      </c>
      <c r="G117" s="57" t="str">
        <f>IF(COUNTIF(ERP导入清单!$X$5:$X$204,113)=0,"",INDEX(ERP导入清单!G:G,IFERROR(MATCH(113,ERP导入清单!$X$5:$X$204,0)+4,"")))</f>
        <v/>
      </c>
      <c r="H117" s="37" t="str">
        <f>IF(COUNTIF(ERP导入清单!$X$5:$X$204,113)=0,"",INDEX(ERP导入清单!H:H,IFERROR(MATCH(113,ERP导入清单!$X$5:$X$204,0)+4,"")))</f>
        <v/>
      </c>
      <c r="I117" s="57" t="str">
        <f>IF(COUNTIF(ERP导入清单!$X$5:$X$204,113)=0,"",INDEX(ERP导入清单!I:I,IFERROR(MATCH(113,ERP导入清单!$X$5:$X$204,0)+4,"")))</f>
        <v/>
      </c>
      <c r="J117" s="57" t="str">
        <f>IF(COUNTIF(ERP导入清单!$X$5:$X$204,113)=0,"",INDEX(ERP导入清单!J:J,IFERROR(MATCH(113,ERP导入清单!$X$5:$X$204,0)+4,"")))</f>
        <v/>
      </c>
      <c r="K117" s="37" t="str">
        <f>IF(COUNTIF(ERP导入清单!$X$5:$X$204,113)=0,"",INDEX(ERP导入清单!K:K,IFERROR(MATCH(113,ERP导入清单!$X$5:$X$204,0)+4,"")))</f>
        <v/>
      </c>
      <c r="L117" s="37" t="str">
        <f>IF(COUNTIF(ERP导入清单!$X$5:$X$204,113)=0,"",INDEX(ERP导入清单!L:L,IFERROR(MATCH(113,ERP导入清单!$X$5:$X$204,0)+4,"")))</f>
        <v/>
      </c>
      <c r="M117" s="37" t="str">
        <f>IF(COUNTIF(ERP导入清单!$X$5:$X$204,113)=0,"",INDEX(ERP导入清单!M:M,IFERROR(MATCH(113,ERP导入清单!$X$5:$X$204,0)+4,"")))</f>
        <v/>
      </c>
      <c r="N117" s="37" t="str">
        <f>IF(COUNTIF(ERP导入清单!$X$5:$X$204,113)=0,"",INDEX(ERP导入清单!N:N,IFERROR(MATCH(113,ERP导入清单!$X$5:$X$204,0)+4,"")))</f>
        <v/>
      </c>
      <c r="O117" s="37" t="str">
        <f>IF(COUNTIF(ERP导入清单!$X$5:$X$204,113)=0,"",INDEX(ERP导入清单!O:O,IFERROR(MATCH(113,ERP导入清单!$X$5:$X$204,0)+4,"")))</f>
        <v/>
      </c>
      <c r="P117" s="39" t="str">
        <f>IF(COUNTIF(ERP导入清单!$X$5:$X$204,113)=0,"",INDEX(ERP导入清单!P:P,IFERROR(MATCH(113,ERP导入清单!$X$5:$X$204,0)+4,"")))</f>
        <v/>
      </c>
      <c r="Q117" s="39" t="str">
        <f>IF(COUNTIF(ERP导入清单!$X$5:$X$204,113)=0,"",INDEX(ERP导入清单!Q:Q,IFERROR(MATCH(113,ERP导入清单!$X$5:$X$204,0)+4,"")))</f>
        <v/>
      </c>
      <c r="R117" s="59" t="str">
        <f>IF(COUNTIF(ERP导入清单!$X$5:$X$204,113)=0,"",INDEX(ERP导入清单!R:R,IFERROR(MATCH(113,ERP导入清单!$X$5:$X$204,0)+4,"")))</f>
        <v/>
      </c>
      <c r="S117" s="37" t="str">
        <f>IF(COUNTIF(ERP导入清单!$X$5:$X$204,113)=0,"",INDEX(ERP导入清单!S:S,IFERROR(MATCH(113,ERP导入清单!$X$5:$X$204,0)+4,"")))</f>
        <v/>
      </c>
      <c r="T117" s="37" t="str">
        <f>IF(COUNTIF(ERP导入清单!$X$5:$X$204,113)=0,"",INDEX(ERP导入清单!T:T,IFERROR(MATCH(113,ERP导入清单!$X$5:$X$204,0)+4,"")))</f>
        <v/>
      </c>
      <c r="U117" s="37" t="str">
        <f>IF(COUNTIF(ERP导入清单!$X$5:$X$204,113)=0,"",INDEX(ERP导入清单!U:U,IFERROR(MATCH(113,ERP导入清单!$X$5:$X$204,0)+4,"")))</f>
        <v/>
      </c>
      <c r="V117" s="38" t="str">
        <f>IF(COUNTIF(ERP导入清单!$X$5:$X$204,113)=0,"",INDEX(ERP导入清单!V:V,IFERROR(MATCH(113,ERP导入清单!$X$5:$X$204,0)+4,"")))</f>
        <v/>
      </c>
      <c r="W117" s="50" t="str">
        <f>IF(COUNTIF(ERP导入清单!$X$5:$X$204,113)=0,"",INDEX(ERP导入清单!W:W,IFERROR(MATCH(113,ERP导入清单!$X$5:$X$204,0)+4,"")))</f>
        <v/>
      </c>
    </row>
    <row r="118" spans="1:23" ht="24" customHeight="1">
      <c r="A118" s="55" t="str">
        <f>IF(COUNTIF(ERP导入清单!$X$5:$X$204,114)=0,"",INDEX(ERP导入清单!A:A,IFERROR(MATCH(114,ERP导入清单!$X$5:$X$204,0)+4,"")))</f>
        <v/>
      </c>
      <c r="B118" s="37" t="str">
        <f>IF(COUNTIF(ERP导入清单!$X$5:$X$204,114)=0,"",INDEX(ERP导入清单!B:B,IFERROR(MATCH(114,ERP导入清单!$X$5:$X$204,0)+4,"")))</f>
        <v/>
      </c>
      <c r="C118" s="38" t="str">
        <f>IF(COUNTIF(ERP导入清单!$X$5:$X$204,114)=0,"",INDEX(ERP导入清单!C:C,IFERROR(MATCH(114,ERP导入清单!$X$5:$X$204,0)+4,"")))</f>
        <v/>
      </c>
      <c r="D118" s="37" t="str">
        <f>IF(COUNTIF(ERP导入清单!$X$5:$X$204,114)=0,"",INDEX(ERP导入清单!D:D,IFERROR(MATCH(114,ERP导入清单!$X$5:$X$204,0)+4,"")))</f>
        <v/>
      </c>
      <c r="E118" s="37" t="str">
        <f>IF(COUNTIF(ERP导入清单!$X$5:$X$204,114)=0,"",INDEX(ERP导入清单!E:E,IFERROR(MATCH(114,ERP导入清单!$X$5:$X$204,0)+4,"")))</f>
        <v/>
      </c>
      <c r="F118" s="37" t="str">
        <f>IF(COUNTIF(ERP导入清单!$X$5:$X$204,114)=0,"",INDEX(ERP导入清单!F:F,IFERROR(MATCH(114,ERP导入清单!$X$5:$X$204,0)+4,"")))</f>
        <v/>
      </c>
      <c r="G118" s="57" t="str">
        <f>IF(COUNTIF(ERP导入清单!$X$5:$X$204,114)=0,"",INDEX(ERP导入清单!G:G,IFERROR(MATCH(114,ERP导入清单!$X$5:$X$204,0)+4,"")))</f>
        <v/>
      </c>
      <c r="H118" s="37" t="str">
        <f>IF(COUNTIF(ERP导入清单!$X$5:$X$204,114)=0,"",INDEX(ERP导入清单!H:H,IFERROR(MATCH(114,ERP导入清单!$X$5:$X$204,0)+4,"")))</f>
        <v/>
      </c>
      <c r="I118" s="57" t="str">
        <f>IF(COUNTIF(ERP导入清单!$X$5:$X$204,114)=0,"",INDEX(ERP导入清单!I:I,IFERROR(MATCH(114,ERP导入清单!$X$5:$X$204,0)+4,"")))</f>
        <v/>
      </c>
      <c r="J118" s="57" t="str">
        <f>IF(COUNTIF(ERP导入清单!$X$5:$X$204,114)=0,"",INDEX(ERP导入清单!J:J,IFERROR(MATCH(114,ERP导入清单!$X$5:$X$204,0)+4,"")))</f>
        <v/>
      </c>
      <c r="K118" s="37" t="str">
        <f>IF(COUNTIF(ERP导入清单!$X$5:$X$204,114)=0,"",INDEX(ERP导入清单!K:K,IFERROR(MATCH(114,ERP导入清单!$X$5:$X$204,0)+4,"")))</f>
        <v/>
      </c>
      <c r="L118" s="37" t="str">
        <f>IF(COUNTIF(ERP导入清单!$X$5:$X$204,114)=0,"",INDEX(ERP导入清单!L:L,IFERROR(MATCH(114,ERP导入清单!$X$5:$X$204,0)+4,"")))</f>
        <v/>
      </c>
      <c r="M118" s="37" t="str">
        <f>IF(COUNTIF(ERP导入清单!$X$5:$X$204,114)=0,"",INDEX(ERP导入清单!M:M,IFERROR(MATCH(114,ERP导入清单!$X$5:$X$204,0)+4,"")))</f>
        <v/>
      </c>
      <c r="N118" s="37" t="str">
        <f>IF(COUNTIF(ERP导入清单!$X$5:$X$204,114)=0,"",INDEX(ERP导入清单!N:N,IFERROR(MATCH(114,ERP导入清单!$X$5:$X$204,0)+4,"")))</f>
        <v/>
      </c>
      <c r="O118" s="37" t="str">
        <f>IF(COUNTIF(ERP导入清单!$X$5:$X$204,114)=0,"",INDEX(ERP导入清单!O:O,IFERROR(MATCH(114,ERP导入清单!$X$5:$X$204,0)+4,"")))</f>
        <v/>
      </c>
      <c r="P118" s="39" t="str">
        <f>IF(COUNTIF(ERP导入清单!$X$5:$X$204,114)=0,"",INDEX(ERP导入清单!P:P,IFERROR(MATCH(114,ERP导入清单!$X$5:$X$204,0)+4,"")))</f>
        <v/>
      </c>
      <c r="Q118" s="39" t="str">
        <f>IF(COUNTIF(ERP导入清单!$X$5:$X$204,114)=0,"",INDEX(ERP导入清单!Q:Q,IFERROR(MATCH(114,ERP导入清单!$X$5:$X$204,0)+4,"")))</f>
        <v/>
      </c>
      <c r="R118" s="59" t="str">
        <f>IF(COUNTIF(ERP导入清单!$X$5:$X$204,114)=0,"",INDEX(ERP导入清单!R:R,IFERROR(MATCH(114,ERP导入清单!$X$5:$X$204,0)+4,"")))</f>
        <v/>
      </c>
      <c r="S118" s="37" t="str">
        <f>IF(COUNTIF(ERP导入清单!$X$5:$X$204,114)=0,"",INDEX(ERP导入清单!S:S,IFERROR(MATCH(114,ERP导入清单!$X$5:$X$204,0)+4,"")))</f>
        <v/>
      </c>
      <c r="T118" s="37" t="str">
        <f>IF(COUNTIF(ERP导入清单!$X$5:$X$204,114)=0,"",INDEX(ERP导入清单!T:T,IFERROR(MATCH(114,ERP导入清单!$X$5:$X$204,0)+4,"")))</f>
        <v/>
      </c>
      <c r="U118" s="37" t="str">
        <f>IF(COUNTIF(ERP导入清单!$X$5:$X$204,114)=0,"",INDEX(ERP导入清单!U:U,IFERROR(MATCH(114,ERP导入清单!$X$5:$X$204,0)+4,"")))</f>
        <v/>
      </c>
      <c r="V118" s="38" t="str">
        <f>IF(COUNTIF(ERP导入清单!$X$5:$X$204,114)=0,"",INDEX(ERP导入清单!V:V,IFERROR(MATCH(114,ERP导入清单!$X$5:$X$204,0)+4,"")))</f>
        <v/>
      </c>
      <c r="W118" s="50" t="str">
        <f>IF(COUNTIF(ERP导入清单!$X$5:$X$204,114)=0,"",INDEX(ERP导入清单!W:W,IFERROR(MATCH(114,ERP导入清单!$X$5:$X$204,0)+4,"")))</f>
        <v/>
      </c>
    </row>
    <row r="119" spans="1:23" ht="24" customHeight="1">
      <c r="A119" s="55" t="str">
        <f>IF(COUNTIF(ERP导入清单!$X$5:$X$204,115)=0,"",INDEX(ERP导入清单!A:A,IFERROR(MATCH(115,ERP导入清单!$X$5:$X$204,0)+4,"")))</f>
        <v/>
      </c>
      <c r="B119" s="37" t="str">
        <f>IF(COUNTIF(ERP导入清单!$X$5:$X$204,115)=0,"",INDEX(ERP导入清单!B:B,IFERROR(MATCH(115,ERP导入清单!$X$5:$X$204,0)+4,"")))</f>
        <v/>
      </c>
      <c r="C119" s="38" t="str">
        <f>IF(COUNTIF(ERP导入清单!$X$5:$X$204,115)=0,"",INDEX(ERP导入清单!C:C,IFERROR(MATCH(115,ERP导入清单!$X$5:$X$204,0)+4,"")))</f>
        <v/>
      </c>
      <c r="D119" s="37" t="str">
        <f>IF(COUNTIF(ERP导入清单!$X$5:$X$204,115)=0,"",INDEX(ERP导入清单!D:D,IFERROR(MATCH(115,ERP导入清单!$X$5:$X$204,0)+4,"")))</f>
        <v/>
      </c>
      <c r="E119" s="37" t="str">
        <f>IF(COUNTIF(ERP导入清单!$X$5:$X$204,115)=0,"",INDEX(ERP导入清单!E:E,IFERROR(MATCH(115,ERP导入清单!$X$5:$X$204,0)+4,"")))</f>
        <v/>
      </c>
      <c r="F119" s="37" t="str">
        <f>IF(COUNTIF(ERP导入清单!$X$5:$X$204,115)=0,"",INDEX(ERP导入清单!F:F,IFERROR(MATCH(115,ERP导入清单!$X$5:$X$204,0)+4,"")))</f>
        <v/>
      </c>
      <c r="G119" s="57" t="str">
        <f>IF(COUNTIF(ERP导入清单!$X$5:$X$204,115)=0,"",INDEX(ERP导入清单!G:G,IFERROR(MATCH(115,ERP导入清单!$X$5:$X$204,0)+4,"")))</f>
        <v/>
      </c>
      <c r="H119" s="37" t="str">
        <f>IF(COUNTIF(ERP导入清单!$X$5:$X$204,115)=0,"",INDEX(ERP导入清单!H:H,IFERROR(MATCH(115,ERP导入清单!$X$5:$X$204,0)+4,"")))</f>
        <v/>
      </c>
      <c r="I119" s="57" t="str">
        <f>IF(COUNTIF(ERP导入清单!$X$5:$X$204,115)=0,"",INDEX(ERP导入清单!I:I,IFERROR(MATCH(115,ERP导入清单!$X$5:$X$204,0)+4,"")))</f>
        <v/>
      </c>
      <c r="J119" s="57" t="str">
        <f>IF(COUNTIF(ERP导入清单!$X$5:$X$204,115)=0,"",INDEX(ERP导入清单!J:J,IFERROR(MATCH(115,ERP导入清单!$X$5:$X$204,0)+4,"")))</f>
        <v/>
      </c>
      <c r="K119" s="37" t="str">
        <f>IF(COUNTIF(ERP导入清单!$X$5:$X$204,115)=0,"",INDEX(ERP导入清单!K:K,IFERROR(MATCH(115,ERP导入清单!$X$5:$X$204,0)+4,"")))</f>
        <v/>
      </c>
      <c r="L119" s="37" t="str">
        <f>IF(COUNTIF(ERP导入清单!$X$5:$X$204,115)=0,"",INDEX(ERP导入清单!L:L,IFERROR(MATCH(115,ERP导入清单!$X$5:$X$204,0)+4,"")))</f>
        <v/>
      </c>
      <c r="M119" s="37" t="str">
        <f>IF(COUNTIF(ERP导入清单!$X$5:$X$204,115)=0,"",INDEX(ERP导入清单!M:M,IFERROR(MATCH(115,ERP导入清单!$X$5:$X$204,0)+4,"")))</f>
        <v/>
      </c>
      <c r="N119" s="37" t="str">
        <f>IF(COUNTIF(ERP导入清单!$X$5:$X$204,115)=0,"",INDEX(ERP导入清单!N:N,IFERROR(MATCH(115,ERP导入清单!$X$5:$X$204,0)+4,"")))</f>
        <v/>
      </c>
      <c r="O119" s="37" t="str">
        <f>IF(COUNTIF(ERP导入清单!$X$5:$X$204,115)=0,"",INDEX(ERP导入清单!O:O,IFERROR(MATCH(115,ERP导入清单!$X$5:$X$204,0)+4,"")))</f>
        <v/>
      </c>
      <c r="P119" s="39" t="str">
        <f>IF(COUNTIF(ERP导入清单!$X$5:$X$204,115)=0,"",INDEX(ERP导入清单!P:P,IFERROR(MATCH(115,ERP导入清单!$X$5:$X$204,0)+4,"")))</f>
        <v/>
      </c>
      <c r="Q119" s="39" t="str">
        <f>IF(COUNTIF(ERP导入清单!$X$5:$X$204,115)=0,"",INDEX(ERP导入清单!Q:Q,IFERROR(MATCH(115,ERP导入清单!$X$5:$X$204,0)+4,"")))</f>
        <v/>
      </c>
      <c r="R119" s="59" t="str">
        <f>IF(COUNTIF(ERP导入清单!$X$5:$X$204,115)=0,"",INDEX(ERP导入清单!R:R,IFERROR(MATCH(115,ERP导入清单!$X$5:$X$204,0)+4,"")))</f>
        <v/>
      </c>
      <c r="S119" s="37" t="str">
        <f>IF(COUNTIF(ERP导入清单!$X$5:$X$204,115)=0,"",INDEX(ERP导入清单!S:S,IFERROR(MATCH(115,ERP导入清单!$X$5:$X$204,0)+4,"")))</f>
        <v/>
      </c>
      <c r="T119" s="37" t="str">
        <f>IF(COUNTIF(ERP导入清单!$X$5:$X$204,115)=0,"",INDEX(ERP导入清单!T:T,IFERROR(MATCH(115,ERP导入清单!$X$5:$X$204,0)+4,"")))</f>
        <v/>
      </c>
      <c r="U119" s="37" t="str">
        <f>IF(COUNTIF(ERP导入清单!$X$5:$X$204,115)=0,"",INDEX(ERP导入清单!U:U,IFERROR(MATCH(115,ERP导入清单!$X$5:$X$204,0)+4,"")))</f>
        <v/>
      </c>
      <c r="V119" s="38" t="str">
        <f>IF(COUNTIF(ERP导入清单!$X$5:$X$204,115)=0,"",INDEX(ERP导入清单!V:V,IFERROR(MATCH(115,ERP导入清单!$X$5:$X$204,0)+4,"")))</f>
        <v/>
      </c>
      <c r="W119" s="50" t="str">
        <f>IF(COUNTIF(ERP导入清单!$X$5:$X$204,115)=0,"",INDEX(ERP导入清单!W:W,IFERROR(MATCH(115,ERP导入清单!$X$5:$X$204,0)+4,"")))</f>
        <v/>
      </c>
    </row>
    <row r="120" spans="1:23" ht="24" customHeight="1">
      <c r="A120" s="55" t="str">
        <f>IF(COUNTIF(ERP导入清单!$X$5:$X$204,116)=0,"",INDEX(ERP导入清单!A:A,IFERROR(MATCH(116,ERP导入清单!$X$5:$X$204,0)+4,"")))</f>
        <v/>
      </c>
      <c r="B120" s="37" t="str">
        <f>IF(COUNTIF(ERP导入清单!$X$5:$X$204,116)=0,"",INDEX(ERP导入清单!B:B,IFERROR(MATCH(116,ERP导入清单!$X$5:$X$204,0)+4,"")))</f>
        <v/>
      </c>
      <c r="C120" s="38" t="str">
        <f>IF(COUNTIF(ERP导入清单!$X$5:$X$204,116)=0,"",INDEX(ERP导入清单!C:C,IFERROR(MATCH(116,ERP导入清单!$X$5:$X$204,0)+4,"")))</f>
        <v/>
      </c>
      <c r="D120" s="37" t="str">
        <f>IF(COUNTIF(ERP导入清单!$X$5:$X$204,116)=0,"",INDEX(ERP导入清单!D:D,IFERROR(MATCH(116,ERP导入清单!$X$5:$X$204,0)+4,"")))</f>
        <v/>
      </c>
      <c r="E120" s="37" t="str">
        <f>IF(COUNTIF(ERP导入清单!$X$5:$X$204,116)=0,"",INDEX(ERP导入清单!E:E,IFERROR(MATCH(116,ERP导入清单!$X$5:$X$204,0)+4,"")))</f>
        <v/>
      </c>
      <c r="F120" s="37" t="str">
        <f>IF(COUNTIF(ERP导入清单!$X$5:$X$204,116)=0,"",INDEX(ERP导入清单!F:F,IFERROR(MATCH(116,ERP导入清单!$X$5:$X$204,0)+4,"")))</f>
        <v/>
      </c>
      <c r="G120" s="57" t="str">
        <f>IF(COUNTIF(ERP导入清单!$X$5:$X$204,116)=0,"",INDEX(ERP导入清单!G:G,IFERROR(MATCH(116,ERP导入清单!$X$5:$X$204,0)+4,"")))</f>
        <v/>
      </c>
      <c r="H120" s="37" t="str">
        <f>IF(COUNTIF(ERP导入清单!$X$5:$X$204,116)=0,"",INDEX(ERP导入清单!H:H,IFERROR(MATCH(116,ERP导入清单!$X$5:$X$204,0)+4,"")))</f>
        <v/>
      </c>
      <c r="I120" s="57" t="str">
        <f>IF(COUNTIF(ERP导入清单!$X$5:$X$204,116)=0,"",INDEX(ERP导入清单!I:I,IFERROR(MATCH(116,ERP导入清单!$X$5:$X$204,0)+4,"")))</f>
        <v/>
      </c>
      <c r="J120" s="57" t="str">
        <f>IF(COUNTIF(ERP导入清单!$X$5:$X$204,116)=0,"",INDEX(ERP导入清单!J:J,IFERROR(MATCH(116,ERP导入清单!$X$5:$X$204,0)+4,"")))</f>
        <v/>
      </c>
      <c r="K120" s="37" t="str">
        <f>IF(COUNTIF(ERP导入清单!$X$5:$X$204,116)=0,"",INDEX(ERP导入清单!K:K,IFERROR(MATCH(116,ERP导入清单!$X$5:$X$204,0)+4,"")))</f>
        <v/>
      </c>
      <c r="L120" s="37" t="str">
        <f>IF(COUNTIF(ERP导入清单!$X$5:$X$204,116)=0,"",INDEX(ERP导入清单!L:L,IFERROR(MATCH(116,ERP导入清单!$X$5:$X$204,0)+4,"")))</f>
        <v/>
      </c>
      <c r="M120" s="37" t="str">
        <f>IF(COUNTIF(ERP导入清单!$X$5:$X$204,116)=0,"",INDEX(ERP导入清单!M:M,IFERROR(MATCH(116,ERP导入清单!$X$5:$X$204,0)+4,"")))</f>
        <v/>
      </c>
      <c r="N120" s="37" t="str">
        <f>IF(COUNTIF(ERP导入清单!$X$5:$X$204,116)=0,"",INDEX(ERP导入清单!N:N,IFERROR(MATCH(116,ERP导入清单!$X$5:$X$204,0)+4,"")))</f>
        <v/>
      </c>
      <c r="O120" s="37" t="str">
        <f>IF(COUNTIF(ERP导入清单!$X$5:$X$204,116)=0,"",INDEX(ERP导入清单!O:O,IFERROR(MATCH(116,ERP导入清单!$X$5:$X$204,0)+4,"")))</f>
        <v/>
      </c>
      <c r="P120" s="39" t="str">
        <f>IF(COUNTIF(ERP导入清单!$X$5:$X$204,116)=0,"",INDEX(ERP导入清单!P:P,IFERROR(MATCH(116,ERP导入清单!$X$5:$X$204,0)+4,"")))</f>
        <v/>
      </c>
      <c r="Q120" s="39" t="str">
        <f>IF(COUNTIF(ERP导入清单!$X$5:$X$204,116)=0,"",INDEX(ERP导入清单!Q:Q,IFERROR(MATCH(116,ERP导入清单!$X$5:$X$204,0)+4,"")))</f>
        <v/>
      </c>
      <c r="R120" s="59" t="str">
        <f>IF(COUNTIF(ERP导入清单!$X$5:$X$204,116)=0,"",INDEX(ERP导入清单!R:R,IFERROR(MATCH(116,ERP导入清单!$X$5:$X$204,0)+4,"")))</f>
        <v/>
      </c>
      <c r="S120" s="37" t="str">
        <f>IF(COUNTIF(ERP导入清单!$X$5:$X$204,116)=0,"",INDEX(ERP导入清单!S:S,IFERROR(MATCH(116,ERP导入清单!$X$5:$X$204,0)+4,"")))</f>
        <v/>
      </c>
      <c r="T120" s="37" t="str">
        <f>IF(COUNTIF(ERP导入清单!$X$5:$X$204,116)=0,"",INDEX(ERP导入清单!T:T,IFERROR(MATCH(116,ERP导入清单!$X$5:$X$204,0)+4,"")))</f>
        <v/>
      </c>
      <c r="U120" s="37" t="str">
        <f>IF(COUNTIF(ERP导入清单!$X$5:$X$204,116)=0,"",INDEX(ERP导入清单!U:U,IFERROR(MATCH(116,ERP导入清单!$X$5:$X$204,0)+4,"")))</f>
        <v/>
      </c>
      <c r="V120" s="38" t="str">
        <f>IF(COUNTIF(ERP导入清单!$X$5:$X$204,116)=0,"",INDEX(ERP导入清单!V:V,IFERROR(MATCH(116,ERP导入清单!$X$5:$X$204,0)+4,"")))</f>
        <v/>
      </c>
      <c r="W120" s="50" t="str">
        <f>IF(COUNTIF(ERP导入清单!$X$5:$X$204,116)=0,"",INDEX(ERP导入清单!W:W,IFERROR(MATCH(116,ERP导入清单!$X$5:$X$204,0)+4,"")))</f>
        <v/>
      </c>
    </row>
    <row r="121" spans="1:23" ht="24" customHeight="1">
      <c r="A121" s="55" t="str">
        <f>IF(COUNTIF(ERP导入清单!$X$5:$X$204,117)=0,"",INDEX(ERP导入清单!A:A,IFERROR(MATCH(117,ERP导入清单!$X$5:$X$204,0)+4,"")))</f>
        <v/>
      </c>
      <c r="B121" s="37" t="str">
        <f>IF(COUNTIF(ERP导入清单!$X$5:$X$204,117)=0,"",INDEX(ERP导入清单!B:B,IFERROR(MATCH(117,ERP导入清单!$X$5:$X$204,0)+4,"")))</f>
        <v/>
      </c>
      <c r="C121" s="38" t="str">
        <f>IF(COUNTIF(ERP导入清单!$X$5:$X$204,117)=0,"",INDEX(ERP导入清单!C:C,IFERROR(MATCH(117,ERP导入清单!$X$5:$X$204,0)+4,"")))</f>
        <v/>
      </c>
      <c r="D121" s="37" t="str">
        <f>IF(COUNTIF(ERP导入清单!$X$5:$X$204,117)=0,"",INDEX(ERP导入清单!D:D,IFERROR(MATCH(117,ERP导入清单!$X$5:$X$204,0)+4,"")))</f>
        <v/>
      </c>
      <c r="E121" s="37" t="str">
        <f>IF(COUNTIF(ERP导入清单!$X$5:$X$204,117)=0,"",INDEX(ERP导入清单!E:E,IFERROR(MATCH(117,ERP导入清单!$X$5:$X$204,0)+4,"")))</f>
        <v/>
      </c>
      <c r="F121" s="37" t="str">
        <f>IF(COUNTIF(ERP导入清单!$X$5:$X$204,117)=0,"",INDEX(ERP导入清单!F:F,IFERROR(MATCH(117,ERP导入清单!$X$5:$X$204,0)+4,"")))</f>
        <v/>
      </c>
      <c r="G121" s="57" t="str">
        <f>IF(COUNTIF(ERP导入清单!$X$5:$X$204,117)=0,"",INDEX(ERP导入清单!G:G,IFERROR(MATCH(117,ERP导入清单!$X$5:$X$204,0)+4,"")))</f>
        <v/>
      </c>
      <c r="H121" s="37" t="str">
        <f>IF(COUNTIF(ERP导入清单!$X$5:$X$204,117)=0,"",INDEX(ERP导入清单!H:H,IFERROR(MATCH(117,ERP导入清单!$X$5:$X$204,0)+4,"")))</f>
        <v/>
      </c>
      <c r="I121" s="57" t="str">
        <f>IF(COUNTIF(ERP导入清单!$X$5:$X$204,117)=0,"",INDEX(ERP导入清单!I:I,IFERROR(MATCH(117,ERP导入清单!$X$5:$X$204,0)+4,"")))</f>
        <v/>
      </c>
      <c r="J121" s="57" t="str">
        <f>IF(COUNTIF(ERP导入清单!$X$5:$X$204,117)=0,"",INDEX(ERP导入清单!J:J,IFERROR(MATCH(117,ERP导入清单!$X$5:$X$204,0)+4,"")))</f>
        <v/>
      </c>
      <c r="K121" s="37" t="str">
        <f>IF(COUNTIF(ERP导入清单!$X$5:$X$204,117)=0,"",INDEX(ERP导入清单!K:K,IFERROR(MATCH(117,ERP导入清单!$X$5:$X$204,0)+4,"")))</f>
        <v/>
      </c>
      <c r="L121" s="37" t="str">
        <f>IF(COUNTIF(ERP导入清单!$X$5:$X$204,117)=0,"",INDEX(ERP导入清单!L:L,IFERROR(MATCH(117,ERP导入清单!$X$5:$X$204,0)+4,"")))</f>
        <v/>
      </c>
      <c r="M121" s="37" t="str">
        <f>IF(COUNTIF(ERP导入清单!$X$5:$X$204,117)=0,"",INDEX(ERP导入清单!M:M,IFERROR(MATCH(117,ERP导入清单!$X$5:$X$204,0)+4,"")))</f>
        <v/>
      </c>
      <c r="N121" s="37" t="str">
        <f>IF(COUNTIF(ERP导入清单!$X$5:$X$204,117)=0,"",INDEX(ERP导入清单!N:N,IFERROR(MATCH(117,ERP导入清单!$X$5:$X$204,0)+4,"")))</f>
        <v/>
      </c>
      <c r="O121" s="37" t="str">
        <f>IF(COUNTIF(ERP导入清单!$X$5:$X$204,117)=0,"",INDEX(ERP导入清单!O:O,IFERROR(MATCH(117,ERP导入清单!$X$5:$X$204,0)+4,"")))</f>
        <v/>
      </c>
      <c r="P121" s="39" t="str">
        <f>IF(COUNTIF(ERP导入清单!$X$5:$X$204,117)=0,"",INDEX(ERP导入清单!P:P,IFERROR(MATCH(117,ERP导入清单!$X$5:$X$204,0)+4,"")))</f>
        <v/>
      </c>
      <c r="Q121" s="39" t="str">
        <f>IF(COUNTIF(ERP导入清单!$X$5:$X$204,117)=0,"",INDEX(ERP导入清单!Q:Q,IFERROR(MATCH(117,ERP导入清单!$X$5:$X$204,0)+4,"")))</f>
        <v/>
      </c>
      <c r="R121" s="59" t="str">
        <f>IF(COUNTIF(ERP导入清单!$X$5:$X$204,117)=0,"",INDEX(ERP导入清单!R:R,IFERROR(MATCH(117,ERP导入清单!$X$5:$X$204,0)+4,"")))</f>
        <v/>
      </c>
      <c r="S121" s="37" t="str">
        <f>IF(COUNTIF(ERP导入清单!$X$5:$X$204,117)=0,"",INDEX(ERP导入清单!S:S,IFERROR(MATCH(117,ERP导入清单!$X$5:$X$204,0)+4,"")))</f>
        <v/>
      </c>
      <c r="T121" s="37" t="str">
        <f>IF(COUNTIF(ERP导入清单!$X$5:$X$204,117)=0,"",INDEX(ERP导入清单!T:T,IFERROR(MATCH(117,ERP导入清单!$X$5:$X$204,0)+4,"")))</f>
        <v/>
      </c>
      <c r="U121" s="37" t="str">
        <f>IF(COUNTIF(ERP导入清单!$X$5:$X$204,117)=0,"",INDEX(ERP导入清单!U:U,IFERROR(MATCH(117,ERP导入清单!$X$5:$X$204,0)+4,"")))</f>
        <v/>
      </c>
      <c r="V121" s="38" t="str">
        <f>IF(COUNTIF(ERP导入清单!$X$5:$X$204,117)=0,"",INDEX(ERP导入清单!V:V,IFERROR(MATCH(117,ERP导入清单!$X$5:$X$204,0)+4,"")))</f>
        <v/>
      </c>
      <c r="W121" s="50" t="str">
        <f>IF(COUNTIF(ERP导入清单!$X$5:$X$204,117)=0,"",INDEX(ERP导入清单!W:W,IFERROR(MATCH(117,ERP导入清单!$X$5:$X$204,0)+4,"")))</f>
        <v/>
      </c>
    </row>
    <row r="122" spans="1:23" ht="24" customHeight="1">
      <c r="A122" s="55" t="str">
        <f>IF(COUNTIF(ERP导入清单!$X$5:$X$204,118)=0,"",INDEX(ERP导入清单!A:A,IFERROR(MATCH(118,ERP导入清单!$X$5:$X$204,0)+4,"")))</f>
        <v/>
      </c>
      <c r="B122" s="37" t="str">
        <f>IF(COUNTIF(ERP导入清单!$X$5:$X$204,118)=0,"",INDEX(ERP导入清单!B:B,IFERROR(MATCH(118,ERP导入清单!$X$5:$X$204,0)+4,"")))</f>
        <v/>
      </c>
      <c r="C122" s="38" t="str">
        <f>IF(COUNTIF(ERP导入清单!$X$5:$X$204,118)=0,"",INDEX(ERP导入清单!C:C,IFERROR(MATCH(118,ERP导入清单!$X$5:$X$204,0)+4,"")))</f>
        <v/>
      </c>
      <c r="D122" s="37" t="str">
        <f>IF(COUNTIF(ERP导入清单!$X$5:$X$204,118)=0,"",INDEX(ERP导入清单!D:D,IFERROR(MATCH(118,ERP导入清单!$X$5:$X$204,0)+4,"")))</f>
        <v/>
      </c>
      <c r="E122" s="37" t="str">
        <f>IF(COUNTIF(ERP导入清单!$X$5:$X$204,118)=0,"",INDEX(ERP导入清单!E:E,IFERROR(MATCH(118,ERP导入清单!$X$5:$X$204,0)+4,"")))</f>
        <v/>
      </c>
      <c r="F122" s="37" t="str">
        <f>IF(COUNTIF(ERP导入清单!$X$5:$X$204,118)=0,"",INDEX(ERP导入清单!F:F,IFERROR(MATCH(118,ERP导入清单!$X$5:$X$204,0)+4,"")))</f>
        <v/>
      </c>
      <c r="G122" s="57" t="str">
        <f>IF(COUNTIF(ERP导入清单!$X$5:$X$204,118)=0,"",INDEX(ERP导入清单!G:G,IFERROR(MATCH(118,ERP导入清单!$X$5:$X$204,0)+4,"")))</f>
        <v/>
      </c>
      <c r="H122" s="37" t="str">
        <f>IF(COUNTIF(ERP导入清单!$X$5:$X$204,118)=0,"",INDEX(ERP导入清单!H:H,IFERROR(MATCH(118,ERP导入清单!$X$5:$X$204,0)+4,"")))</f>
        <v/>
      </c>
      <c r="I122" s="57" t="str">
        <f>IF(COUNTIF(ERP导入清单!$X$5:$X$204,118)=0,"",INDEX(ERP导入清单!I:I,IFERROR(MATCH(118,ERP导入清单!$X$5:$X$204,0)+4,"")))</f>
        <v/>
      </c>
      <c r="J122" s="57" t="str">
        <f>IF(COUNTIF(ERP导入清单!$X$5:$X$204,118)=0,"",INDEX(ERP导入清单!J:J,IFERROR(MATCH(118,ERP导入清单!$X$5:$X$204,0)+4,"")))</f>
        <v/>
      </c>
      <c r="K122" s="37" t="str">
        <f>IF(COUNTIF(ERP导入清单!$X$5:$X$204,118)=0,"",INDEX(ERP导入清单!K:K,IFERROR(MATCH(118,ERP导入清单!$X$5:$X$204,0)+4,"")))</f>
        <v/>
      </c>
      <c r="L122" s="37" t="str">
        <f>IF(COUNTIF(ERP导入清单!$X$5:$X$204,118)=0,"",INDEX(ERP导入清单!L:L,IFERROR(MATCH(118,ERP导入清单!$X$5:$X$204,0)+4,"")))</f>
        <v/>
      </c>
      <c r="M122" s="37" t="str">
        <f>IF(COUNTIF(ERP导入清单!$X$5:$X$204,118)=0,"",INDEX(ERP导入清单!M:M,IFERROR(MATCH(118,ERP导入清单!$X$5:$X$204,0)+4,"")))</f>
        <v/>
      </c>
      <c r="N122" s="37" t="str">
        <f>IF(COUNTIF(ERP导入清单!$X$5:$X$204,118)=0,"",INDEX(ERP导入清单!N:N,IFERROR(MATCH(118,ERP导入清单!$X$5:$X$204,0)+4,"")))</f>
        <v/>
      </c>
      <c r="O122" s="37" t="str">
        <f>IF(COUNTIF(ERP导入清单!$X$5:$X$204,118)=0,"",INDEX(ERP导入清单!O:O,IFERROR(MATCH(118,ERP导入清单!$X$5:$X$204,0)+4,"")))</f>
        <v/>
      </c>
      <c r="P122" s="39" t="str">
        <f>IF(COUNTIF(ERP导入清单!$X$5:$X$204,118)=0,"",INDEX(ERP导入清单!P:P,IFERROR(MATCH(118,ERP导入清单!$X$5:$X$204,0)+4,"")))</f>
        <v/>
      </c>
      <c r="Q122" s="39" t="str">
        <f>IF(COUNTIF(ERP导入清单!$X$5:$X$204,118)=0,"",INDEX(ERP导入清单!Q:Q,IFERROR(MATCH(118,ERP导入清单!$X$5:$X$204,0)+4,"")))</f>
        <v/>
      </c>
      <c r="R122" s="59" t="str">
        <f>IF(COUNTIF(ERP导入清单!$X$5:$X$204,118)=0,"",INDEX(ERP导入清单!R:R,IFERROR(MATCH(118,ERP导入清单!$X$5:$X$204,0)+4,"")))</f>
        <v/>
      </c>
      <c r="S122" s="37" t="str">
        <f>IF(COUNTIF(ERP导入清单!$X$5:$X$204,118)=0,"",INDEX(ERP导入清单!S:S,IFERROR(MATCH(118,ERP导入清单!$X$5:$X$204,0)+4,"")))</f>
        <v/>
      </c>
      <c r="T122" s="37" t="str">
        <f>IF(COUNTIF(ERP导入清单!$X$5:$X$204,118)=0,"",INDEX(ERP导入清单!T:T,IFERROR(MATCH(118,ERP导入清单!$X$5:$X$204,0)+4,"")))</f>
        <v/>
      </c>
      <c r="U122" s="37" t="str">
        <f>IF(COUNTIF(ERP导入清单!$X$5:$X$204,118)=0,"",INDEX(ERP导入清单!U:U,IFERROR(MATCH(118,ERP导入清单!$X$5:$X$204,0)+4,"")))</f>
        <v/>
      </c>
      <c r="V122" s="38" t="str">
        <f>IF(COUNTIF(ERP导入清单!$X$5:$X$204,118)=0,"",INDEX(ERP导入清单!V:V,IFERROR(MATCH(118,ERP导入清单!$X$5:$X$204,0)+4,"")))</f>
        <v/>
      </c>
      <c r="W122" s="50" t="str">
        <f>IF(COUNTIF(ERP导入清单!$X$5:$X$204,118)=0,"",INDEX(ERP导入清单!W:W,IFERROR(MATCH(118,ERP导入清单!$X$5:$X$204,0)+4,"")))</f>
        <v/>
      </c>
    </row>
    <row r="123" spans="1:23" ht="24" customHeight="1">
      <c r="A123" s="55" t="str">
        <f>IF(COUNTIF(ERP导入清单!$X$5:$X$204,119)=0,"",INDEX(ERP导入清单!A:A,IFERROR(MATCH(119,ERP导入清单!$X$5:$X$204,0)+4,"")))</f>
        <v/>
      </c>
      <c r="B123" s="37" t="str">
        <f>IF(COUNTIF(ERP导入清单!$X$5:$X$204,119)=0,"",INDEX(ERP导入清单!B:B,IFERROR(MATCH(119,ERP导入清单!$X$5:$X$204,0)+4,"")))</f>
        <v/>
      </c>
      <c r="C123" s="38" t="str">
        <f>IF(COUNTIF(ERP导入清单!$X$5:$X$204,119)=0,"",INDEX(ERP导入清单!C:C,IFERROR(MATCH(119,ERP导入清单!$X$5:$X$204,0)+4,"")))</f>
        <v/>
      </c>
      <c r="D123" s="37" t="str">
        <f>IF(COUNTIF(ERP导入清单!$X$5:$X$204,119)=0,"",INDEX(ERP导入清单!D:D,IFERROR(MATCH(119,ERP导入清单!$X$5:$X$204,0)+4,"")))</f>
        <v/>
      </c>
      <c r="E123" s="37" t="str">
        <f>IF(COUNTIF(ERP导入清单!$X$5:$X$204,119)=0,"",INDEX(ERP导入清单!E:E,IFERROR(MATCH(119,ERP导入清单!$X$5:$X$204,0)+4,"")))</f>
        <v/>
      </c>
      <c r="F123" s="37" t="str">
        <f>IF(COUNTIF(ERP导入清单!$X$5:$X$204,119)=0,"",INDEX(ERP导入清单!F:F,IFERROR(MATCH(119,ERP导入清单!$X$5:$X$204,0)+4,"")))</f>
        <v/>
      </c>
      <c r="G123" s="57" t="str">
        <f>IF(COUNTIF(ERP导入清单!$X$5:$X$204,119)=0,"",INDEX(ERP导入清单!G:G,IFERROR(MATCH(119,ERP导入清单!$X$5:$X$204,0)+4,"")))</f>
        <v/>
      </c>
      <c r="H123" s="37" t="str">
        <f>IF(COUNTIF(ERP导入清单!$X$5:$X$204,119)=0,"",INDEX(ERP导入清单!H:H,IFERROR(MATCH(119,ERP导入清单!$X$5:$X$204,0)+4,"")))</f>
        <v/>
      </c>
      <c r="I123" s="57" t="str">
        <f>IF(COUNTIF(ERP导入清单!$X$5:$X$204,119)=0,"",INDEX(ERP导入清单!I:I,IFERROR(MATCH(119,ERP导入清单!$X$5:$X$204,0)+4,"")))</f>
        <v/>
      </c>
      <c r="J123" s="57" t="str">
        <f>IF(COUNTIF(ERP导入清单!$X$5:$X$204,119)=0,"",INDEX(ERP导入清单!J:J,IFERROR(MATCH(119,ERP导入清单!$X$5:$X$204,0)+4,"")))</f>
        <v/>
      </c>
      <c r="K123" s="37" t="str">
        <f>IF(COUNTIF(ERP导入清单!$X$5:$X$204,119)=0,"",INDEX(ERP导入清单!K:K,IFERROR(MATCH(119,ERP导入清单!$X$5:$X$204,0)+4,"")))</f>
        <v/>
      </c>
      <c r="L123" s="37" t="str">
        <f>IF(COUNTIF(ERP导入清单!$X$5:$X$204,119)=0,"",INDEX(ERP导入清单!L:L,IFERROR(MATCH(119,ERP导入清单!$X$5:$X$204,0)+4,"")))</f>
        <v/>
      </c>
      <c r="M123" s="37" t="str">
        <f>IF(COUNTIF(ERP导入清单!$X$5:$X$204,119)=0,"",INDEX(ERP导入清单!M:M,IFERROR(MATCH(119,ERP导入清单!$X$5:$X$204,0)+4,"")))</f>
        <v/>
      </c>
      <c r="N123" s="37" t="str">
        <f>IF(COUNTIF(ERP导入清单!$X$5:$X$204,119)=0,"",INDEX(ERP导入清单!N:N,IFERROR(MATCH(119,ERP导入清单!$X$5:$X$204,0)+4,"")))</f>
        <v/>
      </c>
      <c r="O123" s="37" t="str">
        <f>IF(COUNTIF(ERP导入清单!$X$5:$X$204,119)=0,"",INDEX(ERP导入清单!O:O,IFERROR(MATCH(119,ERP导入清单!$X$5:$X$204,0)+4,"")))</f>
        <v/>
      </c>
      <c r="P123" s="39" t="str">
        <f>IF(COUNTIF(ERP导入清单!$X$5:$X$204,119)=0,"",INDEX(ERP导入清单!P:P,IFERROR(MATCH(119,ERP导入清单!$X$5:$X$204,0)+4,"")))</f>
        <v/>
      </c>
      <c r="Q123" s="39" t="str">
        <f>IF(COUNTIF(ERP导入清单!$X$5:$X$204,119)=0,"",INDEX(ERP导入清单!Q:Q,IFERROR(MATCH(119,ERP导入清单!$X$5:$X$204,0)+4,"")))</f>
        <v/>
      </c>
      <c r="R123" s="59" t="str">
        <f>IF(COUNTIF(ERP导入清单!$X$5:$X$204,119)=0,"",INDEX(ERP导入清单!R:R,IFERROR(MATCH(119,ERP导入清单!$X$5:$X$204,0)+4,"")))</f>
        <v/>
      </c>
      <c r="S123" s="37" t="str">
        <f>IF(COUNTIF(ERP导入清单!$X$5:$X$204,119)=0,"",INDEX(ERP导入清单!S:S,IFERROR(MATCH(119,ERP导入清单!$X$5:$X$204,0)+4,"")))</f>
        <v/>
      </c>
      <c r="T123" s="37" t="str">
        <f>IF(COUNTIF(ERP导入清单!$X$5:$X$204,119)=0,"",INDEX(ERP导入清单!T:T,IFERROR(MATCH(119,ERP导入清单!$X$5:$X$204,0)+4,"")))</f>
        <v/>
      </c>
      <c r="U123" s="37" t="str">
        <f>IF(COUNTIF(ERP导入清单!$X$5:$X$204,119)=0,"",INDEX(ERP导入清单!U:U,IFERROR(MATCH(119,ERP导入清单!$X$5:$X$204,0)+4,"")))</f>
        <v/>
      </c>
      <c r="V123" s="38" t="str">
        <f>IF(COUNTIF(ERP导入清单!$X$5:$X$204,119)=0,"",INDEX(ERP导入清单!V:V,IFERROR(MATCH(119,ERP导入清单!$X$5:$X$204,0)+4,"")))</f>
        <v/>
      </c>
      <c r="W123" s="50" t="str">
        <f>IF(COUNTIF(ERP导入清单!$X$5:$X$204,119)=0,"",INDEX(ERP导入清单!W:W,IFERROR(MATCH(119,ERP导入清单!$X$5:$X$204,0)+4,"")))</f>
        <v/>
      </c>
    </row>
    <row r="124" spans="1:23" ht="24" customHeight="1">
      <c r="A124" s="55" t="str">
        <f>IF(COUNTIF(ERP导入清单!$X$5:$X$204,120)=0,"",INDEX(ERP导入清单!A:A,IFERROR(MATCH(120,ERP导入清单!$X$5:$X$204,0)+4,"")))</f>
        <v/>
      </c>
      <c r="B124" s="37" t="str">
        <f>IF(COUNTIF(ERP导入清单!$X$5:$X$204,120)=0,"",INDEX(ERP导入清单!B:B,IFERROR(MATCH(120,ERP导入清单!$X$5:$X$204,0)+4,"")))</f>
        <v/>
      </c>
      <c r="C124" s="38" t="str">
        <f>IF(COUNTIF(ERP导入清单!$X$5:$X$204,120)=0,"",INDEX(ERP导入清单!C:C,IFERROR(MATCH(120,ERP导入清单!$X$5:$X$204,0)+4,"")))</f>
        <v/>
      </c>
      <c r="D124" s="37" t="str">
        <f>IF(COUNTIF(ERP导入清单!$X$5:$X$204,120)=0,"",INDEX(ERP导入清单!D:D,IFERROR(MATCH(120,ERP导入清单!$X$5:$X$204,0)+4,"")))</f>
        <v/>
      </c>
      <c r="E124" s="37" t="str">
        <f>IF(COUNTIF(ERP导入清单!$X$5:$X$204,120)=0,"",INDEX(ERP导入清单!E:E,IFERROR(MATCH(120,ERP导入清单!$X$5:$X$204,0)+4,"")))</f>
        <v/>
      </c>
      <c r="F124" s="37" t="str">
        <f>IF(COUNTIF(ERP导入清单!$X$5:$X$204,120)=0,"",INDEX(ERP导入清单!F:F,IFERROR(MATCH(120,ERP导入清单!$X$5:$X$204,0)+4,"")))</f>
        <v/>
      </c>
      <c r="G124" s="57" t="str">
        <f>IF(COUNTIF(ERP导入清单!$X$5:$X$204,120)=0,"",INDEX(ERP导入清单!G:G,IFERROR(MATCH(120,ERP导入清单!$X$5:$X$204,0)+4,"")))</f>
        <v/>
      </c>
      <c r="H124" s="37" t="str">
        <f>IF(COUNTIF(ERP导入清单!$X$5:$X$204,120)=0,"",INDEX(ERP导入清单!H:H,IFERROR(MATCH(120,ERP导入清单!$X$5:$X$204,0)+4,"")))</f>
        <v/>
      </c>
      <c r="I124" s="57" t="str">
        <f>IF(COUNTIF(ERP导入清单!$X$5:$X$204,120)=0,"",INDEX(ERP导入清单!I:I,IFERROR(MATCH(120,ERP导入清单!$X$5:$X$204,0)+4,"")))</f>
        <v/>
      </c>
      <c r="J124" s="57" t="str">
        <f>IF(COUNTIF(ERP导入清单!$X$5:$X$204,120)=0,"",INDEX(ERP导入清单!J:J,IFERROR(MATCH(120,ERP导入清单!$X$5:$X$204,0)+4,"")))</f>
        <v/>
      </c>
      <c r="K124" s="37" t="str">
        <f>IF(COUNTIF(ERP导入清单!$X$5:$X$204,120)=0,"",INDEX(ERP导入清单!K:K,IFERROR(MATCH(120,ERP导入清单!$X$5:$X$204,0)+4,"")))</f>
        <v/>
      </c>
      <c r="L124" s="37" t="str">
        <f>IF(COUNTIF(ERP导入清单!$X$5:$X$204,120)=0,"",INDEX(ERP导入清单!L:L,IFERROR(MATCH(120,ERP导入清单!$X$5:$X$204,0)+4,"")))</f>
        <v/>
      </c>
      <c r="M124" s="37" t="str">
        <f>IF(COUNTIF(ERP导入清单!$X$5:$X$204,120)=0,"",INDEX(ERP导入清单!M:M,IFERROR(MATCH(120,ERP导入清单!$X$5:$X$204,0)+4,"")))</f>
        <v/>
      </c>
      <c r="N124" s="37" t="str">
        <f>IF(COUNTIF(ERP导入清单!$X$5:$X$204,120)=0,"",INDEX(ERP导入清单!N:N,IFERROR(MATCH(120,ERP导入清单!$X$5:$X$204,0)+4,"")))</f>
        <v/>
      </c>
      <c r="O124" s="37" t="str">
        <f>IF(COUNTIF(ERP导入清单!$X$5:$X$204,120)=0,"",INDEX(ERP导入清单!O:O,IFERROR(MATCH(120,ERP导入清单!$X$5:$X$204,0)+4,"")))</f>
        <v/>
      </c>
      <c r="P124" s="39" t="str">
        <f>IF(COUNTIF(ERP导入清单!$X$5:$X$204,120)=0,"",INDEX(ERP导入清单!P:P,IFERROR(MATCH(120,ERP导入清单!$X$5:$X$204,0)+4,"")))</f>
        <v/>
      </c>
      <c r="Q124" s="39" t="str">
        <f>IF(COUNTIF(ERP导入清单!$X$5:$X$204,120)=0,"",INDEX(ERP导入清单!Q:Q,IFERROR(MATCH(120,ERP导入清单!$X$5:$X$204,0)+4,"")))</f>
        <v/>
      </c>
      <c r="R124" s="59" t="str">
        <f>IF(COUNTIF(ERP导入清单!$X$5:$X$204,120)=0,"",INDEX(ERP导入清单!R:R,IFERROR(MATCH(120,ERP导入清单!$X$5:$X$204,0)+4,"")))</f>
        <v/>
      </c>
      <c r="S124" s="37" t="str">
        <f>IF(COUNTIF(ERP导入清单!$X$5:$X$204,120)=0,"",INDEX(ERP导入清单!S:S,IFERROR(MATCH(120,ERP导入清单!$X$5:$X$204,0)+4,"")))</f>
        <v/>
      </c>
      <c r="T124" s="37" t="str">
        <f>IF(COUNTIF(ERP导入清单!$X$5:$X$204,120)=0,"",INDEX(ERP导入清单!T:T,IFERROR(MATCH(120,ERP导入清单!$X$5:$X$204,0)+4,"")))</f>
        <v/>
      </c>
      <c r="U124" s="37" t="str">
        <f>IF(COUNTIF(ERP导入清单!$X$5:$X$204,120)=0,"",INDEX(ERP导入清单!U:U,IFERROR(MATCH(120,ERP导入清单!$X$5:$X$204,0)+4,"")))</f>
        <v/>
      </c>
      <c r="V124" s="38" t="str">
        <f>IF(COUNTIF(ERP导入清单!$X$5:$X$204,120)=0,"",INDEX(ERP导入清单!V:V,IFERROR(MATCH(120,ERP导入清单!$X$5:$X$204,0)+4,"")))</f>
        <v/>
      </c>
      <c r="W124" s="50" t="str">
        <f>IF(COUNTIF(ERP导入清单!$X$5:$X$204,120)=0,"",INDEX(ERP导入清单!W:W,IFERROR(MATCH(120,ERP导入清单!$X$5:$X$204,0)+4,"")))</f>
        <v/>
      </c>
    </row>
    <row r="125" spans="1:23" ht="24" customHeight="1">
      <c r="A125" s="55" t="str">
        <f>IF(COUNTIF(ERP导入清单!$X$5:$X$204,121)=0,"",INDEX(ERP导入清单!A:A,IFERROR(MATCH(121,ERP导入清单!$X$5:$X$204,0)+4,"")))</f>
        <v/>
      </c>
      <c r="B125" s="37" t="str">
        <f>IF(COUNTIF(ERP导入清单!$X$5:$X$204,121)=0,"",INDEX(ERP导入清单!B:B,IFERROR(MATCH(121,ERP导入清单!$X$5:$X$204,0)+4,"")))</f>
        <v/>
      </c>
      <c r="C125" s="38" t="str">
        <f>IF(COUNTIF(ERP导入清单!$X$5:$X$204,121)=0,"",INDEX(ERP导入清单!C:C,IFERROR(MATCH(121,ERP导入清单!$X$5:$X$204,0)+4,"")))</f>
        <v/>
      </c>
      <c r="D125" s="37" t="str">
        <f>IF(COUNTIF(ERP导入清单!$X$5:$X$204,121)=0,"",INDEX(ERP导入清单!D:D,IFERROR(MATCH(121,ERP导入清单!$X$5:$X$204,0)+4,"")))</f>
        <v/>
      </c>
      <c r="E125" s="37" t="str">
        <f>IF(COUNTIF(ERP导入清单!$X$5:$X$204,121)=0,"",INDEX(ERP导入清单!E:E,IFERROR(MATCH(121,ERP导入清单!$X$5:$X$204,0)+4,"")))</f>
        <v/>
      </c>
      <c r="F125" s="37" t="str">
        <f>IF(COUNTIF(ERP导入清单!$X$5:$X$204,121)=0,"",INDEX(ERP导入清单!F:F,IFERROR(MATCH(121,ERP导入清单!$X$5:$X$204,0)+4,"")))</f>
        <v/>
      </c>
      <c r="G125" s="57" t="str">
        <f>IF(COUNTIF(ERP导入清单!$X$5:$X$204,121)=0,"",INDEX(ERP导入清单!G:G,IFERROR(MATCH(121,ERP导入清单!$X$5:$X$204,0)+4,"")))</f>
        <v/>
      </c>
      <c r="H125" s="37" t="str">
        <f>IF(COUNTIF(ERP导入清单!$X$5:$X$204,121)=0,"",INDEX(ERP导入清单!H:H,IFERROR(MATCH(121,ERP导入清单!$X$5:$X$204,0)+4,"")))</f>
        <v/>
      </c>
      <c r="I125" s="57" t="str">
        <f>IF(COUNTIF(ERP导入清单!$X$5:$X$204,121)=0,"",INDEX(ERP导入清单!I:I,IFERROR(MATCH(121,ERP导入清单!$X$5:$X$204,0)+4,"")))</f>
        <v/>
      </c>
      <c r="J125" s="57" t="str">
        <f>IF(COUNTIF(ERP导入清单!$X$5:$X$204,121)=0,"",INDEX(ERP导入清单!J:J,IFERROR(MATCH(121,ERP导入清单!$X$5:$X$204,0)+4,"")))</f>
        <v/>
      </c>
      <c r="K125" s="37" t="str">
        <f>IF(COUNTIF(ERP导入清单!$X$5:$X$204,121)=0,"",INDEX(ERP导入清单!K:K,IFERROR(MATCH(121,ERP导入清单!$X$5:$X$204,0)+4,"")))</f>
        <v/>
      </c>
      <c r="L125" s="37" t="str">
        <f>IF(COUNTIF(ERP导入清单!$X$5:$X$204,121)=0,"",INDEX(ERP导入清单!L:L,IFERROR(MATCH(121,ERP导入清单!$X$5:$X$204,0)+4,"")))</f>
        <v/>
      </c>
      <c r="M125" s="37" t="str">
        <f>IF(COUNTIF(ERP导入清单!$X$5:$X$204,121)=0,"",INDEX(ERP导入清单!M:M,IFERROR(MATCH(121,ERP导入清单!$X$5:$X$204,0)+4,"")))</f>
        <v/>
      </c>
      <c r="N125" s="37" t="str">
        <f>IF(COUNTIF(ERP导入清单!$X$5:$X$204,121)=0,"",INDEX(ERP导入清单!N:N,IFERROR(MATCH(121,ERP导入清单!$X$5:$X$204,0)+4,"")))</f>
        <v/>
      </c>
      <c r="O125" s="37" t="str">
        <f>IF(COUNTIF(ERP导入清单!$X$5:$X$204,121)=0,"",INDEX(ERP导入清单!O:O,IFERROR(MATCH(121,ERP导入清单!$X$5:$X$204,0)+4,"")))</f>
        <v/>
      </c>
      <c r="P125" s="39" t="str">
        <f>IF(COUNTIF(ERP导入清单!$X$5:$X$204,121)=0,"",INDEX(ERP导入清单!P:P,IFERROR(MATCH(121,ERP导入清单!$X$5:$X$204,0)+4,"")))</f>
        <v/>
      </c>
      <c r="Q125" s="39" t="str">
        <f>IF(COUNTIF(ERP导入清单!$X$5:$X$204,121)=0,"",INDEX(ERP导入清单!Q:Q,IFERROR(MATCH(121,ERP导入清单!$X$5:$X$204,0)+4,"")))</f>
        <v/>
      </c>
      <c r="R125" s="59" t="str">
        <f>IF(COUNTIF(ERP导入清单!$X$5:$X$204,121)=0,"",INDEX(ERP导入清单!R:R,IFERROR(MATCH(121,ERP导入清单!$X$5:$X$204,0)+4,"")))</f>
        <v/>
      </c>
      <c r="S125" s="37" t="str">
        <f>IF(COUNTIF(ERP导入清单!$X$5:$X$204,121)=0,"",INDEX(ERP导入清单!S:S,IFERROR(MATCH(121,ERP导入清单!$X$5:$X$204,0)+4,"")))</f>
        <v/>
      </c>
      <c r="T125" s="37" t="str">
        <f>IF(COUNTIF(ERP导入清单!$X$5:$X$204,121)=0,"",INDEX(ERP导入清单!T:T,IFERROR(MATCH(121,ERP导入清单!$X$5:$X$204,0)+4,"")))</f>
        <v/>
      </c>
      <c r="U125" s="37" t="str">
        <f>IF(COUNTIF(ERP导入清单!$X$5:$X$204,121)=0,"",INDEX(ERP导入清单!U:U,IFERROR(MATCH(121,ERP导入清单!$X$5:$X$204,0)+4,"")))</f>
        <v/>
      </c>
      <c r="V125" s="38" t="str">
        <f>IF(COUNTIF(ERP导入清单!$X$5:$X$204,121)=0,"",INDEX(ERP导入清单!V:V,IFERROR(MATCH(121,ERP导入清单!$X$5:$X$204,0)+4,"")))</f>
        <v/>
      </c>
      <c r="W125" s="50" t="str">
        <f>IF(COUNTIF(ERP导入清单!$X$5:$X$204,121)=0,"",INDEX(ERP导入清单!W:W,IFERROR(MATCH(121,ERP导入清单!$X$5:$X$204,0)+4,"")))</f>
        <v/>
      </c>
    </row>
    <row r="126" spans="1:23" ht="24" customHeight="1">
      <c r="A126" s="55" t="str">
        <f>IF(COUNTIF(ERP导入清单!$X$5:$X$204,122)=0,"",INDEX(ERP导入清单!A:A,IFERROR(MATCH(122,ERP导入清单!$X$5:$X$204,0)+4,"")))</f>
        <v/>
      </c>
      <c r="B126" s="37" t="str">
        <f>IF(COUNTIF(ERP导入清单!$X$5:$X$204,122)=0,"",INDEX(ERP导入清单!B:B,IFERROR(MATCH(122,ERP导入清单!$X$5:$X$204,0)+4,"")))</f>
        <v/>
      </c>
      <c r="C126" s="38" t="str">
        <f>IF(COUNTIF(ERP导入清单!$X$5:$X$204,122)=0,"",INDEX(ERP导入清单!C:C,IFERROR(MATCH(122,ERP导入清单!$X$5:$X$204,0)+4,"")))</f>
        <v/>
      </c>
      <c r="D126" s="37" t="str">
        <f>IF(COUNTIF(ERP导入清单!$X$5:$X$204,122)=0,"",INDEX(ERP导入清单!D:D,IFERROR(MATCH(122,ERP导入清单!$X$5:$X$204,0)+4,"")))</f>
        <v/>
      </c>
      <c r="E126" s="37" t="str">
        <f>IF(COUNTIF(ERP导入清单!$X$5:$X$204,122)=0,"",INDEX(ERP导入清单!E:E,IFERROR(MATCH(122,ERP导入清单!$X$5:$X$204,0)+4,"")))</f>
        <v/>
      </c>
      <c r="F126" s="37" t="str">
        <f>IF(COUNTIF(ERP导入清单!$X$5:$X$204,122)=0,"",INDEX(ERP导入清单!F:F,IFERROR(MATCH(122,ERP导入清单!$X$5:$X$204,0)+4,"")))</f>
        <v/>
      </c>
      <c r="G126" s="57" t="str">
        <f>IF(COUNTIF(ERP导入清单!$X$5:$X$204,122)=0,"",INDEX(ERP导入清单!G:G,IFERROR(MATCH(122,ERP导入清单!$X$5:$X$204,0)+4,"")))</f>
        <v/>
      </c>
      <c r="H126" s="37" t="str">
        <f>IF(COUNTIF(ERP导入清单!$X$5:$X$204,122)=0,"",INDEX(ERP导入清单!H:H,IFERROR(MATCH(122,ERP导入清单!$X$5:$X$204,0)+4,"")))</f>
        <v/>
      </c>
      <c r="I126" s="57" t="str">
        <f>IF(COUNTIF(ERP导入清单!$X$5:$X$204,122)=0,"",INDEX(ERP导入清单!I:I,IFERROR(MATCH(122,ERP导入清单!$X$5:$X$204,0)+4,"")))</f>
        <v/>
      </c>
      <c r="J126" s="57" t="str">
        <f>IF(COUNTIF(ERP导入清单!$X$5:$X$204,122)=0,"",INDEX(ERP导入清单!J:J,IFERROR(MATCH(122,ERP导入清单!$X$5:$X$204,0)+4,"")))</f>
        <v/>
      </c>
      <c r="K126" s="37" t="str">
        <f>IF(COUNTIF(ERP导入清单!$X$5:$X$204,122)=0,"",INDEX(ERP导入清单!K:K,IFERROR(MATCH(122,ERP导入清单!$X$5:$X$204,0)+4,"")))</f>
        <v/>
      </c>
      <c r="L126" s="37" t="str">
        <f>IF(COUNTIF(ERP导入清单!$X$5:$X$204,122)=0,"",INDEX(ERP导入清单!L:L,IFERROR(MATCH(122,ERP导入清单!$X$5:$X$204,0)+4,"")))</f>
        <v/>
      </c>
      <c r="M126" s="37" t="str">
        <f>IF(COUNTIF(ERP导入清单!$X$5:$X$204,122)=0,"",INDEX(ERP导入清单!M:M,IFERROR(MATCH(122,ERP导入清单!$X$5:$X$204,0)+4,"")))</f>
        <v/>
      </c>
      <c r="N126" s="37" t="str">
        <f>IF(COUNTIF(ERP导入清单!$X$5:$X$204,122)=0,"",INDEX(ERP导入清单!N:N,IFERROR(MATCH(122,ERP导入清单!$X$5:$X$204,0)+4,"")))</f>
        <v/>
      </c>
      <c r="O126" s="37" t="str">
        <f>IF(COUNTIF(ERP导入清单!$X$5:$X$204,122)=0,"",INDEX(ERP导入清单!O:O,IFERROR(MATCH(122,ERP导入清单!$X$5:$X$204,0)+4,"")))</f>
        <v/>
      </c>
      <c r="P126" s="39" t="str">
        <f>IF(COUNTIF(ERP导入清单!$X$5:$X$204,122)=0,"",INDEX(ERP导入清单!P:P,IFERROR(MATCH(122,ERP导入清单!$X$5:$X$204,0)+4,"")))</f>
        <v/>
      </c>
      <c r="Q126" s="39" t="str">
        <f>IF(COUNTIF(ERP导入清单!$X$5:$X$204,122)=0,"",INDEX(ERP导入清单!Q:Q,IFERROR(MATCH(122,ERP导入清单!$X$5:$X$204,0)+4,"")))</f>
        <v/>
      </c>
      <c r="R126" s="59" t="str">
        <f>IF(COUNTIF(ERP导入清单!$X$5:$X$204,122)=0,"",INDEX(ERP导入清单!R:R,IFERROR(MATCH(122,ERP导入清单!$X$5:$X$204,0)+4,"")))</f>
        <v/>
      </c>
      <c r="S126" s="37" t="str">
        <f>IF(COUNTIF(ERP导入清单!$X$5:$X$204,122)=0,"",INDEX(ERP导入清单!S:S,IFERROR(MATCH(122,ERP导入清单!$X$5:$X$204,0)+4,"")))</f>
        <v/>
      </c>
      <c r="T126" s="37" t="str">
        <f>IF(COUNTIF(ERP导入清单!$X$5:$X$204,122)=0,"",INDEX(ERP导入清单!T:T,IFERROR(MATCH(122,ERP导入清单!$X$5:$X$204,0)+4,"")))</f>
        <v/>
      </c>
      <c r="U126" s="37" t="str">
        <f>IF(COUNTIF(ERP导入清单!$X$5:$X$204,122)=0,"",INDEX(ERP导入清单!U:U,IFERROR(MATCH(122,ERP导入清单!$X$5:$X$204,0)+4,"")))</f>
        <v/>
      </c>
      <c r="V126" s="38" t="str">
        <f>IF(COUNTIF(ERP导入清单!$X$5:$X$204,122)=0,"",INDEX(ERP导入清单!V:V,IFERROR(MATCH(122,ERP导入清单!$X$5:$X$204,0)+4,"")))</f>
        <v/>
      </c>
      <c r="W126" s="50" t="str">
        <f>IF(COUNTIF(ERP导入清单!$X$5:$X$204,122)=0,"",INDEX(ERP导入清单!W:W,IFERROR(MATCH(122,ERP导入清单!$X$5:$X$204,0)+4,"")))</f>
        <v/>
      </c>
    </row>
    <row r="127" spans="1:23" ht="24" customHeight="1">
      <c r="A127" s="55" t="str">
        <f>IF(COUNTIF(ERP导入清单!$X$5:$X$204,123)=0,"",INDEX(ERP导入清单!A:A,IFERROR(MATCH(123,ERP导入清单!$X$5:$X$204,0)+4,"")))</f>
        <v/>
      </c>
      <c r="B127" s="37" t="str">
        <f>IF(COUNTIF(ERP导入清单!$X$5:$X$204,123)=0,"",INDEX(ERP导入清单!B:B,IFERROR(MATCH(123,ERP导入清单!$X$5:$X$204,0)+4,"")))</f>
        <v/>
      </c>
      <c r="C127" s="38" t="str">
        <f>IF(COUNTIF(ERP导入清单!$X$5:$X$204,123)=0,"",INDEX(ERP导入清单!C:C,IFERROR(MATCH(123,ERP导入清单!$X$5:$X$204,0)+4,"")))</f>
        <v/>
      </c>
      <c r="D127" s="37" t="str">
        <f>IF(COUNTIF(ERP导入清单!$X$5:$X$204,123)=0,"",INDEX(ERP导入清单!D:D,IFERROR(MATCH(123,ERP导入清单!$X$5:$X$204,0)+4,"")))</f>
        <v/>
      </c>
      <c r="E127" s="37" t="str">
        <f>IF(COUNTIF(ERP导入清单!$X$5:$X$204,123)=0,"",INDEX(ERP导入清单!E:E,IFERROR(MATCH(123,ERP导入清单!$X$5:$X$204,0)+4,"")))</f>
        <v/>
      </c>
      <c r="F127" s="37" t="str">
        <f>IF(COUNTIF(ERP导入清单!$X$5:$X$204,123)=0,"",INDEX(ERP导入清单!F:F,IFERROR(MATCH(123,ERP导入清单!$X$5:$X$204,0)+4,"")))</f>
        <v/>
      </c>
      <c r="G127" s="57" t="str">
        <f>IF(COUNTIF(ERP导入清单!$X$5:$X$204,123)=0,"",INDEX(ERP导入清单!G:G,IFERROR(MATCH(123,ERP导入清单!$X$5:$X$204,0)+4,"")))</f>
        <v/>
      </c>
      <c r="H127" s="37" t="str">
        <f>IF(COUNTIF(ERP导入清单!$X$5:$X$204,123)=0,"",INDEX(ERP导入清单!H:H,IFERROR(MATCH(123,ERP导入清单!$X$5:$X$204,0)+4,"")))</f>
        <v/>
      </c>
      <c r="I127" s="57" t="str">
        <f>IF(COUNTIF(ERP导入清单!$X$5:$X$204,123)=0,"",INDEX(ERP导入清单!I:I,IFERROR(MATCH(123,ERP导入清单!$X$5:$X$204,0)+4,"")))</f>
        <v/>
      </c>
      <c r="J127" s="57" t="str">
        <f>IF(COUNTIF(ERP导入清单!$X$5:$X$204,123)=0,"",INDEX(ERP导入清单!J:J,IFERROR(MATCH(123,ERP导入清单!$X$5:$X$204,0)+4,"")))</f>
        <v/>
      </c>
      <c r="K127" s="37" t="str">
        <f>IF(COUNTIF(ERP导入清单!$X$5:$X$204,123)=0,"",INDEX(ERP导入清单!K:K,IFERROR(MATCH(123,ERP导入清单!$X$5:$X$204,0)+4,"")))</f>
        <v/>
      </c>
      <c r="L127" s="37" t="str">
        <f>IF(COUNTIF(ERP导入清单!$X$5:$X$204,123)=0,"",INDEX(ERP导入清单!L:L,IFERROR(MATCH(123,ERP导入清单!$X$5:$X$204,0)+4,"")))</f>
        <v/>
      </c>
      <c r="M127" s="37" t="str">
        <f>IF(COUNTIF(ERP导入清单!$X$5:$X$204,123)=0,"",INDEX(ERP导入清单!M:M,IFERROR(MATCH(123,ERP导入清单!$X$5:$X$204,0)+4,"")))</f>
        <v/>
      </c>
      <c r="N127" s="37" t="str">
        <f>IF(COUNTIF(ERP导入清单!$X$5:$X$204,123)=0,"",INDEX(ERP导入清单!N:N,IFERROR(MATCH(123,ERP导入清单!$X$5:$X$204,0)+4,"")))</f>
        <v/>
      </c>
      <c r="O127" s="37" t="str">
        <f>IF(COUNTIF(ERP导入清单!$X$5:$X$204,123)=0,"",INDEX(ERP导入清单!O:O,IFERROR(MATCH(123,ERP导入清单!$X$5:$X$204,0)+4,"")))</f>
        <v/>
      </c>
      <c r="P127" s="39" t="str">
        <f>IF(COUNTIF(ERP导入清单!$X$5:$X$204,123)=0,"",INDEX(ERP导入清单!P:P,IFERROR(MATCH(123,ERP导入清单!$X$5:$X$204,0)+4,"")))</f>
        <v/>
      </c>
      <c r="Q127" s="39" t="str">
        <f>IF(COUNTIF(ERP导入清单!$X$5:$X$204,123)=0,"",INDEX(ERP导入清单!Q:Q,IFERROR(MATCH(123,ERP导入清单!$X$5:$X$204,0)+4,"")))</f>
        <v/>
      </c>
      <c r="R127" s="59" t="str">
        <f>IF(COUNTIF(ERP导入清单!$X$5:$X$204,123)=0,"",INDEX(ERP导入清单!R:R,IFERROR(MATCH(123,ERP导入清单!$X$5:$X$204,0)+4,"")))</f>
        <v/>
      </c>
      <c r="S127" s="37" t="str">
        <f>IF(COUNTIF(ERP导入清单!$X$5:$X$204,123)=0,"",INDEX(ERP导入清单!S:S,IFERROR(MATCH(123,ERP导入清单!$X$5:$X$204,0)+4,"")))</f>
        <v/>
      </c>
      <c r="T127" s="37" t="str">
        <f>IF(COUNTIF(ERP导入清单!$X$5:$X$204,123)=0,"",INDEX(ERP导入清单!T:T,IFERROR(MATCH(123,ERP导入清单!$X$5:$X$204,0)+4,"")))</f>
        <v/>
      </c>
      <c r="U127" s="37" t="str">
        <f>IF(COUNTIF(ERP导入清单!$X$5:$X$204,123)=0,"",INDEX(ERP导入清单!U:U,IFERROR(MATCH(123,ERP导入清单!$X$5:$X$204,0)+4,"")))</f>
        <v/>
      </c>
      <c r="V127" s="38" t="str">
        <f>IF(COUNTIF(ERP导入清单!$X$5:$X$204,123)=0,"",INDEX(ERP导入清单!V:V,IFERROR(MATCH(123,ERP导入清单!$X$5:$X$204,0)+4,"")))</f>
        <v/>
      </c>
      <c r="W127" s="50" t="str">
        <f>IF(COUNTIF(ERP导入清单!$X$5:$X$204,123)=0,"",INDEX(ERP导入清单!W:W,IFERROR(MATCH(123,ERP导入清单!$X$5:$X$204,0)+4,"")))</f>
        <v/>
      </c>
    </row>
    <row r="128" spans="1:23" ht="24" customHeight="1">
      <c r="A128" s="55" t="str">
        <f>IF(COUNTIF(ERP导入清单!$X$5:$X$204,124)=0,"",INDEX(ERP导入清单!A:A,IFERROR(MATCH(124,ERP导入清单!$X$5:$X$204,0)+4,"")))</f>
        <v/>
      </c>
      <c r="B128" s="37" t="str">
        <f>IF(COUNTIF(ERP导入清单!$X$5:$X$204,124)=0,"",INDEX(ERP导入清单!B:B,IFERROR(MATCH(124,ERP导入清单!$X$5:$X$204,0)+4,"")))</f>
        <v/>
      </c>
      <c r="C128" s="38" t="str">
        <f>IF(COUNTIF(ERP导入清单!$X$5:$X$204,124)=0,"",INDEX(ERP导入清单!C:C,IFERROR(MATCH(124,ERP导入清单!$X$5:$X$204,0)+4,"")))</f>
        <v/>
      </c>
      <c r="D128" s="37" t="str">
        <f>IF(COUNTIF(ERP导入清单!$X$5:$X$204,124)=0,"",INDEX(ERP导入清单!D:D,IFERROR(MATCH(124,ERP导入清单!$X$5:$X$204,0)+4,"")))</f>
        <v/>
      </c>
      <c r="E128" s="37" t="str">
        <f>IF(COUNTIF(ERP导入清单!$X$5:$X$204,124)=0,"",INDEX(ERP导入清单!E:E,IFERROR(MATCH(124,ERP导入清单!$X$5:$X$204,0)+4,"")))</f>
        <v/>
      </c>
      <c r="F128" s="37" t="str">
        <f>IF(COUNTIF(ERP导入清单!$X$5:$X$204,124)=0,"",INDEX(ERP导入清单!F:F,IFERROR(MATCH(124,ERP导入清单!$X$5:$X$204,0)+4,"")))</f>
        <v/>
      </c>
      <c r="G128" s="57" t="str">
        <f>IF(COUNTIF(ERP导入清单!$X$5:$X$204,124)=0,"",INDEX(ERP导入清单!G:G,IFERROR(MATCH(124,ERP导入清单!$X$5:$X$204,0)+4,"")))</f>
        <v/>
      </c>
      <c r="H128" s="37" t="str">
        <f>IF(COUNTIF(ERP导入清单!$X$5:$X$204,124)=0,"",INDEX(ERP导入清单!H:H,IFERROR(MATCH(124,ERP导入清单!$X$5:$X$204,0)+4,"")))</f>
        <v/>
      </c>
      <c r="I128" s="57" t="str">
        <f>IF(COUNTIF(ERP导入清单!$X$5:$X$204,124)=0,"",INDEX(ERP导入清单!I:I,IFERROR(MATCH(124,ERP导入清单!$X$5:$X$204,0)+4,"")))</f>
        <v/>
      </c>
      <c r="J128" s="57" t="str">
        <f>IF(COUNTIF(ERP导入清单!$X$5:$X$204,124)=0,"",INDEX(ERP导入清单!J:J,IFERROR(MATCH(124,ERP导入清单!$X$5:$X$204,0)+4,"")))</f>
        <v/>
      </c>
      <c r="K128" s="37" t="str">
        <f>IF(COUNTIF(ERP导入清单!$X$5:$X$204,124)=0,"",INDEX(ERP导入清单!K:K,IFERROR(MATCH(124,ERP导入清单!$X$5:$X$204,0)+4,"")))</f>
        <v/>
      </c>
      <c r="L128" s="37" t="str">
        <f>IF(COUNTIF(ERP导入清单!$X$5:$X$204,124)=0,"",INDEX(ERP导入清单!L:L,IFERROR(MATCH(124,ERP导入清单!$X$5:$X$204,0)+4,"")))</f>
        <v/>
      </c>
      <c r="M128" s="37" t="str">
        <f>IF(COUNTIF(ERP导入清单!$X$5:$X$204,124)=0,"",INDEX(ERP导入清单!M:M,IFERROR(MATCH(124,ERP导入清单!$X$5:$X$204,0)+4,"")))</f>
        <v/>
      </c>
      <c r="N128" s="37" t="str">
        <f>IF(COUNTIF(ERP导入清单!$X$5:$X$204,124)=0,"",INDEX(ERP导入清单!N:N,IFERROR(MATCH(124,ERP导入清单!$X$5:$X$204,0)+4,"")))</f>
        <v/>
      </c>
      <c r="O128" s="37" t="str">
        <f>IF(COUNTIF(ERP导入清单!$X$5:$X$204,124)=0,"",INDEX(ERP导入清单!O:O,IFERROR(MATCH(124,ERP导入清单!$X$5:$X$204,0)+4,"")))</f>
        <v/>
      </c>
      <c r="P128" s="39" t="str">
        <f>IF(COUNTIF(ERP导入清单!$X$5:$X$204,124)=0,"",INDEX(ERP导入清单!P:P,IFERROR(MATCH(124,ERP导入清单!$X$5:$X$204,0)+4,"")))</f>
        <v/>
      </c>
      <c r="Q128" s="39" t="str">
        <f>IF(COUNTIF(ERP导入清单!$X$5:$X$204,124)=0,"",INDEX(ERP导入清单!Q:Q,IFERROR(MATCH(124,ERP导入清单!$X$5:$X$204,0)+4,"")))</f>
        <v/>
      </c>
      <c r="R128" s="59" t="str">
        <f>IF(COUNTIF(ERP导入清单!$X$5:$X$204,124)=0,"",INDEX(ERP导入清单!R:R,IFERROR(MATCH(124,ERP导入清单!$X$5:$X$204,0)+4,"")))</f>
        <v/>
      </c>
      <c r="S128" s="37" t="str">
        <f>IF(COUNTIF(ERP导入清单!$X$5:$X$204,124)=0,"",INDEX(ERP导入清单!S:S,IFERROR(MATCH(124,ERP导入清单!$X$5:$X$204,0)+4,"")))</f>
        <v/>
      </c>
      <c r="T128" s="37" t="str">
        <f>IF(COUNTIF(ERP导入清单!$X$5:$X$204,124)=0,"",INDEX(ERP导入清单!T:T,IFERROR(MATCH(124,ERP导入清单!$X$5:$X$204,0)+4,"")))</f>
        <v/>
      </c>
      <c r="U128" s="37" t="str">
        <f>IF(COUNTIF(ERP导入清单!$X$5:$X$204,124)=0,"",INDEX(ERP导入清单!U:U,IFERROR(MATCH(124,ERP导入清单!$X$5:$X$204,0)+4,"")))</f>
        <v/>
      </c>
      <c r="V128" s="38" t="str">
        <f>IF(COUNTIF(ERP导入清单!$X$5:$X$204,124)=0,"",INDEX(ERP导入清单!V:V,IFERROR(MATCH(124,ERP导入清单!$X$5:$X$204,0)+4,"")))</f>
        <v/>
      </c>
      <c r="W128" s="50" t="str">
        <f>IF(COUNTIF(ERP导入清单!$X$5:$X$204,124)=0,"",INDEX(ERP导入清单!W:W,IFERROR(MATCH(124,ERP导入清单!$X$5:$X$204,0)+4,"")))</f>
        <v/>
      </c>
    </row>
    <row r="129" spans="1:23" ht="24" customHeight="1">
      <c r="A129" s="55" t="str">
        <f>IF(COUNTIF(ERP导入清单!$X$5:$X$204,125)=0,"",INDEX(ERP导入清单!A:A,IFERROR(MATCH(125,ERP导入清单!$X$5:$X$204,0)+4,"")))</f>
        <v/>
      </c>
      <c r="B129" s="37" t="str">
        <f>IF(COUNTIF(ERP导入清单!$X$5:$X$204,125)=0,"",INDEX(ERP导入清单!B:B,IFERROR(MATCH(125,ERP导入清单!$X$5:$X$204,0)+4,"")))</f>
        <v/>
      </c>
      <c r="C129" s="38" t="str">
        <f>IF(COUNTIF(ERP导入清单!$X$5:$X$204,125)=0,"",INDEX(ERP导入清单!C:C,IFERROR(MATCH(125,ERP导入清单!$X$5:$X$204,0)+4,"")))</f>
        <v/>
      </c>
      <c r="D129" s="37" t="str">
        <f>IF(COUNTIF(ERP导入清单!$X$5:$X$204,125)=0,"",INDEX(ERP导入清单!D:D,IFERROR(MATCH(125,ERP导入清单!$X$5:$X$204,0)+4,"")))</f>
        <v/>
      </c>
      <c r="E129" s="37" t="str">
        <f>IF(COUNTIF(ERP导入清单!$X$5:$X$204,125)=0,"",INDEX(ERP导入清单!E:E,IFERROR(MATCH(125,ERP导入清单!$X$5:$X$204,0)+4,"")))</f>
        <v/>
      </c>
      <c r="F129" s="37" t="str">
        <f>IF(COUNTIF(ERP导入清单!$X$5:$X$204,125)=0,"",INDEX(ERP导入清单!F:F,IFERROR(MATCH(125,ERP导入清单!$X$5:$X$204,0)+4,"")))</f>
        <v/>
      </c>
      <c r="G129" s="57" t="str">
        <f>IF(COUNTIF(ERP导入清单!$X$5:$X$204,125)=0,"",INDEX(ERP导入清单!G:G,IFERROR(MATCH(125,ERP导入清单!$X$5:$X$204,0)+4,"")))</f>
        <v/>
      </c>
      <c r="H129" s="37" t="str">
        <f>IF(COUNTIF(ERP导入清单!$X$5:$X$204,125)=0,"",INDEX(ERP导入清单!H:H,IFERROR(MATCH(125,ERP导入清单!$X$5:$X$204,0)+4,"")))</f>
        <v/>
      </c>
      <c r="I129" s="57" t="str">
        <f>IF(COUNTIF(ERP导入清单!$X$5:$X$204,125)=0,"",INDEX(ERP导入清单!I:I,IFERROR(MATCH(125,ERP导入清单!$X$5:$X$204,0)+4,"")))</f>
        <v/>
      </c>
      <c r="J129" s="57" t="str">
        <f>IF(COUNTIF(ERP导入清单!$X$5:$X$204,125)=0,"",INDEX(ERP导入清单!J:J,IFERROR(MATCH(125,ERP导入清单!$X$5:$X$204,0)+4,"")))</f>
        <v/>
      </c>
      <c r="K129" s="37" t="str">
        <f>IF(COUNTIF(ERP导入清单!$X$5:$X$204,125)=0,"",INDEX(ERP导入清单!K:K,IFERROR(MATCH(125,ERP导入清单!$X$5:$X$204,0)+4,"")))</f>
        <v/>
      </c>
      <c r="L129" s="37" t="str">
        <f>IF(COUNTIF(ERP导入清单!$X$5:$X$204,125)=0,"",INDEX(ERP导入清单!L:L,IFERROR(MATCH(125,ERP导入清单!$X$5:$X$204,0)+4,"")))</f>
        <v/>
      </c>
      <c r="M129" s="37" t="str">
        <f>IF(COUNTIF(ERP导入清单!$X$5:$X$204,125)=0,"",INDEX(ERP导入清单!M:M,IFERROR(MATCH(125,ERP导入清单!$X$5:$X$204,0)+4,"")))</f>
        <v/>
      </c>
      <c r="N129" s="37" t="str">
        <f>IF(COUNTIF(ERP导入清单!$X$5:$X$204,125)=0,"",INDEX(ERP导入清单!N:N,IFERROR(MATCH(125,ERP导入清单!$X$5:$X$204,0)+4,"")))</f>
        <v/>
      </c>
      <c r="O129" s="37" t="str">
        <f>IF(COUNTIF(ERP导入清单!$X$5:$X$204,125)=0,"",INDEX(ERP导入清单!O:O,IFERROR(MATCH(125,ERP导入清单!$X$5:$X$204,0)+4,"")))</f>
        <v/>
      </c>
      <c r="P129" s="39" t="str">
        <f>IF(COUNTIF(ERP导入清单!$X$5:$X$204,125)=0,"",INDEX(ERP导入清单!P:P,IFERROR(MATCH(125,ERP导入清单!$X$5:$X$204,0)+4,"")))</f>
        <v/>
      </c>
      <c r="Q129" s="39" t="str">
        <f>IF(COUNTIF(ERP导入清单!$X$5:$X$204,125)=0,"",INDEX(ERP导入清单!Q:Q,IFERROR(MATCH(125,ERP导入清单!$X$5:$X$204,0)+4,"")))</f>
        <v/>
      </c>
      <c r="R129" s="59" t="str">
        <f>IF(COUNTIF(ERP导入清单!$X$5:$X$204,125)=0,"",INDEX(ERP导入清单!R:R,IFERROR(MATCH(125,ERP导入清单!$X$5:$X$204,0)+4,"")))</f>
        <v/>
      </c>
      <c r="S129" s="37" t="str">
        <f>IF(COUNTIF(ERP导入清单!$X$5:$X$204,125)=0,"",INDEX(ERP导入清单!S:S,IFERROR(MATCH(125,ERP导入清单!$X$5:$X$204,0)+4,"")))</f>
        <v/>
      </c>
      <c r="T129" s="37" t="str">
        <f>IF(COUNTIF(ERP导入清单!$X$5:$X$204,125)=0,"",INDEX(ERP导入清单!T:T,IFERROR(MATCH(125,ERP导入清单!$X$5:$X$204,0)+4,"")))</f>
        <v/>
      </c>
      <c r="U129" s="37" t="str">
        <f>IF(COUNTIF(ERP导入清单!$X$5:$X$204,125)=0,"",INDEX(ERP导入清单!U:U,IFERROR(MATCH(125,ERP导入清单!$X$5:$X$204,0)+4,"")))</f>
        <v/>
      </c>
      <c r="V129" s="38" t="str">
        <f>IF(COUNTIF(ERP导入清单!$X$5:$X$204,125)=0,"",INDEX(ERP导入清单!V:V,IFERROR(MATCH(125,ERP导入清单!$X$5:$X$204,0)+4,"")))</f>
        <v/>
      </c>
      <c r="W129" s="50" t="str">
        <f>IF(COUNTIF(ERP导入清单!$X$5:$X$204,125)=0,"",INDEX(ERP导入清单!W:W,IFERROR(MATCH(125,ERP导入清单!$X$5:$X$204,0)+4,"")))</f>
        <v/>
      </c>
    </row>
    <row r="130" spans="1:23" ht="24" customHeight="1">
      <c r="A130" s="55" t="str">
        <f>IF(COUNTIF(ERP导入清单!$X$5:$X$204,126)=0,"",INDEX(ERP导入清单!A:A,IFERROR(MATCH(126,ERP导入清单!$X$5:$X$204,0)+4,"")))</f>
        <v/>
      </c>
      <c r="B130" s="37" t="str">
        <f>IF(COUNTIF(ERP导入清单!$X$5:$X$204,126)=0,"",INDEX(ERP导入清单!B:B,IFERROR(MATCH(126,ERP导入清单!$X$5:$X$204,0)+4,"")))</f>
        <v/>
      </c>
      <c r="C130" s="38" t="str">
        <f>IF(COUNTIF(ERP导入清单!$X$5:$X$204,126)=0,"",INDEX(ERP导入清单!C:C,IFERROR(MATCH(126,ERP导入清单!$X$5:$X$204,0)+4,"")))</f>
        <v/>
      </c>
      <c r="D130" s="37" t="str">
        <f>IF(COUNTIF(ERP导入清单!$X$5:$X$204,126)=0,"",INDEX(ERP导入清单!D:D,IFERROR(MATCH(126,ERP导入清单!$X$5:$X$204,0)+4,"")))</f>
        <v/>
      </c>
      <c r="E130" s="37" t="str">
        <f>IF(COUNTIF(ERP导入清单!$X$5:$X$204,126)=0,"",INDEX(ERP导入清单!E:E,IFERROR(MATCH(126,ERP导入清单!$X$5:$X$204,0)+4,"")))</f>
        <v/>
      </c>
      <c r="F130" s="37" t="str">
        <f>IF(COUNTIF(ERP导入清单!$X$5:$X$204,126)=0,"",INDEX(ERP导入清单!F:F,IFERROR(MATCH(126,ERP导入清单!$X$5:$X$204,0)+4,"")))</f>
        <v/>
      </c>
      <c r="G130" s="57" t="str">
        <f>IF(COUNTIF(ERP导入清单!$X$5:$X$204,126)=0,"",INDEX(ERP导入清单!G:G,IFERROR(MATCH(126,ERP导入清单!$X$5:$X$204,0)+4,"")))</f>
        <v/>
      </c>
      <c r="H130" s="37" t="str">
        <f>IF(COUNTIF(ERP导入清单!$X$5:$X$204,126)=0,"",INDEX(ERP导入清单!H:H,IFERROR(MATCH(126,ERP导入清单!$X$5:$X$204,0)+4,"")))</f>
        <v/>
      </c>
      <c r="I130" s="57" t="str">
        <f>IF(COUNTIF(ERP导入清单!$X$5:$X$204,126)=0,"",INDEX(ERP导入清单!I:I,IFERROR(MATCH(126,ERP导入清单!$X$5:$X$204,0)+4,"")))</f>
        <v/>
      </c>
      <c r="J130" s="57" t="str">
        <f>IF(COUNTIF(ERP导入清单!$X$5:$X$204,126)=0,"",INDEX(ERP导入清单!J:J,IFERROR(MATCH(126,ERP导入清单!$X$5:$X$204,0)+4,"")))</f>
        <v/>
      </c>
      <c r="K130" s="37" t="str">
        <f>IF(COUNTIF(ERP导入清单!$X$5:$X$204,126)=0,"",INDEX(ERP导入清单!K:K,IFERROR(MATCH(126,ERP导入清单!$X$5:$X$204,0)+4,"")))</f>
        <v/>
      </c>
      <c r="L130" s="37" t="str">
        <f>IF(COUNTIF(ERP导入清单!$X$5:$X$204,126)=0,"",INDEX(ERP导入清单!L:L,IFERROR(MATCH(126,ERP导入清单!$X$5:$X$204,0)+4,"")))</f>
        <v/>
      </c>
      <c r="M130" s="37" t="str">
        <f>IF(COUNTIF(ERP导入清单!$X$5:$X$204,126)=0,"",INDEX(ERP导入清单!M:M,IFERROR(MATCH(126,ERP导入清单!$X$5:$X$204,0)+4,"")))</f>
        <v/>
      </c>
      <c r="N130" s="37" t="str">
        <f>IF(COUNTIF(ERP导入清单!$X$5:$X$204,126)=0,"",INDEX(ERP导入清单!N:N,IFERROR(MATCH(126,ERP导入清单!$X$5:$X$204,0)+4,"")))</f>
        <v/>
      </c>
      <c r="O130" s="37" t="str">
        <f>IF(COUNTIF(ERP导入清单!$X$5:$X$204,126)=0,"",INDEX(ERP导入清单!O:O,IFERROR(MATCH(126,ERP导入清单!$X$5:$X$204,0)+4,"")))</f>
        <v/>
      </c>
      <c r="P130" s="39" t="str">
        <f>IF(COUNTIF(ERP导入清单!$X$5:$X$204,126)=0,"",INDEX(ERP导入清单!P:P,IFERROR(MATCH(126,ERP导入清单!$X$5:$X$204,0)+4,"")))</f>
        <v/>
      </c>
      <c r="Q130" s="39" t="str">
        <f>IF(COUNTIF(ERP导入清单!$X$5:$X$204,126)=0,"",INDEX(ERP导入清单!Q:Q,IFERROR(MATCH(126,ERP导入清单!$X$5:$X$204,0)+4,"")))</f>
        <v/>
      </c>
      <c r="R130" s="59" t="str">
        <f>IF(COUNTIF(ERP导入清单!$X$5:$X$204,126)=0,"",INDEX(ERP导入清单!R:R,IFERROR(MATCH(126,ERP导入清单!$X$5:$X$204,0)+4,"")))</f>
        <v/>
      </c>
      <c r="S130" s="37" t="str">
        <f>IF(COUNTIF(ERP导入清单!$X$5:$X$204,126)=0,"",INDEX(ERP导入清单!S:S,IFERROR(MATCH(126,ERP导入清单!$X$5:$X$204,0)+4,"")))</f>
        <v/>
      </c>
      <c r="T130" s="37" t="str">
        <f>IF(COUNTIF(ERP导入清单!$X$5:$X$204,126)=0,"",INDEX(ERP导入清单!T:T,IFERROR(MATCH(126,ERP导入清单!$X$5:$X$204,0)+4,"")))</f>
        <v/>
      </c>
      <c r="U130" s="37" t="str">
        <f>IF(COUNTIF(ERP导入清单!$X$5:$X$204,126)=0,"",INDEX(ERP导入清单!U:U,IFERROR(MATCH(126,ERP导入清单!$X$5:$X$204,0)+4,"")))</f>
        <v/>
      </c>
      <c r="V130" s="38" t="str">
        <f>IF(COUNTIF(ERP导入清单!$X$5:$X$204,126)=0,"",INDEX(ERP导入清单!V:V,IFERROR(MATCH(126,ERP导入清单!$X$5:$X$204,0)+4,"")))</f>
        <v/>
      </c>
      <c r="W130" s="50" t="str">
        <f>IF(COUNTIF(ERP导入清单!$X$5:$X$204,126)=0,"",INDEX(ERP导入清单!W:W,IFERROR(MATCH(126,ERP导入清单!$X$5:$X$204,0)+4,"")))</f>
        <v/>
      </c>
    </row>
    <row r="131" spans="1:23" ht="24" customHeight="1">
      <c r="A131" s="55" t="str">
        <f>IF(COUNTIF(ERP导入清单!$X$5:$X$204,127)=0,"",INDEX(ERP导入清单!A:A,IFERROR(MATCH(127,ERP导入清单!$X$5:$X$204,0)+4,"")))</f>
        <v/>
      </c>
      <c r="B131" s="37" t="str">
        <f>IF(COUNTIF(ERP导入清单!$X$5:$X$204,127)=0,"",INDEX(ERP导入清单!B:B,IFERROR(MATCH(127,ERP导入清单!$X$5:$X$204,0)+4,"")))</f>
        <v/>
      </c>
      <c r="C131" s="38" t="str">
        <f>IF(COUNTIF(ERP导入清单!$X$5:$X$204,127)=0,"",INDEX(ERP导入清单!C:C,IFERROR(MATCH(127,ERP导入清单!$X$5:$X$204,0)+4,"")))</f>
        <v/>
      </c>
      <c r="D131" s="37" t="str">
        <f>IF(COUNTIF(ERP导入清单!$X$5:$X$204,127)=0,"",INDEX(ERP导入清单!D:D,IFERROR(MATCH(127,ERP导入清单!$X$5:$X$204,0)+4,"")))</f>
        <v/>
      </c>
      <c r="E131" s="37" t="str">
        <f>IF(COUNTIF(ERP导入清单!$X$5:$X$204,127)=0,"",INDEX(ERP导入清单!E:E,IFERROR(MATCH(127,ERP导入清单!$X$5:$X$204,0)+4,"")))</f>
        <v/>
      </c>
      <c r="F131" s="37" t="str">
        <f>IF(COUNTIF(ERP导入清单!$X$5:$X$204,127)=0,"",INDEX(ERP导入清单!F:F,IFERROR(MATCH(127,ERP导入清单!$X$5:$X$204,0)+4,"")))</f>
        <v/>
      </c>
      <c r="G131" s="57" t="str">
        <f>IF(COUNTIF(ERP导入清单!$X$5:$X$204,127)=0,"",INDEX(ERP导入清单!G:G,IFERROR(MATCH(127,ERP导入清单!$X$5:$X$204,0)+4,"")))</f>
        <v/>
      </c>
      <c r="H131" s="37" t="str">
        <f>IF(COUNTIF(ERP导入清单!$X$5:$X$204,127)=0,"",INDEX(ERP导入清单!H:H,IFERROR(MATCH(127,ERP导入清单!$X$5:$X$204,0)+4,"")))</f>
        <v/>
      </c>
      <c r="I131" s="57" t="str">
        <f>IF(COUNTIF(ERP导入清单!$X$5:$X$204,127)=0,"",INDEX(ERP导入清单!I:I,IFERROR(MATCH(127,ERP导入清单!$X$5:$X$204,0)+4,"")))</f>
        <v/>
      </c>
      <c r="J131" s="57" t="str">
        <f>IF(COUNTIF(ERP导入清单!$X$5:$X$204,127)=0,"",INDEX(ERP导入清单!J:J,IFERROR(MATCH(127,ERP导入清单!$X$5:$X$204,0)+4,"")))</f>
        <v/>
      </c>
      <c r="K131" s="37" t="str">
        <f>IF(COUNTIF(ERP导入清单!$X$5:$X$204,127)=0,"",INDEX(ERP导入清单!K:K,IFERROR(MATCH(127,ERP导入清单!$X$5:$X$204,0)+4,"")))</f>
        <v/>
      </c>
      <c r="L131" s="37" t="str">
        <f>IF(COUNTIF(ERP导入清单!$X$5:$X$204,127)=0,"",INDEX(ERP导入清单!L:L,IFERROR(MATCH(127,ERP导入清单!$X$5:$X$204,0)+4,"")))</f>
        <v/>
      </c>
      <c r="M131" s="37" t="str">
        <f>IF(COUNTIF(ERP导入清单!$X$5:$X$204,127)=0,"",INDEX(ERP导入清单!M:M,IFERROR(MATCH(127,ERP导入清单!$X$5:$X$204,0)+4,"")))</f>
        <v/>
      </c>
      <c r="N131" s="37" t="str">
        <f>IF(COUNTIF(ERP导入清单!$X$5:$X$204,127)=0,"",INDEX(ERP导入清单!N:N,IFERROR(MATCH(127,ERP导入清单!$X$5:$X$204,0)+4,"")))</f>
        <v/>
      </c>
      <c r="O131" s="37" t="str">
        <f>IF(COUNTIF(ERP导入清单!$X$5:$X$204,127)=0,"",INDEX(ERP导入清单!O:O,IFERROR(MATCH(127,ERP导入清单!$X$5:$X$204,0)+4,"")))</f>
        <v/>
      </c>
      <c r="P131" s="39" t="str">
        <f>IF(COUNTIF(ERP导入清单!$X$5:$X$204,127)=0,"",INDEX(ERP导入清单!P:P,IFERROR(MATCH(127,ERP导入清单!$X$5:$X$204,0)+4,"")))</f>
        <v/>
      </c>
      <c r="Q131" s="39" t="str">
        <f>IF(COUNTIF(ERP导入清单!$X$5:$X$204,127)=0,"",INDEX(ERP导入清单!Q:Q,IFERROR(MATCH(127,ERP导入清单!$X$5:$X$204,0)+4,"")))</f>
        <v/>
      </c>
      <c r="R131" s="59" t="str">
        <f>IF(COUNTIF(ERP导入清单!$X$5:$X$204,127)=0,"",INDEX(ERP导入清单!R:R,IFERROR(MATCH(127,ERP导入清单!$X$5:$X$204,0)+4,"")))</f>
        <v/>
      </c>
      <c r="S131" s="37" t="str">
        <f>IF(COUNTIF(ERP导入清单!$X$5:$X$204,127)=0,"",INDEX(ERP导入清单!S:S,IFERROR(MATCH(127,ERP导入清单!$X$5:$X$204,0)+4,"")))</f>
        <v/>
      </c>
      <c r="T131" s="37" t="str">
        <f>IF(COUNTIF(ERP导入清单!$X$5:$X$204,127)=0,"",INDEX(ERP导入清单!T:T,IFERROR(MATCH(127,ERP导入清单!$X$5:$X$204,0)+4,"")))</f>
        <v/>
      </c>
      <c r="U131" s="37" t="str">
        <f>IF(COUNTIF(ERP导入清单!$X$5:$X$204,127)=0,"",INDEX(ERP导入清单!U:U,IFERROR(MATCH(127,ERP导入清单!$X$5:$X$204,0)+4,"")))</f>
        <v/>
      </c>
      <c r="V131" s="38" t="str">
        <f>IF(COUNTIF(ERP导入清单!$X$5:$X$204,127)=0,"",INDEX(ERP导入清单!V:V,IFERROR(MATCH(127,ERP导入清单!$X$5:$X$204,0)+4,"")))</f>
        <v/>
      </c>
      <c r="W131" s="50" t="str">
        <f>IF(COUNTIF(ERP导入清单!$X$5:$X$204,127)=0,"",INDEX(ERP导入清单!W:W,IFERROR(MATCH(127,ERP导入清单!$X$5:$X$204,0)+4,"")))</f>
        <v/>
      </c>
    </row>
    <row r="132" spans="1:23" ht="24" customHeight="1">
      <c r="A132" s="55" t="str">
        <f>IF(COUNTIF(ERP导入清单!$X$5:$X$204,128)=0,"",INDEX(ERP导入清单!A:A,IFERROR(MATCH(128,ERP导入清单!$X$5:$X$204,0)+4,"")))</f>
        <v/>
      </c>
      <c r="B132" s="37" t="str">
        <f>IF(COUNTIF(ERP导入清单!$X$5:$X$204,128)=0,"",INDEX(ERP导入清单!B:B,IFERROR(MATCH(128,ERP导入清单!$X$5:$X$204,0)+4,"")))</f>
        <v/>
      </c>
      <c r="C132" s="38" t="str">
        <f>IF(COUNTIF(ERP导入清单!$X$5:$X$204,128)=0,"",INDEX(ERP导入清单!C:C,IFERROR(MATCH(128,ERP导入清单!$X$5:$X$204,0)+4,"")))</f>
        <v/>
      </c>
      <c r="D132" s="37" t="str">
        <f>IF(COUNTIF(ERP导入清单!$X$5:$X$204,128)=0,"",INDEX(ERP导入清单!D:D,IFERROR(MATCH(128,ERP导入清单!$X$5:$X$204,0)+4,"")))</f>
        <v/>
      </c>
      <c r="E132" s="37" t="str">
        <f>IF(COUNTIF(ERP导入清单!$X$5:$X$204,128)=0,"",INDEX(ERP导入清单!E:E,IFERROR(MATCH(128,ERP导入清单!$X$5:$X$204,0)+4,"")))</f>
        <v/>
      </c>
      <c r="F132" s="37" t="str">
        <f>IF(COUNTIF(ERP导入清单!$X$5:$X$204,128)=0,"",INDEX(ERP导入清单!F:F,IFERROR(MATCH(128,ERP导入清单!$X$5:$X$204,0)+4,"")))</f>
        <v/>
      </c>
      <c r="G132" s="57" t="str">
        <f>IF(COUNTIF(ERP导入清单!$X$5:$X$204,128)=0,"",INDEX(ERP导入清单!G:G,IFERROR(MATCH(128,ERP导入清单!$X$5:$X$204,0)+4,"")))</f>
        <v/>
      </c>
      <c r="H132" s="37" t="str">
        <f>IF(COUNTIF(ERP导入清单!$X$5:$X$204,128)=0,"",INDEX(ERP导入清单!H:H,IFERROR(MATCH(128,ERP导入清单!$X$5:$X$204,0)+4,"")))</f>
        <v/>
      </c>
      <c r="I132" s="57" t="str">
        <f>IF(COUNTIF(ERP导入清单!$X$5:$X$204,128)=0,"",INDEX(ERP导入清单!I:I,IFERROR(MATCH(128,ERP导入清单!$X$5:$X$204,0)+4,"")))</f>
        <v/>
      </c>
      <c r="J132" s="57" t="str">
        <f>IF(COUNTIF(ERP导入清单!$X$5:$X$204,128)=0,"",INDEX(ERP导入清单!J:J,IFERROR(MATCH(128,ERP导入清单!$X$5:$X$204,0)+4,"")))</f>
        <v/>
      </c>
      <c r="K132" s="37" t="str">
        <f>IF(COUNTIF(ERP导入清单!$X$5:$X$204,128)=0,"",INDEX(ERP导入清单!K:K,IFERROR(MATCH(128,ERP导入清单!$X$5:$X$204,0)+4,"")))</f>
        <v/>
      </c>
      <c r="L132" s="37" t="str">
        <f>IF(COUNTIF(ERP导入清单!$X$5:$X$204,128)=0,"",INDEX(ERP导入清单!L:L,IFERROR(MATCH(128,ERP导入清单!$X$5:$X$204,0)+4,"")))</f>
        <v/>
      </c>
      <c r="M132" s="37" t="str">
        <f>IF(COUNTIF(ERP导入清单!$X$5:$X$204,128)=0,"",INDEX(ERP导入清单!M:M,IFERROR(MATCH(128,ERP导入清单!$X$5:$X$204,0)+4,"")))</f>
        <v/>
      </c>
      <c r="N132" s="37" t="str">
        <f>IF(COUNTIF(ERP导入清单!$X$5:$X$204,128)=0,"",INDEX(ERP导入清单!N:N,IFERROR(MATCH(128,ERP导入清单!$X$5:$X$204,0)+4,"")))</f>
        <v/>
      </c>
      <c r="O132" s="37" t="str">
        <f>IF(COUNTIF(ERP导入清单!$X$5:$X$204,128)=0,"",INDEX(ERP导入清单!O:O,IFERROR(MATCH(128,ERP导入清单!$X$5:$X$204,0)+4,"")))</f>
        <v/>
      </c>
      <c r="P132" s="39" t="str">
        <f>IF(COUNTIF(ERP导入清单!$X$5:$X$204,128)=0,"",INDEX(ERP导入清单!P:P,IFERROR(MATCH(128,ERP导入清单!$X$5:$X$204,0)+4,"")))</f>
        <v/>
      </c>
      <c r="Q132" s="39" t="str">
        <f>IF(COUNTIF(ERP导入清单!$X$5:$X$204,128)=0,"",INDEX(ERP导入清单!Q:Q,IFERROR(MATCH(128,ERP导入清单!$X$5:$X$204,0)+4,"")))</f>
        <v/>
      </c>
      <c r="R132" s="59" t="str">
        <f>IF(COUNTIF(ERP导入清单!$X$5:$X$204,128)=0,"",INDEX(ERP导入清单!R:R,IFERROR(MATCH(128,ERP导入清单!$X$5:$X$204,0)+4,"")))</f>
        <v/>
      </c>
      <c r="S132" s="37" t="str">
        <f>IF(COUNTIF(ERP导入清单!$X$5:$X$204,128)=0,"",INDEX(ERP导入清单!S:S,IFERROR(MATCH(128,ERP导入清单!$X$5:$X$204,0)+4,"")))</f>
        <v/>
      </c>
      <c r="T132" s="37" t="str">
        <f>IF(COUNTIF(ERP导入清单!$X$5:$X$204,128)=0,"",INDEX(ERP导入清单!T:T,IFERROR(MATCH(128,ERP导入清单!$X$5:$X$204,0)+4,"")))</f>
        <v/>
      </c>
      <c r="U132" s="37" t="str">
        <f>IF(COUNTIF(ERP导入清单!$X$5:$X$204,128)=0,"",INDEX(ERP导入清单!U:U,IFERROR(MATCH(128,ERP导入清单!$X$5:$X$204,0)+4,"")))</f>
        <v/>
      </c>
      <c r="V132" s="38" t="str">
        <f>IF(COUNTIF(ERP导入清单!$X$5:$X$204,128)=0,"",INDEX(ERP导入清单!V:V,IFERROR(MATCH(128,ERP导入清单!$X$5:$X$204,0)+4,"")))</f>
        <v/>
      </c>
      <c r="W132" s="50" t="str">
        <f>IF(COUNTIF(ERP导入清单!$X$5:$X$204,128)=0,"",INDEX(ERP导入清单!W:W,IFERROR(MATCH(128,ERP导入清单!$X$5:$X$204,0)+4,"")))</f>
        <v/>
      </c>
    </row>
    <row r="133" spans="1:23" ht="24" customHeight="1">
      <c r="A133" s="55" t="str">
        <f>IF(COUNTIF(ERP导入清单!$X$5:$X$204,129)=0,"",INDEX(ERP导入清单!A:A,IFERROR(MATCH(129,ERP导入清单!$X$5:$X$204,0)+4,"")))</f>
        <v/>
      </c>
      <c r="B133" s="37" t="str">
        <f>IF(COUNTIF(ERP导入清单!$X$5:$X$204,129)=0,"",INDEX(ERP导入清单!B:B,IFERROR(MATCH(129,ERP导入清单!$X$5:$X$204,0)+4,"")))</f>
        <v/>
      </c>
      <c r="C133" s="38" t="str">
        <f>IF(COUNTIF(ERP导入清单!$X$5:$X$204,129)=0,"",INDEX(ERP导入清单!C:C,IFERROR(MATCH(129,ERP导入清单!$X$5:$X$204,0)+4,"")))</f>
        <v/>
      </c>
      <c r="D133" s="37" t="str">
        <f>IF(COUNTIF(ERP导入清单!$X$5:$X$204,129)=0,"",INDEX(ERP导入清单!D:D,IFERROR(MATCH(129,ERP导入清单!$X$5:$X$204,0)+4,"")))</f>
        <v/>
      </c>
      <c r="E133" s="37" t="str">
        <f>IF(COUNTIF(ERP导入清单!$X$5:$X$204,129)=0,"",INDEX(ERP导入清单!E:E,IFERROR(MATCH(129,ERP导入清单!$X$5:$X$204,0)+4,"")))</f>
        <v/>
      </c>
      <c r="F133" s="37" t="str">
        <f>IF(COUNTIF(ERP导入清单!$X$5:$X$204,129)=0,"",INDEX(ERP导入清单!F:F,IFERROR(MATCH(129,ERP导入清单!$X$5:$X$204,0)+4,"")))</f>
        <v/>
      </c>
      <c r="G133" s="57" t="str">
        <f>IF(COUNTIF(ERP导入清单!$X$5:$X$204,129)=0,"",INDEX(ERP导入清单!G:G,IFERROR(MATCH(129,ERP导入清单!$X$5:$X$204,0)+4,"")))</f>
        <v/>
      </c>
      <c r="H133" s="37" t="str">
        <f>IF(COUNTIF(ERP导入清单!$X$5:$X$204,129)=0,"",INDEX(ERP导入清单!H:H,IFERROR(MATCH(129,ERP导入清单!$X$5:$X$204,0)+4,"")))</f>
        <v/>
      </c>
      <c r="I133" s="57" t="str">
        <f>IF(COUNTIF(ERP导入清单!$X$5:$X$204,129)=0,"",INDEX(ERP导入清单!I:I,IFERROR(MATCH(129,ERP导入清单!$X$5:$X$204,0)+4,"")))</f>
        <v/>
      </c>
      <c r="J133" s="57" t="str">
        <f>IF(COUNTIF(ERP导入清单!$X$5:$X$204,129)=0,"",INDEX(ERP导入清单!J:J,IFERROR(MATCH(129,ERP导入清单!$X$5:$X$204,0)+4,"")))</f>
        <v/>
      </c>
      <c r="K133" s="37" t="str">
        <f>IF(COUNTIF(ERP导入清单!$X$5:$X$204,129)=0,"",INDEX(ERP导入清单!K:K,IFERROR(MATCH(129,ERP导入清单!$X$5:$X$204,0)+4,"")))</f>
        <v/>
      </c>
      <c r="L133" s="37" t="str">
        <f>IF(COUNTIF(ERP导入清单!$X$5:$X$204,129)=0,"",INDEX(ERP导入清单!L:L,IFERROR(MATCH(129,ERP导入清单!$X$5:$X$204,0)+4,"")))</f>
        <v/>
      </c>
      <c r="M133" s="37" t="str">
        <f>IF(COUNTIF(ERP导入清单!$X$5:$X$204,129)=0,"",INDEX(ERP导入清单!M:M,IFERROR(MATCH(129,ERP导入清单!$X$5:$X$204,0)+4,"")))</f>
        <v/>
      </c>
      <c r="N133" s="37" t="str">
        <f>IF(COUNTIF(ERP导入清单!$X$5:$X$204,129)=0,"",INDEX(ERP导入清单!N:N,IFERROR(MATCH(129,ERP导入清单!$X$5:$X$204,0)+4,"")))</f>
        <v/>
      </c>
      <c r="O133" s="37" t="str">
        <f>IF(COUNTIF(ERP导入清单!$X$5:$X$204,129)=0,"",INDEX(ERP导入清单!O:O,IFERROR(MATCH(129,ERP导入清单!$X$5:$X$204,0)+4,"")))</f>
        <v/>
      </c>
      <c r="P133" s="39" t="str">
        <f>IF(COUNTIF(ERP导入清单!$X$5:$X$204,129)=0,"",INDEX(ERP导入清单!P:P,IFERROR(MATCH(129,ERP导入清单!$X$5:$X$204,0)+4,"")))</f>
        <v/>
      </c>
      <c r="Q133" s="39" t="str">
        <f>IF(COUNTIF(ERP导入清单!$X$5:$X$204,129)=0,"",INDEX(ERP导入清单!Q:Q,IFERROR(MATCH(129,ERP导入清单!$X$5:$X$204,0)+4,"")))</f>
        <v/>
      </c>
      <c r="R133" s="59" t="str">
        <f>IF(COUNTIF(ERP导入清单!$X$5:$X$204,129)=0,"",INDEX(ERP导入清单!R:R,IFERROR(MATCH(129,ERP导入清单!$X$5:$X$204,0)+4,"")))</f>
        <v/>
      </c>
      <c r="S133" s="37" t="str">
        <f>IF(COUNTIF(ERP导入清单!$X$5:$X$204,129)=0,"",INDEX(ERP导入清单!S:S,IFERROR(MATCH(129,ERP导入清单!$X$5:$X$204,0)+4,"")))</f>
        <v/>
      </c>
      <c r="T133" s="37" t="str">
        <f>IF(COUNTIF(ERP导入清单!$X$5:$X$204,129)=0,"",INDEX(ERP导入清单!T:T,IFERROR(MATCH(129,ERP导入清单!$X$5:$X$204,0)+4,"")))</f>
        <v/>
      </c>
      <c r="U133" s="37" t="str">
        <f>IF(COUNTIF(ERP导入清单!$X$5:$X$204,129)=0,"",INDEX(ERP导入清单!U:U,IFERROR(MATCH(129,ERP导入清单!$X$5:$X$204,0)+4,"")))</f>
        <v/>
      </c>
      <c r="V133" s="38" t="str">
        <f>IF(COUNTIF(ERP导入清单!$X$5:$X$204,129)=0,"",INDEX(ERP导入清单!V:V,IFERROR(MATCH(129,ERP导入清单!$X$5:$X$204,0)+4,"")))</f>
        <v/>
      </c>
      <c r="W133" s="50" t="str">
        <f>IF(COUNTIF(ERP导入清单!$X$5:$X$204,129)=0,"",INDEX(ERP导入清单!W:W,IFERROR(MATCH(129,ERP导入清单!$X$5:$X$204,0)+4,"")))</f>
        <v/>
      </c>
    </row>
    <row r="134" spans="1:23" ht="24" customHeight="1">
      <c r="A134" s="55" t="str">
        <f>IF(COUNTIF(ERP导入清单!$X$5:$X$204,130)=0,"",INDEX(ERP导入清单!A:A,IFERROR(MATCH(130,ERP导入清单!$X$5:$X$204,0)+4,"")))</f>
        <v/>
      </c>
      <c r="B134" s="37" t="str">
        <f>IF(COUNTIF(ERP导入清单!$X$5:$X$204,130)=0,"",INDEX(ERP导入清单!B:B,IFERROR(MATCH(130,ERP导入清单!$X$5:$X$204,0)+4,"")))</f>
        <v/>
      </c>
      <c r="C134" s="38" t="str">
        <f>IF(COUNTIF(ERP导入清单!$X$5:$X$204,130)=0,"",INDEX(ERP导入清单!C:C,IFERROR(MATCH(130,ERP导入清单!$X$5:$X$204,0)+4,"")))</f>
        <v/>
      </c>
      <c r="D134" s="37" t="str">
        <f>IF(COUNTIF(ERP导入清单!$X$5:$X$204,130)=0,"",INDEX(ERP导入清单!D:D,IFERROR(MATCH(130,ERP导入清单!$X$5:$X$204,0)+4,"")))</f>
        <v/>
      </c>
      <c r="E134" s="37" t="str">
        <f>IF(COUNTIF(ERP导入清单!$X$5:$X$204,130)=0,"",INDEX(ERP导入清单!E:E,IFERROR(MATCH(130,ERP导入清单!$X$5:$X$204,0)+4,"")))</f>
        <v/>
      </c>
      <c r="F134" s="37" t="str">
        <f>IF(COUNTIF(ERP导入清单!$X$5:$X$204,130)=0,"",INDEX(ERP导入清单!F:F,IFERROR(MATCH(130,ERP导入清单!$X$5:$X$204,0)+4,"")))</f>
        <v/>
      </c>
      <c r="G134" s="57" t="str">
        <f>IF(COUNTIF(ERP导入清单!$X$5:$X$204,130)=0,"",INDEX(ERP导入清单!G:G,IFERROR(MATCH(130,ERP导入清单!$X$5:$X$204,0)+4,"")))</f>
        <v/>
      </c>
      <c r="H134" s="37" t="str">
        <f>IF(COUNTIF(ERP导入清单!$X$5:$X$204,130)=0,"",INDEX(ERP导入清单!H:H,IFERROR(MATCH(130,ERP导入清单!$X$5:$X$204,0)+4,"")))</f>
        <v/>
      </c>
      <c r="I134" s="57" t="str">
        <f>IF(COUNTIF(ERP导入清单!$X$5:$X$204,130)=0,"",INDEX(ERP导入清单!I:I,IFERROR(MATCH(130,ERP导入清单!$X$5:$X$204,0)+4,"")))</f>
        <v/>
      </c>
      <c r="J134" s="57" t="str">
        <f>IF(COUNTIF(ERP导入清单!$X$5:$X$204,130)=0,"",INDEX(ERP导入清单!J:J,IFERROR(MATCH(130,ERP导入清单!$X$5:$X$204,0)+4,"")))</f>
        <v/>
      </c>
      <c r="K134" s="37" t="str">
        <f>IF(COUNTIF(ERP导入清单!$X$5:$X$204,130)=0,"",INDEX(ERP导入清单!K:K,IFERROR(MATCH(130,ERP导入清单!$X$5:$X$204,0)+4,"")))</f>
        <v/>
      </c>
      <c r="L134" s="37" t="str">
        <f>IF(COUNTIF(ERP导入清单!$X$5:$X$204,130)=0,"",INDEX(ERP导入清单!L:L,IFERROR(MATCH(130,ERP导入清单!$X$5:$X$204,0)+4,"")))</f>
        <v/>
      </c>
      <c r="M134" s="37" t="str">
        <f>IF(COUNTIF(ERP导入清单!$X$5:$X$204,130)=0,"",INDEX(ERP导入清单!M:M,IFERROR(MATCH(130,ERP导入清单!$X$5:$X$204,0)+4,"")))</f>
        <v/>
      </c>
      <c r="N134" s="37" t="str">
        <f>IF(COUNTIF(ERP导入清单!$X$5:$X$204,130)=0,"",INDEX(ERP导入清单!N:N,IFERROR(MATCH(130,ERP导入清单!$X$5:$X$204,0)+4,"")))</f>
        <v/>
      </c>
      <c r="O134" s="37" t="str">
        <f>IF(COUNTIF(ERP导入清单!$X$5:$X$204,130)=0,"",INDEX(ERP导入清单!O:O,IFERROR(MATCH(130,ERP导入清单!$X$5:$X$204,0)+4,"")))</f>
        <v/>
      </c>
      <c r="P134" s="39" t="str">
        <f>IF(COUNTIF(ERP导入清单!$X$5:$X$204,130)=0,"",INDEX(ERP导入清单!P:P,IFERROR(MATCH(130,ERP导入清单!$X$5:$X$204,0)+4,"")))</f>
        <v/>
      </c>
      <c r="Q134" s="39" t="str">
        <f>IF(COUNTIF(ERP导入清单!$X$5:$X$204,130)=0,"",INDEX(ERP导入清单!Q:Q,IFERROR(MATCH(130,ERP导入清单!$X$5:$X$204,0)+4,"")))</f>
        <v/>
      </c>
      <c r="R134" s="59" t="str">
        <f>IF(COUNTIF(ERP导入清单!$X$5:$X$204,130)=0,"",INDEX(ERP导入清单!R:R,IFERROR(MATCH(130,ERP导入清单!$X$5:$X$204,0)+4,"")))</f>
        <v/>
      </c>
      <c r="S134" s="37" t="str">
        <f>IF(COUNTIF(ERP导入清单!$X$5:$X$204,130)=0,"",INDEX(ERP导入清单!S:S,IFERROR(MATCH(130,ERP导入清单!$X$5:$X$204,0)+4,"")))</f>
        <v/>
      </c>
      <c r="T134" s="37" t="str">
        <f>IF(COUNTIF(ERP导入清单!$X$5:$X$204,130)=0,"",INDEX(ERP导入清单!T:T,IFERROR(MATCH(130,ERP导入清单!$X$5:$X$204,0)+4,"")))</f>
        <v/>
      </c>
      <c r="U134" s="37" t="str">
        <f>IF(COUNTIF(ERP导入清单!$X$5:$X$204,130)=0,"",INDEX(ERP导入清单!U:U,IFERROR(MATCH(130,ERP导入清单!$X$5:$X$204,0)+4,"")))</f>
        <v/>
      </c>
      <c r="V134" s="38" t="str">
        <f>IF(COUNTIF(ERP导入清单!$X$5:$X$204,130)=0,"",INDEX(ERP导入清单!V:V,IFERROR(MATCH(130,ERP导入清单!$X$5:$X$204,0)+4,"")))</f>
        <v/>
      </c>
      <c r="W134" s="50" t="str">
        <f>IF(COUNTIF(ERP导入清单!$X$5:$X$204,130)=0,"",INDEX(ERP导入清单!W:W,IFERROR(MATCH(130,ERP导入清单!$X$5:$X$204,0)+4,"")))</f>
        <v/>
      </c>
    </row>
    <row r="135" spans="1:23" ht="24" customHeight="1">
      <c r="A135" s="55" t="str">
        <f>IF(COUNTIF(ERP导入清单!$X$5:$X$204,131)=0,"",INDEX(ERP导入清单!A:A,IFERROR(MATCH(131,ERP导入清单!$X$5:$X$204,0)+4,"")))</f>
        <v/>
      </c>
      <c r="B135" s="37" t="str">
        <f>IF(COUNTIF(ERP导入清单!$X$5:$X$204,131)=0,"",INDEX(ERP导入清单!B:B,IFERROR(MATCH(131,ERP导入清单!$X$5:$X$204,0)+4,"")))</f>
        <v/>
      </c>
      <c r="C135" s="38" t="str">
        <f>IF(COUNTIF(ERP导入清单!$X$5:$X$204,131)=0,"",INDEX(ERP导入清单!C:C,IFERROR(MATCH(131,ERP导入清单!$X$5:$X$204,0)+4,"")))</f>
        <v/>
      </c>
      <c r="D135" s="37" t="str">
        <f>IF(COUNTIF(ERP导入清单!$X$5:$X$204,131)=0,"",INDEX(ERP导入清单!D:D,IFERROR(MATCH(131,ERP导入清单!$X$5:$X$204,0)+4,"")))</f>
        <v/>
      </c>
      <c r="E135" s="37" t="str">
        <f>IF(COUNTIF(ERP导入清单!$X$5:$X$204,131)=0,"",INDEX(ERP导入清单!E:E,IFERROR(MATCH(131,ERP导入清单!$X$5:$X$204,0)+4,"")))</f>
        <v/>
      </c>
      <c r="F135" s="37" t="str">
        <f>IF(COUNTIF(ERP导入清单!$X$5:$X$204,131)=0,"",INDEX(ERP导入清单!F:F,IFERROR(MATCH(131,ERP导入清单!$X$5:$X$204,0)+4,"")))</f>
        <v/>
      </c>
      <c r="G135" s="57" t="str">
        <f>IF(COUNTIF(ERP导入清单!$X$5:$X$204,131)=0,"",INDEX(ERP导入清单!G:G,IFERROR(MATCH(131,ERP导入清单!$X$5:$X$204,0)+4,"")))</f>
        <v/>
      </c>
      <c r="H135" s="37" t="str">
        <f>IF(COUNTIF(ERP导入清单!$X$5:$X$204,131)=0,"",INDEX(ERP导入清单!H:H,IFERROR(MATCH(131,ERP导入清单!$X$5:$X$204,0)+4,"")))</f>
        <v/>
      </c>
      <c r="I135" s="57" t="str">
        <f>IF(COUNTIF(ERP导入清单!$X$5:$X$204,131)=0,"",INDEX(ERP导入清单!I:I,IFERROR(MATCH(131,ERP导入清单!$X$5:$X$204,0)+4,"")))</f>
        <v/>
      </c>
      <c r="J135" s="57" t="str">
        <f>IF(COUNTIF(ERP导入清单!$X$5:$X$204,131)=0,"",INDEX(ERP导入清单!J:J,IFERROR(MATCH(131,ERP导入清单!$X$5:$X$204,0)+4,"")))</f>
        <v/>
      </c>
      <c r="K135" s="37" t="str">
        <f>IF(COUNTIF(ERP导入清单!$X$5:$X$204,131)=0,"",INDEX(ERP导入清单!K:K,IFERROR(MATCH(131,ERP导入清单!$X$5:$X$204,0)+4,"")))</f>
        <v/>
      </c>
      <c r="L135" s="37" t="str">
        <f>IF(COUNTIF(ERP导入清单!$X$5:$X$204,131)=0,"",INDEX(ERP导入清单!L:L,IFERROR(MATCH(131,ERP导入清单!$X$5:$X$204,0)+4,"")))</f>
        <v/>
      </c>
      <c r="M135" s="37" t="str">
        <f>IF(COUNTIF(ERP导入清单!$X$5:$X$204,131)=0,"",INDEX(ERP导入清单!M:M,IFERROR(MATCH(131,ERP导入清单!$X$5:$X$204,0)+4,"")))</f>
        <v/>
      </c>
      <c r="N135" s="37" t="str">
        <f>IF(COUNTIF(ERP导入清单!$X$5:$X$204,131)=0,"",INDEX(ERP导入清单!N:N,IFERROR(MATCH(131,ERP导入清单!$X$5:$X$204,0)+4,"")))</f>
        <v/>
      </c>
      <c r="O135" s="37" t="str">
        <f>IF(COUNTIF(ERP导入清单!$X$5:$X$204,131)=0,"",INDEX(ERP导入清单!O:O,IFERROR(MATCH(131,ERP导入清单!$X$5:$X$204,0)+4,"")))</f>
        <v/>
      </c>
      <c r="P135" s="39" t="str">
        <f>IF(COUNTIF(ERP导入清单!$X$5:$X$204,131)=0,"",INDEX(ERP导入清单!P:P,IFERROR(MATCH(131,ERP导入清单!$X$5:$X$204,0)+4,"")))</f>
        <v/>
      </c>
      <c r="Q135" s="39" t="str">
        <f>IF(COUNTIF(ERP导入清单!$X$5:$X$204,131)=0,"",INDEX(ERP导入清单!Q:Q,IFERROR(MATCH(131,ERP导入清单!$X$5:$X$204,0)+4,"")))</f>
        <v/>
      </c>
      <c r="R135" s="59" t="str">
        <f>IF(COUNTIF(ERP导入清单!$X$5:$X$204,131)=0,"",INDEX(ERP导入清单!R:R,IFERROR(MATCH(131,ERP导入清单!$X$5:$X$204,0)+4,"")))</f>
        <v/>
      </c>
      <c r="S135" s="37" t="str">
        <f>IF(COUNTIF(ERP导入清单!$X$5:$X$204,131)=0,"",INDEX(ERP导入清单!S:S,IFERROR(MATCH(131,ERP导入清单!$X$5:$X$204,0)+4,"")))</f>
        <v/>
      </c>
      <c r="T135" s="37" t="str">
        <f>IF(COUNTIF(ERP导入清单!$X$5:$X$204,131)=0,"",INDEX(ERP导入清单!T:T,IFERROR(MATCH(131,ERP导入清单!$X$5:$X$204,0)+4,"")))</f>
        <v/>
      </c>
      <c r="U135" s="37" t="str">
        <f>IF(COUNTIF(ERP导入清单!$X$5:$X$204,131)=0,"",INDEX(ERP导入清单!U:U,IFERROR(MATCH(131,ERP导入清单!$X$5:$X$204,0)+4,"")))</f>
        <v/>
      </c>
      <c r="V135" s="38" t="str">
        <f>IF(COUNTIF(ERP导入清单!$X$5:$X$204,131)=0,"",INDEX(ERP导入清单!V:V,IFERROR(MATCH(131,ERP导入清单!$X$5:$X$204,0)+4,"")))</f>
        <v/>
      </c>
      <c r="W135" s="50" t="str">
        <f>IF(COUNTIF(ERP导入清单!$X$5:$X$204,131)=0,"",INDEX(ERP导入清单!W:W,IFERROR(MATCH(131,ERP导入清单!$X$5:$X$204,0)+4,"")))</f>
        <v/>
      </c>
    </row>
    <row r="136" spans="1:23" ht="24" customHeight="1">
      <c r="A136" s="55" t="str">
        <f>IF(COUNTIF(ERP导入清单!$X$5:$X$204,132)=0,"",INDEX(ERP导入清单!A:A,IFERROR(MATCH(132,ERP导入清单!$X$5:$X$204,0)+4,"")))</f>
        <v/>
      </c>
      <c r="B136" s="37" t="str">
        <f>IF(COUNTIF(ERP导入清单!$X$5:$X$204,132)=0,"",INDEX(ERP导入清单!B:B,IFERROR(MATCH(132,ERP导入清单!$X$5:$X$204,0)+4,"")))</f>
        <v/>
      </c>
      <c r="C136" s="38" t="str">
        <f>IF(COUNTIF(ERP导入清单!$X$5:$X$204,132)=0,"",INDEX(ERP导入清单!C:C,IFERROR(MATCH(132,ERP导入清单!$X$5:$X$204,0)+4,"")))</f>
        <v/>
      </c>
      <c r="D136" s="37" t="str">
        <f>IF(COUNTIF(ERP导入清单!$X$5:$X$204,132)=0,"",INDEX(ERP导入清单!D:D,IFERROR(MATCH(132,ERP导入清单!$X$5:$X$204,0)+4,"")))</f>
        <v/>
      </c>
      <c r="E136" s="37" t="str">
        <f>IF(COUNTIF(ERP导入清单!$X$5:$X$204,132)=0,"",INDEX(ERP导入清单!E:E,IFERROR(MATCH(132,ERP导入清单!$X$5:$X$204,0)+4,"")))</f>
        <v/>
      </c>
      <c r="F136" s="37" t="str">
        <f>IF(COUNTIF(ERP导入清单!$X$5:$X$204,132)=0,"",INDEX(ERP导入清单!F:F,IFERROR(MATCH(132,ERP导入清单!$X$5:$X$204,0)+4,"")))</f>
        <v/>
      </c>
      <c r="G136" s="57" t="str">
        <f>IF(COUNTIF(ERP导入清单!$X$5:$X$204,132)=0,"",INDEX(ERP导入清单!G:G,IFERROR(MATCH(132,ERP导入清单!$X$5:$X$204,0)+4,"")))</f>
        <v/>
      </c>
      <c r="H136" s="37" t="str">
        <f>IF(COUNTIF(ERP导入清单!$X$5:$X$204,132)=0,"",INDEX(ERP导入清单!H:H,IFERROR(MATCH(132,ERP导入清单!$X$5:$X$204,0)+4,"")))</f>
        <v/>
      </c>
      <c r="I136" s="57" t="str">
        <f>IF(COUNTIF(ERP导入清单!$X$5:$X$204,132)=0,"",INDEX(ERP导入清单!I:I,IFERROR(MATCH(132,ERP导入清单!$X$5:$X$204,0)+4,"")))</f>
        <v/>
      </c>
      <c r="J136" s="57" t="str">
        <f>IF(COUNTIF(ERP导入清单!$X$5:$X$204,132)=0,"",INDEX(ERP导入清单!J:J,IFERROR(MATCH(132,ERP导入清单!$X$5:$X$204,0)+4,"")))</f>
        <v/>
      </c>
      <c r="K136" s="37" t="str">
        <f>IF(COUNTIF(ERP导入清单!$X$5:$X$204,132)=0,"",INDEX(ERP导入清单!K:K,IFERROR(MATCH(132,ERP导入清单!$X$5:$X$204,0)+4,"")))</f>
        <v/>
      </c>
      <c r="L136" s="37" t="str">
        <f>IF(COUNTIF(ERP导入清单!$X$5:$X$204,132)=0,"",INDEX(ERP导入清单!L:L,IFERROR(MATCH(132,ERP导入清单!$X$5:$X$204,0)+4,"")))</f>
        <v/>
      </c>
      <c r="M136" s="37" t="str">
        <f>IF(COUNTIF(ERP导入清单!$X$5:$X$204,132)=0,"",INDEX(ERP导入清单!M:M,IFERROR(MATCH(132,ERP导入清单!$X$5:$X$204,0)+4,"")))</f>
        <v/>
      </c>
      <c r="N136" s="37" t="str">
        <f>IF(COUNTIF(ERP导入清单!$X$5:$X$204,132)=0,"",INDEX(ERP导入清单!N:N,IFERROR(MATCH(132,ERP导入清单!$X$5:$X$204,0)+4,"")))</f>
        <v/>
      </c>
      <c r="O136" s="37" t="str">
        <f>IF(COUNTIF(ERP导入清单!$X$5:$X$204,132)=0,"",INDEX(ERP导入清单!O:O,IFERROR(MATCH(132,ERP导入清单!$X$5:$X$204,0)+4,"")))</f>
        <v/>
      </c>
      <c r="P136" s="39" t="str">
        <f>IF(COUNTIF(ERP导入清单!$X$5:$X$204,132)=0,"",INDEX(ERP导入清单!P:P,IFERROR(MATCH(132,ERP导入清单!$X$5:$X$204,0)+4,"")))</f>
        <v/>
      </c>
      <c r="Q136" s="39" t="str">
        <f>IF(COUNTIF(ERP导入清单!$X$5:$X$204,132)=0,"",INDEX(ERP导入清单!Q:Q,IFERROR(MATCH(132,ERP导入清单!$X$5:$X$204,0)+4,"")))</f>
        <v/>
      </c>
      <c r="R136" s="59" t="str">
        <f>IF(COUNTIF(ERP导入清单!$X$5:$X$204,132)=0,"",INDEX(ERP导入清单!R:R,IFERROR(MATCH(132,ERP导入清单!$X$5:$X$204,0)+4,"")))</f>
        <v/>
      </c>
      <c r="S136" s="37" t="str">
        <f>IF(COUNTIF(ERP导入清单!$X$5:$X$204,132)=0,"",INDEX(ERP导入清单!S:S,IFERROR(MATCH(132,ERP导入清单!$X$5:$X$204,0)+4,"")))</f>
        <v/>
      </c>
      <c r="T136" s="37" t="str">
        <f>IF(COUNTIF(ERP导入清单!$X$5:$X$204,132)=0,"",INDEX(ERP导入清单!T:T,IFERROR(MATCH(132,ERP导入清单!$X$5:$X$204,0)+4,"")))</f>
        <v/>
      </c>
      <c r="U136" s="37" t="str">
        <f>IF(COUNTIF(ERP导入清单!$X$5:$X$204,132)=0,"",INDEX(ERP导入清单!U:U,IFERROR(MATCH(132,ERP导入清单!$X$5:$X$204,0)+4,"")))</f>
        <v/>
      </c>
      <c r="V136" s="38" t="str">
        <f>IF(COUNTIF(ERP导入清单!$X$5:$X$204,132)=0,"",INDEX(ERP导入清单!V:V,IFERROR(MATCH(132,ERP导入清单!$X$5:$X$204,0)+4,"")))</f>
        <v/>
      </c>
      <c r="W136" s="50" t="str">
        <f>IF(COUNTIF(ERP导入清单!$X$5:$X$204,132)=0,"",INDEX(ERP导入清单!W:W,IFERROR(MATCH(132,ERP导入清单!$X$5:$X$204,0)+4,"")))</f>
        <v/>
      </c>
    </row>
    <row r="137" spans="1:23" ht="24" customHeight="1">
      <c r="A137" s="55" t="str">
        <f>IF(COUNTIF(ERP导入清单!$X$5:$X$204,133)=0,"",INDEX(ERP导入清单!A:A,IFERROR(MATCH(133,ERP导入清单!$X$5:$X$204,0)+4,"")))</f>
        <v/>
      </c>
      <c r="B137" s="37" t="str">
        <f>IF(COUNTIF(ERP导入清单!$X$5:$X$204,133)=0,"",INDEX(ERP导入清单!B:B,IFERROR(MATCH(133,ERP导入清单!$X$5:$X$204,0)+4,"")))</f>
        <v/>
      </c>
      <c r="C137" s="38" t="str">
        <f>IF(COUNTIF(ERP导入清单!$X$5:$X$204,133)=0,"",INDEX(ERP导入清单!C:C,IFERROR(MATCH(133,ERP导入清单!$X$5:$X$204,0)+4,"")))</f>
        <v/>
      </c>
      <c r="D137" s="37" t="str">
        <f>IF(COUNTIF(ERP导入清单!$X$5:$X$204,133)=0,"",INDEX(ERP导入清单!D:D,IFERROR(MATCH(133,ERP导入清单!$X$5:$X$204,0)+4,"")))</f>
        <v/>
      </c>
      <c r="E137" s="37" t="str">
        <f>IF(COUNTIF(ERP导入清单!$X$5:$X$204,133)=0,"",INDEX(ERP导入清单!E:E,IFERROR(MATCH(133,ERP导入清单!$X$5:$X$204,0)+4,"")))</f>
        <v/>
      </c>
      <c r="F137" s="37" t="str">
        <f>IF(COUNTIF(ERP导入清单!$X$5:$X$204,133)=0,"",INDEX(ERP导入清单!F:F,IFERROR(MATCH(133,ERP导入清单!$X$5:$X$204,0)+4,"")))</f>
        <v/>
      </c>
      <c r="G137" s="57" t="str">
        <f>IF(COUNTIF(ERP导入清单!$X$5:$X$204,133)=0,"",INDEX(ERP导入清单!G:G,IFERROR(MATCH(133,ERP导入清单!$X$5:$X$204,0)+4,"")))</f>
        <v/>
      </c>
      <c r="H137" s="37" t="str">
        <f>IF(COUNTIF(ERP导入清单!$X$5:$X$204,133)=0,"",INDEX(ERP导入清单!H:H,IFERROR(MATCH(133,ERP导入清单!$X$5:$X$204,0)+4,"")))</f>
        <v/>
      </c>
      <c r="I137" s="57" t="str">
        <f>IF(COUNTIF(ERP导入清单!$X$5:$X$204,133)=0,"",INDEX(ERP导入清单!I:I,IFERROR(MATCH(133,ERP导入清单!$X$5:$X$204,0)+4,"")))</f>
        <v/>
      </c>
      <c r="J137" s="57" t="str">
        <f>IF(COUNTIF(ERP导入清单!$X$5:$X$204,133)=0,"",INDEX(ERP导入清单!J:J,IFERROR(MATCH(133,ERP导入清单!$X$5:$X$204,0)+4,"")))</f>
        <v/>
      </c>
      <c r="K137" s="37" t="str">
        <f>IF(COUNTIF(ERP导入清单!$X$5:$X$204,133)=0,"",INDEX(ERP导入清单!K:K,IFERROR(MATCH(133,ERP导入清单!$X$5:$X$204,0)+4,"")))</f>
        <v/>
      </c>
      <c r="L137" s="37" t="str">
        <f>IF(COUNTIF(ERP导入清单!$X$5:$X$204,133)=0,"",INDEX(ERP导入清单!L:L,IFERROR(MATCH(133,ERP导入清单!$X$5:$X$204,0)+4,"")))</f>
        <v/>
      </c>
      <c r="M137" s="37" t="str">
        <f>IF(COUNTIF(ERP导入清单!$X$5:$X$204,133)=0,"",INDEX(ERP导入清单!M:M,IFERROR(MATCH(133,ERP导入清单!$X$5:$X$204,0)+4,"")))</f>
        <v/>
      </c>
      <c r="N137" s="37" t="str">
        <f>IF(COUNTIF(ERP导入清单!$X$5:$X$204,133)=0,"",INDEX(ERP导入清单!N:N,IFERROR(MATCH(133,ERP导入清单!$X$5:$X$204,0)+4,"")))</f>
        <v/>
      </c>
      <c r="O137" s="37" t="str">
        <f>IF(COUNTIF(ERP导入清单!$X$5:$X$204,133)=0,"",INDEX(ERP导入清单!O:O,IFERROR(MATCH(133,ERP导入清单!$X$5:$X$204,0)+4,"")))</f>
        <v/>
      </c>
      <c r="P137" s="39" t="str">
        <f>IF(COUNTIF(ERP导入清单!$X$5:$X$204,133)=0,"",INDEX(ERP导入清单!P:P,IFERROR(MATCH(133,ERP导入清单!$X$5:$X$204,0)+4,"")))</f>
        <v/>
      </c>
      <c r="Q137" s="39" t="str">
        <f>IF(COUNTIF(ERP导入清单!$X$5:$X$204,133)=0,"",INDEX(ERP导入清单!Q:Q,IFERROR(MATCH(133,ERP导入清单!$X$5:$X$204,0)+4,"")))</f>
        <v/>
      </c>
      <c r="R137" s="59" t="str">
        <f>IF(COUNTIF(ERP导入清单!$X$5:$X$204,133)=0,"",INDEX(ERP导入清单!R:R,IFERROR(MATCH(133,ERP导入清单!$X$5:$X$204,0)+4,"")))</f>
        <v/>
      </c>
      <c r="S137" s="37" t="str">
        <f>IF(COUNTIF(ERP导入清单!$X$5:$X$204,133)=0,"",INDEX(ERP导入清单!S:S,IFERROR(MATCH(133,ERP导入清单!$X$5:$X$204,0)+4,"")))</f>
        <v/>
      </c>
      <c r="T137" s="37" t="str">
        <f>IF(COUNTIF(ERP导入清单!$X$5:$X$204,133)=0,"",INDEX(ERP导入清单!T:T,IFERROR(MATCH(133,ERP导入清单!$X$5:$X$204,0)+4,"")))</f>
        <v/>
      </c>
      <c r="U137" s="37" t="str">
        <f>IF(COUNTIF(ERP导入清单!$X$5:$X$204,133)=0,"",INDEX(ERP导入清单!U:U,IFERROR(MATCH(133,ERP导入清单!$X$5:$X$204,0)+4,"")))</f>
        <v/>
      </c>
      <c r="V137" s="38" t="str">
        <f>IF(COUNTIF(ERP导入清单!$X$5:$X$204,133)=0,"",INDEX(ERP导入清单!V:V,IFERROR(MATCH(133,ERP导入清单!$X$5:$X$204,0)+4,"")))</f>
        <v/>
      </c>
      <c r="W137" s="50" t="str">
        <f>IF(COUNTIF(ERP导入清单!$X$5:$X$204,133)=0,"",INDEX(ERP导入清单!W:W,IFERROR(MATCH(133,ERP导入清单!$X$5:$X$204,0)+4,"")))</f>
        <v/>
      </c>
    </row>
    <row r="138" spans="1:23" ht="24" customHeight="1">
      <c r="A138" s="55" t="str">
        <f>IF(COUNTIF(ERP导入清单!$X$5:$X$204,134)=0,"",INDEX(ERP导入清单!A:A,IFERROR(MATCH(134,ERP导入清单!$X$5:$X$204,0)+4,"")))</f>
        <v/>
      </c>
      <c r="B138" s="37" t="str">
        <f>IF(COUNTIF(ERP导入清单!$X$5:$X$204,134)=0,"",INDEX(ERP导入清单!B:B,IFERROR(MATCH(134,ERP导入清单!$X$5:$X$204,0)+4,"")))</f>
        <v/>
      </c>
      <c r="C138" s="38" t="str">
        <f>IF(COUNTIF(ERP导入清单!$X$5:$X$204,134)=0,"",INDEX(ERP导入清单!C:C,IFERROR(MATCH(134,ERP导入清单!$X$5:$X$204,0)+4,"")))</f>
        <v/>
      </c>
      <c r="D138" s="37" t="str">
        <f>IF(COUNTIF(ERP导入清单!$X$5:$X$204,134)=0,"",INDEX(ERP导入清单!D:D,IFERROR(MATCH(134,ERP导入清单!$X$5:$X$204,0)+4,"")))</f>
        <v/>
      </c>
      <c r="E138" s="37" t="str">
        <f>IF(COUNTIF(ERP导入清单!$X$5:$X$204,134)=0,"",INDEX(ERP导入清单!E:E,IFERROR(MATCH(134,ERP导入清单!$X$5:$X$204,0)+4,"")))</f>
        <v/>
      </c>
      <c r="F138" s="37" t="str">
        <f>IF(COUNTIF(ERP导入清单!$X$5:$X$204,134)=0,"",INDEX(ERP导入清单!F:F,IFERROR(MATCH(134,ERP导入清单!$X$5:$X$204,0)+4,"")))</f>
        <v/>
      </c>
      <c r="G138" s="57" t="str">
        <f>IF(COUNTIF(ERP导入清单!$X$5:$X$204,134)=0,"",INDEX(ERP导入清单!G:G,IFERROR(MATCH(134,ERP导入清单!$X$5:$X$204,0)+4,"")))</f>
        <v/>
      </c>
      <c r="H138" s="37" t="str">
        <f>IF(COUNTIF(ERP导入清单!$X$5:$X$204,134)=0,"",INDEX(ERP导入清单!H:H,IFERROR(MATCH(134,ERP导入清单!$X$5:$X$204,0)+4,"")))</f>
        <v/>
      </c>
      <c r="I138" s="57" t="str">
        <f>IF(COUNTIF(ERP导入清单!$X$5:$X$204,134)=0,"",INDEX(ERP导入清单!I:I,IFERROR(MATCH(134,ERP导入清单!$X$5:$X$204,0)+4,"")))</f>
        <v/>
      </c>
      <c r="J138" s="57" t="str">
        <f>IF(COUNTIF(ERP导入清单!$X$5:$X$204,134)=0,"",INDEX(ERP导入清单!J:J,IFERROR(MATCH(134,ERP导入清单!$X$5:$X$204,0)+4,"")))</f>
        <v/>
      </c>
      <c r="K138" s="37" t="str">
        <f>IF(COUNTIF(ERP导入清单!$X$5:$X$204,134)=0,"",INDEX(ERP导入清单!K:K,IFERROR(MATCH(134,ERP导入清单!$X$5:$X$204,0)+4,"")))</f>
        <v/>
      </c>
      <c r="L138" s="37" t="str">
        <f>IF(COUNTIF(ERP导入清单!$X$5:$X$204,134)=0,"",INDEX(ERP导入清单!L:L,IFERROR(MATCH(134,ERP导入清单!$X$5:$X$204,0)+4,"")))</f>
        <v/>
      </c>
      <c r="M138" s="37" t="str">
        <f>IF(COUNTIF(ERP导入清单!$X$5:$X$204,134)=0,"",INDEX(ERP导入清单!M:M,IFERROR(MATCH(134,ERP导入清单!$X$5:$X$204,0)+4,"")))</f>
        <v/>
      </c>
      <c r="N138" s="37" t="str">
        <f>IF(COUNTIF(ERP导入清单!$X$5:$X$204,134)=0,"",INDEX(ERP导入清单!N:N,IFERROR(MATCH(134,ERP导入清单!$X$5:$X$204,0)+4,"")))</f>
        <v/>
      </c>
      <c r="O138" s="37" t="str">
        <f>IF(COUNTIF(ERP导入清单!$X$5:$X$204,134)=0,"",INDEX(ERP导入清单!O:O,IFERROR(MATCH(134,ERP导入清单!$X$5:$X$204,0)+4,"")))</f>
        <v/>
      </c>
      <c r="P138" s="39" t="str">
        <f>IF(COUNTIF(ERP导入清单!$X$5:$X$204,134)=0,"",INDEX(ERP导入清单!P:P,IFERROR(MATCH(134,ERP导入清单!$X$5:$X$204,0)+4,"")))</f>
        <v/>
      </c>
      <c r="Q138" s="39" t="str">
        <f>IF(COUNTIF(ERP导入清单!$X$5:$X$204,134)=0,"",INDEX(ERP导入清单!Q:Q,IFERROR(MATCH(134,ERP导入清单!$X$5:$X$204,0)+4,"")))</f>
        <v/>
      </c>
      <c r="R138" s="59" t="str">
        <f>IF(COUNTIF(ERP导入清单!$X$5:$X$204,134)=0,"",INDEX(ERP导入清单!R:R,IFERROR(MATCH(134,ERP导入清单!$X$5:$X$204,0)+4,"")))</f>
        <v/>
      </c>
      <c r="S138" s="37" t="str">
        <f>IF(COUNTIF(ERP导入清单!$X$5:$X$204,134)=0,"",INDEX(ERP导入清单!S:S,IFERROR(MATCH(134,ERP导入清单!$X$5:$X$204,0)+4,"")))</f>
        <v/>
      </c>
      <c r="T138" s="37" t="str">
        <f>IF(COUNTIF(ERP导入清单!$X$5:$X$204,134)=0,"",INDEX(ERP导入清单!T:T,IFERROR(MATCH(134,ERP导入清单!$X$5:$X$204,0)+4,"")))</f>
        <v/>
      </c>
      <c r="U138" s="37" t="str">
        <f>IF(COUNTIF(ERP导入清单!$X$5:$X$204,134)=0,"",INDEX(ERP导入清单!U:U,IFERROR(MATCH(134,ERP导入清单!$X$5:$X$204,0)+4,"")))</f>
        <v/>
      </c>
      <c r="V138" s="38" t="str">
        <f>IF(COUNTIF(ERP导入清单!$X$5:$X$204,134)=0,"",INDEX(ERP导入清单!V:V,IFERROR(MATCH(134,ERP导入清单!$X$5:$X$204,0)+4,"")))</f>
        <v/>
      </c>
      <c r="W138" s="50" t="str">
        <f>IF(COUNTIF(ERP导入清单!$X$5:$X$204,134)=0,"",INDEX(ERP导入清单!W:W,IFERROR(MATCH(134,ERP导入清单!$X$5:$X$204,0)+4,"")))</f>
        <v/>
      </c>
    </row>
    <row r="139" spans="1:23" ht="24" customHeight="1">
      <c r="A139" s="55" t="str">
        <f>IF(COUNTIF(ERP导入清单!$X$5:$X$204,135)=0,"",INDEX(ERP导入清单!A:A,IFERROR(MATCH(135,ERP导入清单!$X$5:$X$204,0)+4,"")))</f>
        <v/>
      </c>
      <c r="B139" s="37" t="str">
        <f>IF(COUNTIF(ERP导入清单!$X$5:$X$204,135)=0,"",INDEX(ERP导入清单!B:B,IFERROR(MATCH(135,ERP导入清单!$X$5:$X$204,0)+4,"")))</f>
        <v/>
      </c>
      <c r="C139" s="38" t="str">
        <f>IF(COUNTIF(ERP导入清单!$X$5:$X$204,135)=0,"",INDEX(ERP导入清单!C:C,IFERROR(MATCH(135,ERP导入清单!$X$5:$X$204,0)+4,"")))</f>
        <v/>
      </c>
      <c r="D139" s="37" t="str">
        <f>IF(COUNTIF(ERP导入清单!$X$5:$X$204,135)=0,"",INDEX(ERP导入清单!D:D,IFERROR(MATCH(135,ERP导入清单!$X$5:$X$204,0)+4,"")))</f>
        <v/>
      </c>
      <c r="E139" s="37" t="str">
        <f>IF(COUNTIF(ERP导入清单!$X$5:$X$204,135)=0,"",INDEX(ERP导入清单!E:E,IFERROR(MATCH(135,ERP导入清单!$X$5:$X$204,0)+4,"")))</f>
        <v/>
      </c>
      <c r="F139" s="37" t="str">
        <f>IF(COUNTIF(ERP导入清单!$X$5:$X$204,135)=0,"",INDEX(ERP导入清单!F:F,IFERROR(MATCH(135,ERP导入清单!$X$5:$X$204,0)+4,"")))</f>
        <v/>
      </c>
      <c r="G139" s="57" t="str">
        <f>IF(COUNTIF(ERP导入清单!$X$5:$X$204,135)=0,"",INDEX(ERP导入清单!G:G,IFERROR(MATCH(135,ERP导入清单!$X$5:$X$204,0)+4,"")))</f>
        <v/>
      </c>
      <c r="H139" s="37" t="str">
        <f>IF(COUNTIF(ERP导入清单!$X$5:$X$204,135)=0,"",INDEX(ERP导入清单!H:H,IFERROR(MATCH(135,ERP导入清单!$X$5:$X$204,0)+4,"")))</f>
        <v/>
      </c>
      <c r="I139" s="57" t="str">
        <f>IF(COUNTIF(ERP导入清单!$X$5:$X$204,135)=0,"",INDEX(ERP导入清单!I:I,IFERROR(MATCH(135,ERP导入清单!$X$5:$X$204,0)+4,"")))</f>
        <v/>
      </c>
      <c r="J139" s="57" t="str">
        <f>IF(COUNTIF(ERP导入清单!$X$5:$X$204,135)=0,"",INDEX(ERP导入清单!J:J,IFERROR(MATCH(135,ERP导入清单!$X$5:$X$204,0)+4,"")))</f>
        <v/>
      </c>
      <c r="K139" s="37" t="str">
        <f>IF(COUNTIF(ERP导入清单!$X$5:$X$204,135)=0,"",INDEX(ERP导入清单!K:K,IFERROR(MATCH(135,ERP导入清单!$X$5:$X$204,0)+4,"")))</f>
        <v/>
      </c>
      <c r="L139" s="37" t="str">
        <f>IF(COUNTIF(ERP导入清单!$X$5:$X$204,135)=0,"",INDEX(ERP导入清单!L:L,IFERROR(MATCH(135,ERP导入清单!$X$5:$X$204,0)+4,"")))</f>
        <v/>
      </c>
      <c r="M139" s="37" t="str">
        <f>IF(COUNTIF(ERP导入清单!$X$5:$X$204,135)=0,"",INDEX(ERP导入清单!M:M,IFERROR(MATCH(135,ERP导入清单!$X$5:$X$204,0)+4,"")))</f>
        <v/>
      </c>
      <c r="N139" s="37" t="str">
        <f>IF(COUNTIF(ERP导入清单!$X$5:$X$204,135)=0,"",INDEX(ERP导入清单!N:N,IFERROR(MATCH(135,ERP导入清单!$X$5:$X$204,0)+4,"")))</f>
        <v/>
      </c>
      <c r="O139" s="37" t="str">
        <f>IF(COUNTIF(ERP导入清单!$X$5:$X$204,135)=0,"",INDEX(ERP导入清单!O:O,IFERROR(MATCH(135,ERP导入清单!$X$5:$X$204,0)+4,"")))</f>
        <v/>
      </c>
      <c r="P139" s="39" t="str">
        <f>IF(COUNTIF(ERP导入清单!$X$5:$X$204,135)=0,"",INDEX(ERP导入清单!P:P,IFERROR(MATCH(135,ERP导入清单!$X$5:$X$204,0)+4,"")))</f>
        <v/>
      </c>
      <c r="Q139" s="39" t="str">
        <f>IF(COUNTIF(ERP导入清单!$X$5:$X$204,135)=0,"",INDEX(ERP导入清单!Q:Q,IFERROR(MATCH(135,ERP导入清单!$X$5:$X$204,0)+4,"")))</f>
        <v/>
      </c>
      <c r="R139" s="59" t="str">
        <f>IF(COUNTIF(ERP导入清单!$X$5:$X$204,135)=0,"",INDEX(ERP导入清单!R:R,IFERROR(MATCH(135,ERP导入清单!$X$5:$X$204,0)+4,"")))</f>
        <v/>
      </c>
      <c r="S139" s="37" t="str">
        <f>IF(COUNTIF(ERP导入清单!$X$5:$X$204,135)=0,"",INDEX(ERP导入清单!S:S,IFERROR(MATCH(135,ERP导入清单!$X$5:$X$204,0)+4,"")))</f>
        <v/>
      </c>
      <c r="T139" s="37" t="str">
        <f>IF(COUNTIF(ERP导入清单!$X$5:$X$204,135)=0,"",INDEX(ERP导入清单!T:T,IFERROR(MATCH(135,ERP导入清单!$X$5:$X$204,0)+4,"")))</f>
        <v/>
      </c>
      <c r="U139" s="37" t="str">
        <f>IF(COUNTIF(ERP导入清单!$X$5:$X$204,135)=0,"",INDEX(ERP导入清单!U:U,IFERROR(MATCH(135,ERP导入清单!$X$5:$X$204,0)+4,"")))</f>
        <v/>
      </c>
      <c r="V139" s="38" t="str">
        <f>IF(COUNTIF(ERP导入清单!$X$5:$X$204,135)=0,"",INDEX(ERP导入清单!V:V,IFERROR(MATCH(135,ERP导入清单!$X$5:$X$204,0)+4,"")))</f>
        <v/>
      </c>
      <c r="W139" s="50" t="str">
        <f>IF(COUNTIF(ERP导入清单!$X$5:$X$204,135)=0,"",INDEX(ERP导入清单!W:W,IFERROR(MATCH(135,ERP导入清单!$X$5:$X$204,0)+4,"")))</f>
        <v/>
      </c>
    </row>
    <row r="140" spans="1:23" ht="24" customHeight="1">
      <c r="A140" s="55" t="str">
        <f>IF(COUNTIF(ERP导入清单!$X$5:$X$204,136)=0,"",INDEX(ERP导入清单!A:A,IFERROR(MATCH(136,ERP导入清单!$X$5:$X$204,0)+4,"")))</f>
        <v/>
      </c>
      <c r="B140" s="37" t="str">
        <f>IF(COUNTIF(ERP导入清单!$X$5:$X$204,136)=0,"",INDEX(ERP导入清单!B:B,IFERROR(MATCH(136,ERP导入清单!$X$5:$X$204,0)+4,"")))</f>
        <v/>
      </c>
      <c r="C140" s="38" t="str">
        <f>IF(COUNTIF(ERP导入清单!$X$5:$X$204,136)=0,"",INDEX(ERP导入清单!C:C,IFERROR(MATCH(136,ERP导入清单!$X$5:$X$204,0)+4,"")))</f>
        <v/>
      </c>
      <c r="D140" s="37" t="str">
        <f>IF(COUNTIF(ERP导入清单!$X$5:$X$204,136)=0,"",INDEX(ERP导入清单!D:D,IFERROR(MATCH(136,ERP导入清单!$X$5:$X$204,0)+4,"")))</f>
        <v/>
      </c>
      <c r="E140" s="37" t="str">
        <f>IF(COUNTIF(ERP导入清单!$X$5:$X$204,136)=0,"",INDEX(ERP导入清单!E:E,IFERROR(MATCH(136,ERP导入清单!$X$5:$X$204,0)+4,"")))</f>
        <v/>
      </c>
      <c r="F140" s="37" t="str">
        <f>IF(COUNTIF(ERP导入清单!$X$5:$X$204,136)=0,"",INDEX(ERP导入清单!F:F,IFERROR(MATCH(136,ERP导入清单!$X$5:$X$204,0)+4,"")))</f>
        <v/>
      </c>
      <c r="G140" s="57" t="str">
        <f>IF(COUNTIF(ERP导入清单!$X$5:$X$204,136)=0,"",INDEX(ERP导入清单!G:G,IFERROR(MATCH(136,ERP导入清单!$X$5:$X$204,0)+4,"")))</f>
        <v/>
      </c>
      <c r="H140" s="37" t="str">
        <f>IF(COUNTIF(ERP导入清单!$X$5:$X$204,136)=0,"",INDEX(ERP导入清单!H:H,IFERROR(MATCH(136,ERP导入清单!$X$5:$X$204,0)+4,"")))</f>
        <v/>
      </c>
      <c r="I140" s="57" t="str">
        <f>IF(COUNTIF(ERP导入清单!$X$5:$X$204,136)=0,"",INDEX(ERP导入清单!I:I,IFERROR(MATCH(136,ERP导入清单!$X$5:$X$204,0)+4,"")))</f>
        <v/>
      </c>
      <c r="J140" s="57" t="str">
        <f>IF(COUNTIF(ERP导入清单!$X$5:$X$204,136)=0,"",INDEX(ERP导入清单!J:J,IFERROR(MATCH(136,ERP导入清单!$X$5:$X$204,0)+4,"")))</f>
        <v/>
      </c>
      <c r="K140" s="37" t="str">
        <f>IF(COUNTIF(ERP导入清单!$X$5:$X$204,136)=0,"",INDEX(ERP导入清单!K:K,IFERROR(MATCH(136,ERP导入清单!$X$5:$X$204,0)+4,"")))</f>
        <v/>
      </c>
      <c r="L140" s="37" t="str">
        <f>IF(COUNTIF(ERP导入清单!$X$5:$X$204,136)=0,"",INDEX(ERP导入清单!L:L,IFERROR(MATCH(136,ERP导入清单!$X$5:$X$204,0)+4,"")))</f>
        <v/>
      </c>
      <c r="M140" s="37" t="str">
        <f>IF(COUNTIF(ERP导入清单!$X$5:$X$204,136)=0,"",INDEX(ERP导入清单!M:M,IFERROR(MATCH(136,ERP导入清单!$X$5:$X$204,0)+4,"")))</f>
        <v/>
      </c>
      <c r="N140" s="37" t="str">
        <f>IF(COUNTIF(ERP导入清单!$X$5:$X$204,136)=0,"",INDEX(ERP导入清单!N:N,IFERROR(MATCH(136,ERP导入清单!$X$5:$X$204,0)+4,"")))</f>
        <v/>
      </c>
      <c r="O140" s="37" t="str">
        <f>IF(COUNTIF(ERP导入清单!$X$5:$X$204,136)=0,"",INDEX(ERP导入清单!O:O,IFERROR(MATCH(136,ERP导入清单!$X$5:$X$204,0)+4,"")))</f>
        <v/>
      </c>
      <c r="P140" s="39" t="str">
        <f>IF(COUNTIF(ERP导入清单!$X$5:$X$204,136)=0,"",INDEX(ERP导入清单!P:P,IFERROR(MATCH(136,ERP导入清单!$X$5:$X$204,0)+4,"")))</f>
        <v/>
      </c>
      <c r="Q140" s="39" t="str">
        <f>IF(COUNTIF(ERP导入清单!$X$5:$X$204,136)=0,"",INDEX(ERP导入清单!Q:Q,IFERROR(MATCH(136,ERP导入清单!$X$5:$X$204,0)+4,"")))</f>
        <v/>
      </c>
      <c r="R140" s="59" t="str">
        <f>IF(COUNTIF(ERP导入清单!$X$5:$X$204,136)=0,"",INDEX(ERP导入清单!R:R,IFERROR(MATCH(136,ERP导入清单!$X$5:$X$204,0)+4,"")))</f>
        <v/>
      </c>
      <c r="S140" s="37" t="str">
        <f>IF(COUNTIF(ERP导入清单!$X$5:$X$204,136)=0,"",INDEX(ERP导入清单!S:S,IFERROR(MATCH(136,ERP导入清单!$X$5:$X$204,0)+4,"")))</f>
        <v/>
      </c>
      <c r="T140" s="37" t="str">
        <f>IF(COUNTIF(ERP导入清单!$X$5:$X$204,136)=0,"",INDEX(ERP导入清单!T:T,IFERROR(MATCH(136,ERP导入清单!$X$5:$X$204,0)+4,"")))</f>
        <v/>
      </c>
      <c r="U140" s="37" t="str">
        <f>IF(COUNTIF(ERP导入清单!$X$5:$X$204,136)=0,"",INDEX(ERP导入清单!U:U,IFERROR(MATCH(136,ERP导入清单!$X$5:$X$204,0)+4,"")))</f>
        <v/>
      </c>
      <c r="V140" s="38" t="str">
        <f>IF(COUNTIF(ERP导入清单!$X$5:$X$204,136)=0,"",INDEX(ERP导入清单!V:V,IFERROR(MATCH(136,ERP导入清单!$X$5:$X$204,0)+4,"")))</f>
        <v/>
      </c>
      <c r="W140" s="50" t="str">
        <f>IF(COUNTIF(ERP导入清单!$X$5:$X$204,136)=0,"",INDEX(ERP导入清单!W:W,IFERROR(MATCH(136,ERP导入清单!$X$5:$X$204,0)+4,"")))</f>
        <v/>
      </c>
    </row>
    <row r="141" spans="1:23" ht="24" customHeight="1">
      <c r="A141" s="55" t="str">
        <f>IF(COUNTIF(ERP导入清单!$X$5:$X$204,137)=0,"",INDEX(ERP导入清单!A:A,IFERROR(MATCH(137,ERP导入清单!$X$5:$X$204,0)+4,"")))</f>
        <v/>
      </c>
      <c r="B141" s="37" t="str">
        <f>IF(COUNTIF(ERP导入清单!$X$5:$X$204,137)=0,"",INDEX(ERP导入清单!B:B,IFERROR(MATCH(137,ERP导入清单!$X$5:$X$204,0)+4,"")))</f>
        <v/>
      </c>
      <c r="C141" s="38" t="str">
        <f>IF(COUNTIF(ERP导入清单!$X$5:$X$204,137)=0,"",INDEX(ERP导入清单!C:C,IFERROR(MATCH(137,ERP导入清单!$X$5:$X$204,0)+4,"")))</f>
        <v/>
      </c>
      <c r="D141" s="37" t="str">
        <f>IF(COUNTIF(ERP导入清单!$X$5:$X$204,137)=0,"",INDEX(ERP导入清单!D:D,IFERROR(MATCH(137,ERP导入清单!$X$5:$X$204,0)+4,"")))</f>
        <v/>
      </c>
      <c r="E141" s="37" t="str">
        <f>IF(COUNTIF(ERP导入清单!$X$5:$X$204,137)=0,"",INDEX(ERP导入清单!E:E,IFERROR(MATCH(137,ERP导入清单!$X$5:$X$204,0)+4,"")))</f>
        <v/>
      </c>
      <c r="F141" s="37" t="str">
        <f>IF(COUNTIF(ERP导入清单!$X$5:$X$204,137)=0,"",INDEX(ERP导入清单!F:F,IFERROR(MATCH(137,ERP导入清单!$X$5:$X$204,0)+4,"")))</f>
        <v/>
      </c>
      <c r="G141" s="57" t="str">
        <f>IF(COUNTIF(ERP导入清单!$X$5:$X$204,137)=0,"",INDEX(ERP导入清单!G:G,IFERROR(MATCH(137,ERP导入清单!$X$5:$X$204,0)+4,"")))</f>
        <v/>
      </c>
      <c r="H141" s="37" t="str">
        <f>IF(COUNTIF(ERP导入清单!$X$5:$X$204,137)=0,"",INDEX(ERP导入清单!H:H,IFERROR(MATCH(137,ERP导入清单!$X$5:$X$204,0)+4,"")))</f>
        <v/>
      </c>
      <c r="I141" s="57" t="str">
        <f>IF(COUNTIF(ERP导入清单!$X$5:$X$204,137)=0,"",INDEX(ERP导入清单!I:I,IFERROR(MATCH(137,ERP导入清单!$X$5:$X$204,0)+4,"")))</f>
        <v/>
      </c>
      <c r="J141" s="57" t="str">
        <f>IF(COUNTIF(ERP导入清单!$X$5:$X$204,137)=0,"",INDEX(ERP导入清单!J:J,IFERROR(MATCH(137,ERP导入清单!$X$5:$X$204,0)+4,"")))</f>
        <v/>
      </c>
      <c r="K141" s="37" t="str">
        <f>IF(COUNTIF(ERP导入清单!$X$5:$X$204,137)=0,"",INDEX(ERP导入清单!K:K,IFERROR(MATCH(137,ERP导入清单!$X$5:$X$204,0)+4,"")))</f>
        <v/>
      </c>
      <c r="L141" s="37" t="str">
        <f>IF(COUNTIF(ERP导入清单!$X$5:$X$204,137)=0,"",INDEX(ERP导入清单!L:L,IFERROR(MATCH(137,ERP导入清单!$X$5:$X$204,0)+4,"")))</f>
        <v/>
      </c>
      <c r="M141" s="37" t="str">
        <f>IF(COUNTIF(ERP导入清单!$X$5:$X$204,137)=0,"",INDEX(ERP导入清单!M:M,IFERROR(MATCH(137,ERP导入清单!$X$5:$X$204,0)+4,"")))</f>
        <v/>
      </c>
      <c r="N141" s="37" t="str">
        <f>IF(COUNTIF(ERP导入清单!$X$5:$X$204,137)=0,"",INDEX(ERP导入清单!N:N,IFERROR(MATCH(137,ERP导入清单!$X$5:$X$204,0)+4,"")))</f>
        <v/>
      </c>
      <c r="O141" s="37" t="str">
        <f>IF(COUNTIF(ERP导入清单!$X$5:$X$204,137)=0,"",INDEX(ERP导入清单!O:O,IFERROR(MATCH(137,ERP导入清单!$X$5:$X$204,0)+4,"")))</f>
        <v/>
      </c>
      <c r="P141" s="39" t="str">
        <f>IF(COUNTIF(ERP导入清单!$X$5:$X$204,137)=0,"",INDEX(ERP导入清单!P:P,IFERROR(MATCH(137,ERP导入清单!$X$5:$X$204,0)+4,"")))</f>
        <v/>
      </c>
      <c r="Q141" s="39" t="str">
        <f>IF(COUNTIF(ERP导入清单!$X$5:$X$204,137)=0,"",INDEX(ERP导入清单!Q:Q,IFERROR(MATCH(137,ERP导入清单!$X$5:$X$204,0)+4,"")))</f>
        <v/>
      </c>
      <c r="R141" s="59" t="str">
        <f>IF(COUNTIF(ERP导入清单!$X$5:$X$204,137)=0,"",INDEX(ERP导入清单!R:R,IFERROR(MATCH(137,ERP导入清单!$X$5:$X$204,0)+4,"")))</f>
        <v/>
      </c>
      <c r="S141" s="37" t="str">
        <f>IF(COUNTIF(ERP导入清单!$X$5:$X$204,137)=0,"",INDEX(ERP导入清单!S:S,IFERROR(MATCH(137,ERP导入清单!$X$5:$X$204,0)+4,"")))</f>
        <v/>
      </c>
      <c r="T141" s="37" t="str">
        <f>IF(COUNTIF(ERP导入清单!$X$5:$X$204,137)=0,"",INDEX(ERP导入清单!T:T,IFERROR(MATCH(137,ERP导入清单!$X$5:$X$204,0)+4,"")))</f>
        <v/>
      </c>
      <c r="U141" s="37" t="str">
        <f>IF(COUNTIF(ERP导入清单!$X$5:$X$204,137)=0,"",INDEX(ERP导入清单!U:U,IFERROR(MATCH(137,ERP导入清单!$X$5:$X$204,0)+4,"")))</f>
        <v/>
      </c>
      <c r="V141" s="38" t="str">
        <f>IF(COUNTIF(ERP导入清单!$X$5:$X$204,137)=0,"",INDEX(ERP导入清单!V:V,IFERROR(MATCH(137,ERP导入清单!$X$5:$X$204,0)+4,"")))</f>
        <v/>
      </c>
      <c r="W141" s="50" t="str">
        <f>IF(COUNTIF(ERP导入清单!$X$5:$X$204,137)=0,"",INDEX(ERP导入清单!W:W,IFERROR(MATCH(137,ERP导入清单!$X$5:$X$204,0)+4,"")))</f>
        <v/>
      </c>
    </row>
    <row r="142" spans="1:23" ht="24" customHeight="1">
      <c r="A142" s="55" t="str">
        <f>IF(COUNTIF(ERP导入清单!$X$5:$X$204,138)=0,"",INDEX(ERP导入清单!A:A,IFERROR(MATCH(138,ERP导入清单!$X$5:$X$204,0)+4,"")))</f>
        <v/>
      </c>
      <c r="B142" s="37" t="str">
        <f>IF(COUNTIF(ERP导入清单!$X$5:$X$204,138)=0,"",INDEX(ERP导入清单!B:B,IFERROR(MATCH(138,ERP导入清单!$X$5:$X$204,0)+4,"")))</f>
        <v/>
      </c>
      <c r="C142" s="38" t="str">
        <f>IF(COUNTIF(ERP导入清单!$X$5:$X$204,138)=0,"",INDEX(ERP导入清单!C:C,IFERROR(MATCH(138,ERP导入清单!$X$5:$X$204,0)+4,"")))</f>
        <v/>
      </c>
      <c r="D142" s="37" t="str">
        <f>IF(COUNTIF(ERP导入清单!$X$5:$X$204,138)=0,"",INDEX(ERP导入清单!D:D,IFERROR(MATCH(138,ERP导入清单!$X$5:$X$204,0)+4,"")))</f>
        <v/>
      </c>
      <c r="E142" s="37" t="str">
        <f>IF(COUNTIF(ERP导入清单!$X$5:$X$204,138)=0,"",INDEX(ERP导入清单!E:E,IFERROR(MATCH(138,ERP导入清单!$X$5:$X$204,0)+4,"")))</f>
        <v/>
      </c>
      <c r="F142" s="37" t="str">
        <f>IF(COUNTIF(ERP导入清单!$X$5:$X$204,138)=0,"",INDEX(ERP导入清单!F:F,IFERROR(MATCH(138,ERP导入清单!$X$5:$X$204,0)+4,"")))</f>
        <v/>
      </c>
      <c r="G142" s="57" t="str">
        <f>IF(COUNTIF(ERP导入清单!$X$5:$X$204,138)=0,"",INDEX(ERP导入清单!G:G,IFERROR(MATCH(138,ERP导入清单!$X$5:$X$204,0)+4,"")))</f>
        <v/>
      </c>
      <c r="H142" s="37" t="str">
        <f>IF(COUNTIF(ERP导入清单!$X$5:$X$204,138)=0,"",INDEX(ERP导入清单!H:H,IFERROR(MATCH(138,ERP导入清单!$X$5:$X$204,0)+4,"")))</f>
        <v/>
      </c>
      <c r="I142" s="57" t="str">
        <f>IF(COUNTIF(ERP导入清单!$X$5:$X$204,138)=0,"",INDEX(ERP导入清单!I:I,IFERROR(MATCH(138,ERP导入清单!$X$5:$X$204,0)+4,"")))</f>
        <v/>
      </c>
      <c r="J142" s="57" t="str">
        <f>IF(COUNTIF(ERP导入清单!$X$5:$X$204,138)=0,"",INDEX(ERP导入清单!J:J,IFERROR(MATCH(138,ERP导入清单!$X$5:$X$204,0)+4,"")))</f>
        <v/>
      </c>
      <c r="K142" s="37" t="str">
        <f>IF(COUNTIF(ERP导入清单!$X$5:$X$204,138)=0,"",INDEX(ERP导入清单!K:K,IFERROR(MATCH(138,ERP导入清单!$X$5:$X$204,0)+4,"")))</f>
        <v/>
      </c>
      <c r="L142" s="37" t="str">
        <f>IF(COUNTIF(ERP导入清单!$X$5:$X$204,138)=0,"",INDEX(ERP导入清单!L:L,IFERROR(MATCH(138,ERP导入清单!$X$5:$X$204,0)+4,"")))</f>
        <v/>
      </c>
      <c r="M142" s="37" t="str">
        <f>IF(COUNTIF(ERP导入清单!$X$5:$X$204,138)=0,"",INDEX(ERP导入清单!M:M,IFERROR(MATCH(138,ERP导入清单!$X$5:$X$204,0)+4,"")))</f>
        <v/>
      </c>
      <c r="N142" s="37" t="str">
        <f>IF(COUNTIF(ERP导入清单!$X$5:$X$204,138)=0,"",INDEX(ERP导入清单!N:N,IFERROR(MATCH(138,ERP导入清单!$X$5:$X$204,0)+4,"")))</f>
        <v/>
      </c>
      <c r="O142" s="37" t="str">
        <f>IF(COUNTIF(ERP导入清单!$X$5:$X$204,138)=0,"",INDEX(ERP导入清单!O:O,IFERROR(MATCH(138,ERP导入清单!$X$5:$X$204,0)+4,"")))</f>
        <v/>
      </c>
      <c r="P142" s="39" t="str">
        <f>IF(COUNTIF(ERP导入清单!$X$5:$X$204,138)=0,"",INDEX(ERP导入清单!P:P,IFERROR(MATCH(138,ERP导入清单!$X$5:$X$204,0)+4,"")))</f>
        <v/>
      </c>
      <c r="Q142" s="39" t="str">
        <f>IF(COUNTIF(ERP导入清单!$X$5:$X$204,138)=0,"",INDEX(ERP导入清单!Q:Q,IFERROR(MATCH(138,ERP导入清单!$X$5:$X$204,0)+4,"")))</f>
        <v/>
      </c>
      <c r="R142" s="59" t="str">
        <f>IF(COUNTIF(ERP导入清单!$X$5:$X$204,138)=0,"",INDEX(ERP导入清单!R:R,IFERROR(MATCH(138,ERP导入清单!$X$5:$X$204,0)+4,"")))</f>
        <v/>
      </c>
      <c r="S142" s="37" t="str">
        <f>IF(COUNTIF(ERP导入清单!$X$5:$X$204,138)=0,"",INDEX(ERP导入清单!S:S,IFERROR(MATCH(138,ERP导入清单!$X$5:$X$204,0)+4,"")))</f>
        <v/>
      </c>
      <c r="T142" s="37" t="str">
        <f>IF(COUNTIF(ERP导入清单!$X$5:$X$204,138)=0,"",INDEX(ERP导入清单!T:T,IFERROR(MATCH(138,ERP导入清单!$X$5:$X$204,0)+4,"")))</f>
        <v/>
      </c>
      <c r="U142" s="37" t="str">
        <f>IF(COUNTIF(ERP导入清单!$X$5:$X$204,138)=0,"",INDEX(ERP导入清单!U:U,IFERROR(MATCH(138,ERP导入清单!$X$5:$X$204,0)+4,"")))</f>
        <v/>
      </c>
      <c r="V142" s="38" t="str">
        <f>IF(COUNTIF(ERP导入清单!$X$5:$X$204,138)=0,"",INDEX(ERP导入清单!V:V,IFERROR(MATCH(138,ERP导入清单!$X$5:$X$204,0)+4,"")))</f>
        <v/>
      </c>
      <c r="W142" s="50" t="str">
        <f>IF(COUNTIF(ERP导入清单!$X$5:$X$204,138)=0,"",INDEX(ERP导入清单!W:W,IFERROR(MATCH(138,ERP导入清单!$X$5:$X$204,0)+4,"")))</f>
        <v/>
      </c>
    </row>
    <row r="143" spans="1:23" ht="24" customHeight="1">
      <c r="A143" s="55" t="str">
        <f>IF(COUNTIF(ERP导入清单!$X$5:$X$204,139)=0,"",INDEX(ERP导入清单!A:A,IFERROR(MATCH(139,ERP导入清单!$X$5:$X$204,0)+4,"")))</f>
        <v/>
      </c>
      <c r="B143" s="37" t="str">
        <f>IF(COUNTIF(ERP导入清单!$X$5:$X$204,139)=0,"",INDEX(ERP导入清单!B:B,IFERROR(MATCH(139,ERP导入清单!$X$5:$X$204,0)+4,"")))</f>
        <v/>
      </c>
      <c r="C143" s="38" t="str">
        <f>IF(COUNTIF(ERP导入清单!$X$5:$X$204,139)=0,"",INDEX(ERP导入清单!C:C,IFERROR(MATCH(139,ERP导入清单!$X$5:$X$204,0)+4,"")))</f>
        <v/>
      </c>
      <c r="D143" s="37" t="str">
        <f>IF(COUNTIF(ERP导入清单!$X$5:$X$204,139)=0,"",INDEX(ERP导入清单!D:D,IFERROR(MATCH(139,ERP导入清单!$X$5:$X$204,0)+4,"")))</f>
        <v/>
      </c>
      <c r="E143" s="37" t="str">
        <f>IF(COUNTIF(ERP导入清单!$X$5:$X$204,139)=0,"",INDEX(ERP导入清单!E:E,IFERROR(MATCH(139,ERP导入清单!$X$5:$X$204,0)+4,"")))</f>
        <v/>
      </c>
      <c r="F143" s="37" t="str">
        <f>IF(COUNTIF(ERP导入清单!$X$5:$X$204,139)=0,"",INDEX(ERP导入清单!F:F,IFERROR(MATCH(139,ERP导入清单!$X$5:$X$204,0)+4,"")))</f>
        <v/>
      </c>
      <c r="G143" s="57" t="str">
        <f>IF(COUNTIF(ERP导入清单!$X$5:$X$204,139)=0,"",INDEX(ERP导入清单!G:G,IFERROR(MATCH(139,ERP导入清单!$X$5:$X$204,0)+4,"")))</f>
        <v/>
      </c>
      <c r="H143" s="37" t="str">
        <f>IF(COUNTIF(ERP导入清单!$X$5:$X$204,139)=0,"",INDEX(ERP导入清单!H:H,IFERROR(MATCH(139,ERP导入清单!$X$5:$X$204,0)+4,"")))</f>
        <v/>
      </c>
      <c r="I143" s="57" t="str">
        <f>IF(COUNTIF(ERP导入清单!$X$5:$X$204,139)=0,"",INDEX(ERP导入清单!I:I,IFERROR(MATCH(139,ERP导入清单!$X$5:$X$204,0)+4,"")))</f>
        <v/>
      </c>
      <c r="J143" s="57" t="str">
        <f>IF(COUNTIF(ERP导入清单!$X$5:$X$204,139)=0,"",INDEX(ERP导入清单!J:J,IFERROR(MATCH(139,ERP导入清单!$X$5:$X$204,0)+4,"")))</f>
        <v/>
      </c>
      <c r="K143" s="37" t="str">
        <f>IF(COUNTIF(ERP导入清单!$X$5:$X$204,139)=0,"",INDEX(ERP导入清单!K:K,IFERROR(MATCH(139,ERP导入清单!$X$5:$X$204,0)+4,"")))</f>
        <v/>
      </c>
      <c r="L143" s="37" t="str">
        <f>IF(COUNTIF(ERP导入清单!$X$5:$X$204,139)=0,"",INDEX(ERP导入清单!L:L,IFERROR(MATCH(139,ERP导入清单!$X$5:$X$204,0)+4,"")))</f>
        <v/>
      </c>
      <c r="M143" s="37" t="str">
        <f>IF(COUNTIF(ERP导入清单!$X$5:$X$204,139)=0,"",INDEX(ERP导入清单!M:M,IFERROR(MATCH(139,ERP导入清单!$X$5:$X$204,0)+4,"")))</f>
        <v/>
      </c>
      <c r="N143" s="37" t="str">
        <f>IF(COUNTIF(ERP导入清单!$X$5:$X$204,139)=0,"",INDEX(ERP导入清单!N:N,IFERROR(MATCH(139,ERP导入清单!$X$5:$X$204,0)+4,"")))</f>
        <v/>
      </c>
      <c r="O143" s="37" t="str">
        <f>IF(COUNTIF(ERP导入清单!$X$5:$X$204,139)=0,"",INDEX(ERP导入清单!O:O,IFERROR(MATCH(139,ERP导入清单!$X$5:$X$204,0)+4,"")))</f>
        <v/>
      </c>
      <c r="P143" s="39" t="str">
        <f>IF(COUNTIF(ERP导入清单!$X$5:$X$204,139)=0,"",INDEX(ERP导入清单!P:P,IFERROR(MATCH(139,ERP导入清单!$X$5:$X$204,0)+4,"")))</f>
        <v/>
      </c>
      <c r="Q143" s="39" t="str">
        <f>IF(COUNTIF(ERP导入清单!$X$5:$X$204,139)=0,"",INDEX(ERP导入清单!Q:Q,IFERROR(MATCH(139,ERP导入清单!$X$5:$X$204,0)+4,"")))</f>
        <v/>
      </c>
      <c r="R143" s="59" t="str">
        <f>IF(COUNTIF(ERP导入清单!$X$5:$X$204,139)=0,"",INDEX(ERP导入清单!R:R,IFERROR(MATCH(139,ERP导入清单!$X$5:$X$204,0)+4,"")))</f>
        <v/>
      </c>
      <c r="S143" s="37" t="str">
        <f>IF(COUNTIF(ERP导入清单!$X$5:$X$204,139)=0,"",INDEX(ERP导入清单!S:S,IFERROR(MATCH(139,ERP导入清单!$X$5:$X$204,0)+4,"")))</f>
        <v/>
      </c>
      <c r="T143" s="37" t="str">
        <f>IF(COUNTIF(ERP导入清单!$X$5:$X$204,139)=0,"",INDEX(ERP导入清单!T:T,IFERROR(MATCH(139,ERP导入清单!$X$5:$X$204,0)+4,"")))</f>
        <v/>
      </c>
      <c r="U143" s="37" t="str">
        <f>IF(COUNTIF(ERP导入清单!$X$5:$X$204,139)=0,"",INDEX(ERP导入清单!U:U,IFERROR(MATCH(139,ERP导入清单!$X$5:$X$204,0)+4,"")))</f>
        <v/>
      </c>
      <c r="V143" s="38" t="str">
        <f>IF(COUNTIF(ERP导入清单!$X$5:$X$204,139)=0,"",INDEX(ERP导入清单!V:V,IFERROR(MATCH(139,ERP导入清单!$X$5:$X$204,0)+4,"")))</f>
        <v/>
      </c>
      <c r="W143" s="50" t="str">
        <f>IF(COUNTIF(ERP导入清单!$X$5:$X$204,139)=0,"",INDEX(ERP导入清单!W:W,IFERROR(MATCH(139,ERP导入清单!$X$5:$X$204,0)+4,"")))</f>
        <v/>
      </c>
    </row>
    <row r="144" spans="1:23" ht="24" customHeight="1">
      <c r="A144" s="55" t="str">
        <f>IF(COUNTIF(ERP导入清单!$X$5:$X$204,140)=0,"",INDEX(ERP导入清单!A:A,IFERROR(MATCH(140,ERP导入清单!$X$5:$X$204,0)+4,"")))</f>
        <v/>
      </c>
      <c r="B144" s="37" t="str">
        <f>IF(COUNTIF(ERP导入清单!$X$5:$X$204,140)=0,"",INDEX(ERP导入清单!B:B,IFERROR(MATCH(140,ERP导入清单!$X$5:$X$204,0)+4,"")))</f>
        <v/>
      </c>
      <c r="C144" s="38" t="str">
        <f>IF(COUNTIF(ERP导入清单!$X$5:$X$204,140)=0,"",INDEX(ERP导入清单!C:C,IFERROR(MATCH(140,ERP导入清单!$X$5:$X$204,0)+4,"")))</f>
        <v/>
      </c>
      <c r="D144" s="37" t="str">
        <f>IF(COUNTIF(ERP导入清单!$X$5:$X$204,140)=0,"",INDEX(ERP导入清单!D:D,IFERROR(MATCH(140,ERP导入清单!$X$5:$X$204,0)+4,"")))</f>
        <v/>
      </c>
      <c r="E144" s="37" t="str">
        <f>IF(COUNTIF(ERP导入清单!$X$5:$X$204,140)=0,"",INDEX(ERP导入清单!E:E,IFERROR(MATCH(140,ERP导入清单!$X$5:$X$204,0)+4,"")))</f>
        <v/>
      </c>
      <c r="F144" s="37" t="str">
        <f>IF(COUNTIF(ERP导入清单!$X$5:$X$204,140)=0,"",INDEX(ERP导入清单!F:F,IFERROR(MATCH(140,ERP导入清单!$X$5:$X$204,0)+4,"")))</f>
        <v/>
      </c>
      <c r="G144" s="57" t="str">
        <f>IF(COUNTIF(ERP导入清单!$X$5:$X$204,140)=0,"",INDEX(ERP导入清单!G:G,IFERROR(MATCH(140,ERP导入清单!$X$5:$X$204,0)+4,"")))</f>
        <v/>
      </c>
      <c r="H144" s="37" t="str">
        <f>IF(COUNTIF(ERP导入清单!$X$5:$X$204,140)=0,"",INDEX(ERP导入清单!H:H,IFERROR(MATCH(140,ERP导入清单!$X$5:$X$204,0)+4,"")))</f>
        <v/>
      </c>
      <c r="I144" s="57" t="str">
        <f>IF(COUNTIF(ERP导入清单!$X$5:$X$204,140)=0,"",INDEX(ERP导入清单!I:I,IFERROR(MATCH(140,ERP导入清单!$X$5:$X$204,0)+4,"")))</f>
        <v/>
      </c>
      <c r="J144" s="57" t="str">
        <f>IF(COUNTIF(ERP导入清单!$X$5:$X$204,140)=0,"",INDEX(ERP导入清单!J:J,IFERROR(MATCH(140,ERP导入清单!$X$5:$X$204,0)+4,"")))</f>
        <v/>
      </c>
      <c r="K144" s="37" t="str">
        <f>IF(COUNTIF(ERP导入清单!$X$5:$X$204,140)=0,"",INDEX(ERP导入清单!K:K,IFERROR(MATCH(140,ERP导入清单!$X$5:$X$204,0)+4,"")))</f>
        <v/>
      </c>
      <c r="L144" s="37" t="str">
        <f>IF(COUNTIF(ERP导入清单!$X$5:$X$204,140)=0,"",INDEX(ERP导入清单!L:L,IFERROR(MATCH(140,ERP导入清单!$X$5:$X$204,0)+4,"")))</f>
        <v/>
      </c>
      <c r="M144" s="37" t="str">
        <f>IF(COUNTIF(ERP导入清单!$X$5:$X$204,140)=0,"",INDEX(ERP导入清单!M:M,IFERROR(MATCH(140,ERP导入清单!$X$5:$X$204,0)+4,"")))</f>
        <v/>
      </c>
      <c r="N144" s="37" t="str">
        <f>IF(COUNTIF(ERP导入清单!$X$5:$X$204,140)=0,"",INDEX(ERP导入清单!N:N,IFERROR(MATCH(140,ERP导入清单!$X$5:$X$204,0)+4,"")))</f>
        <v/>
      </c>
      <c r="O144" s="37" t="str">
        <f>IF(COUNTIF(ERP导入清单!$X$5:$X$204,140)=0,"",INDEX(ERP导入清单!O:O,IFERROR(MATCH(140,ERP导入清单!$X$5:$X$204,0)+4,"")))</f>
        <v/>
      </c>
      <c r="P144" s="39" t="str">
        <f>IF(COUNTIF(ERP导入清单!$X$5:$X$204,140)=0,"",INDEX(ERP导入清单!P:P,IFERROR(MATCH(140,ERP导入清单!$X$5:$X$204,0)+4,"")))</f>
        <v/>
      </c>
      <c r="Q144" s="39" t="str">
        <f>IF(COUNTIF(ERP导入清单!$X$5:$X$204,140)=0,"",INDEX(ERP导入清单!Q:Q,IFERROR(MATCH(140,ERP导入清单!$X$5:$X$204,0)+4,"")))</f>
        <v/>
      </c>
      <c r="R144" s="59" t="str">
        <f>IF(COUNTIF(ERP导入清单!$X$5:$X$204,140)=0,"",INDEX(ERP导入清单!R:R,IFERROR(MATCH(140,ERP导入清单!$X$5:$X$204,0)+4,"")))</f>
        <v/>
      </c>
      <c r="S144" s="37" t="str">
        <f>IF(COUNTIF(ERP导入清单!$X$5:$X$204,140)=0,"",INDEX(ERP导入清单!S:S,IFERROR(MATCH(140,ERP导入清单!$X$5:$X$204,0)+4,"")))</f>
        <v/>
      </c>
      <c r="T144" s="37" t="str">
        <f>IF(COUNTIF(ERP导入清单!$X$5:$X$204,140)=0,"",INDEX(ERP导入清单!T:T,IFERROR(MATCH(140,ERP导入清单!$X$5:$X$204,0)+4,"")))</f>
        <v/>
      </c>
      <c r="U144" s="37" t="str">
        <f>IF(COUNTIF(ERP导入清单!$X$5:$X$204,140)=0,"",INDEX(ERP导入清单!U:U,IFERROR(MATCH(140,ERP导入清单!$X$5:$X$204,0)+4,"")))</f>
        <v/>
      </c>
      <c r="V144" s="38" t="str">
        <f>IF(COUNTIF(ERP导入清单!$X$5:$X$204,140)=0,"",INDEX(ERP导入清单!V:V,IFERROR(MATCH(140,ERP导入清单!$X$5:$X$204,0)+4,"")))</f>
        <v/>
      </c>
      <c r="W144" s="50" t="str">
        <f>IF(COUNTIF(ERP导入清单!$X$5:$X$204,140)=0,"",INDEX(ERP导入清单!W:W,IFERROR(MATCH(140,ERP导入清单!$X$5:$X$204,0)+4,"")))</f>
        <v/>
      </c>
    </row>
    <row r="145" spans="1:23" ht="24" customHeight="1">
      <c r="A145" s="55" t="str">
        <f>IF(COUNTIF(ERP导入清单!$X$5:$X$204,141)=0,"",INDEX(ERP导入清单!A:A,IFERROR(MATCH(141,ERP导入清单!$X$5:$X$204,0)+4,"")))</f>
        <v/>
      </c>
      <c r="B145" s="37" t="str">
        <f>IF(COUNTIF(ERP导入清单!$X$5:$X$204,141)=0,"",INDEX(ERP导入清单!B:B,IFERROR(MATCH(141,ERP导入清单!$X$5:$X$204,0)+4,"")))</f>
        <v/>
      </c>
      <c r="C145" s="38" t="str">
        <f>IF(COUNTIF(ERP导入清单!$X$5:$X$204,141)=0,"",INDEX(ERP导入清单!C:C,IFERROR(MATCH(141,ERP导入清单!$X$5:$X$204,0)+4,"")))</f>
        <v/>
      </c>
      <c r="D145" s="37" t="str">
        <f>IF(COUNTIF(ERP导入清单!$X$5:$X$204,141)=0,"",INDEX(ERP导入清单!D:D,IFERROR(MATCH(141,ERP导入清单!$X$5:$X$204,0)+4,"")))</f>
        <v/>
      </c>
      <c r="E145" s="37" t="str">
        <f>IF(COUNTIF(ERP导入清单!$X$5:$X$204,141)=0,"",INDEX(ERP导入清单!E:E,IFERROR(MATCH(141,ERP导入清单!$X$5:$X$204,0)+4,"")))</f>
        <v/>
      </c>
      <c r="F145" s="37" t="str">
        <f>IF(COUNTIF(ERP导入清单!$X$5:$X$204,141)=0,"",INDEX(ERP导入清单!F:F,IFERROR(MATCH(141,ERP导入清单!$X$5:$X$204,0)+4,"")))</f>
        <v/>
      </c>
      <c r="G145" s="57" t="str">
        <f>IF(COUNTIF(ERP导入清单!$X$5:$X$204,141)=0,"",INDEX(ERP导入清单!G:G,IFERROR(MATCH(141,ERP导入清单!$X$5:$X$204,0)+4,"")))</f>
        <v/>
      </c>
      <c r="H145" s="37" t="str">
        <f>IF(COUNTIF(ERP导入清单!$X$5:$X$204,141)=0,"",INDEX(ERP导入清单!H:H,IFERROR(MATCH(141,ERP导入清单!$X$5:$X$204,0)+4,"")))</f>
        <v/>
      </c>
      <c r="I145" s="57" t="str">
        <f>IF(COUNTIF(ERP导入清单!$X$5:$X$204,141)=0,"",INDEX(ERP导入清单!I:I,IFERROR(MATCH(141,ERP导入清单!$X$5:$X$204,0)+4,"")))</f>
        <v/>
      </c>
      <c r="J145" s="57" t="str">
        <f>IF(COUNTIF(ERP导入清单!$X$5:$X$204,141)=0,"",INDEX(ERP导入清单!J:J,IFERROR(MATCH(141,ERP导入清单!$X$5:$X$204,0)+4,"")))</f>
        <v/>
      </c>
      <c r="K145" s="37" t="str">
        <f>IF(COUNTIF(ERP导入清单!$X$5:$X$204,141)=0,"",INDEX(ERP导入清单!K:K,IFERROR(MATCH(141,ERP导入清单!$X$5:$X$204,0)+4,"")))</f>
        <v/>
      </c>
      <c r="L145" s="37" t="str">
        <f>IF(COUNTIF(ERP导入清单!$X$5:$X$204,141)=0,"",INDEX(ERP导入清单!L:L,IFERROR(MATCH(141,ERP导入清单!$X$5:$X$204,0)+4,"")))</f>
        <v/>
      </c>
      <c r="M145" s="37" t="str">
        <f>IF(COUNTIF(ERP导入清单!$X$5:$X$204,141)=0,"",INDEX(ERP导入清单!M:M,IFERROR(MATCH(141,ERP导入清单!$X$5:$X$204,0)+4,"")))</f>
        <v/>
      </c>
      <c r="N145" s="37" t="str">
        <f>IF(COUNTIF(ERP导入清单!$X$5:$X$204,141)=0,"",INDEX(ERP导入清单!N:N,IFERROR(MATCH(141,ERP导入清单!$X$5:$X$204,0)+4,"")))</f>
        <v/>
      </c>
      <c r="O145" s="37" t="str">
        <f>IF(COUNTIF(ERP导入清单!$X$5:$X$204,141)=0,"",INDEX(ERP导入清单!O:O,IFERROR(MATCH(141,ERP导入清单!$X$5:$X$204,0)+4,"")))</f>
        <v/>
      </c>
      <c r="P145" s="39" t="str">
        <f>IF(COUNTIF(ERP导入清单!$X$5:$X$204,141)=0,"",INDEX(ERP导入清单!P:P,IFERROR(MATCH(141,ERP导入清单!$X$5:$X$204,0)+4,"")))</f>
        <v/>
      </c>
      <c r="Q145" s="39" t="str">
        <f>IF(COUNTIF(ERP导入清单!$X$5:$X$204,141)=0,"",INDEX(ERP导入清单!Q:Q,IFERROR(MATCH(141,ERP导入清单!$X$5:$X$204,0)+4,"")))</f>
        <v/>
      </c>
      <c r="R145" s="59" t="str">
        <f>IF(COUNTIF(ERP导入清单!$X$5:$X$204,141)=0,"",INDEX(ERP导入清单!R:R,IFERROR(MATCH(141,ERP导入清单!$X$5:$X$204,0)+4,"")))</f>
        <v/>
      </c>
      <c r="S145" s="37" t="str">
        <f>IF(COUNTIF(ERP导入清单!$X$5:$X$204,141)=0,"",INDEX(ERP导入清单!S:S,IFERROR(MATCH(141,ERP导入清单!$X$5:$X$204,0)+4,"")))</f>
        <v/>
      </c>
      <c r="T145" s="37" t="str">
        <f>IF(COUNTIF(ERP导入清单!$X$5:$X$204,141)=0,"",INDEX(ERP导入清单!T:T,IFERROR(MATCH(141,ERP导入清单!$X$5:$X$204,0)+4,"")))</f>
        <v/>
      </c>
      <c r="U145" s="37" t="str">
        <f>IF(COUNTIF(ERP导入清单!$X$5:$X$204,141)=0,"",INDEX(ERP导入清单!U:U,IFERROR(MATCH(141,ERP导入清单!$X$5:$X$204,0)+4,"")))</f>
        <v/>
      </c>
      <c r="V145" s="38" t="str">
        <f>IF(COUNTIF(ERP导入清单!$X$5:$X$204,141)=0,"",INDEX(ERP导入清单!V:V,IFERROR(MATCH(141,ERP导入清单!$X$5:$X$204,0)+4,"")))</f>
        <v/>
      </c>
      <c r="W145" s="50" t="str">
        <f>IF(COUNTIF(ERP导入清单!$X$5:$X$204,141)=0,"",INDEX(ERP导入清单!W:W,IFERROR(MATCH(141,ERP导入清单!$X$5:$X$204,0)+4,"")))</f>
        <v/>
      </c>
    </row>
    <row r="146" spans="1:23" ht="24" customHeight="1">
      <c r="A146" s="55" t="str">
        <f>IF(COUNTIF(ERP导入清单!$X$5:$X$204,142)=0,"",INDEX(ERP导入清单!A:A,IFERROR(MATCH(142,ERP导入清单!$X$5:$X$204,0)+4,"")))</f>
        <v/>
      </c>
      <c r="B146" s="37" t="str">
        <f>IF(COUNTIF(ERP导入清单!$X$5:$X$204,142)=0,"",INDEX(ERP导入清单!B:B,IFERROR(MATCH(142,ERP导入清单!$X$5:$X$204,0)+4,"")))</f>
        <v/>
      </c>
      <c r="C146" s="38" t="str">
        <f>IF(COUNTIF(ERP导入清单!$X$5:$X$204,142)=0,"",INDEX(ERP导入清单!C:C,IFERROR(MATCH(142,ERP导入清单!$X$5:$X$204,0)+4,"")))</f>
        <v/>
      </c>
      <c r="D146" s="37" t="str">
        <f>IF(COUNTIF(ERP导入清单!$X$5:$X$204,142)=0,"",INDEX(ERP导入清单!D:D,IFERROR(MATCH(142,ERP导入清单!$X$5:$X$204,0)+4,"")))</f>
        <v/>
      </c>
      <c r="E146" s="37" t="str">
        <f>IF(COUNTIF(ERP导入清单!$X$5:$X$204,142)=0,"",INDEX(ERP导入清单!E:E,IFERROR(MATCH(142,ERP导入清单!$X$5:$X$204,0)+4,"")))</f>
        <v/>
      </c>
      <c r="F146" s="37" t="str">
        <f>IF(COUNTIF(ERP导入清单!$X$5:$X$204,142)=0,"",INDEX(ERP导入清单!F:F,IFERROR(MATCH(142,ERP导入清单!$X$5:$X$204,0)+4,"")))</f>
        <v/>
      </c>
      <c r="G146" s="57" t="str">
        <f>IF(COUNTIF(ERP导入清单!$X$5:$X$204,142)=0,"",INDEX(ERP导入清单!G:G,IFERROR(MATCH(142,ERP导入清单!$X$5:$X$204,0)+4,"")))</f>
        <v/>
      </c>
      <c r="H146" s="37" t="str">
        <f>IF(COUNTIF(ERP导入清单!$X$5:$X$204,142)=0,"",INDEX(ERP导入清单!H:H,IFERROR(MATCH(142,ERP导入清单!$X$5:$X$204,0)+4,"")))</f>
        <v/>
      </c>
      <c r="I146" s="57" t="str">
        <f>IF(COUNTIF(ERP导入清单!$X$5:$X$204,142)=0,"",INDEX(ERP导入清单!I:I,IFERROR(MATCH(142,ERP导入清单!$X$5:$X$204,0)+4,"")))</f>
        <v/>
      </c>
      <c r="J146" s="57" t="str">
        <f>IF(COUNTIF(ERP导入清单!$X$5:$X$204,142)=0,"",INDEX(ERP导入清单!J:J,IFERROR(MATCH(142,ERP导入清单!$X$5:$X$204,0)+4,"")))</f>
        <v/>
      </c>
      <c r="K146" s="37" t="str">
        <f>IF(COUNTIF(ERP导入清单!$X$5:$X$204,142)=0,"",INDEX(ERP导入清单!K:K,IFERROR(MATCH(142,ERP导入清单!$X$5:$X$204,0)+4,"")))</f>
        <v/>
      </c>
      <c r="L146" s="37" t="str">
        <f>IF(COUNTIF(ERP导入清单!$X$5:$X$204,142)=0,"",INDEX(ERP导入清单!L:L,IFERROR(MATCH(142,ERP导入清单!$X$5:$X$204,0)+4,"")))</f>
        <v/>
      </c>
      <c r="M146" s="37" t="str">
        <f>IF(COUNTIF(ERP导入清单!$X$5:$X$204,142)=0,"",INDEX(ERP导入清单!M:M,IFERROR(MATCH(142,ERP导入清单!$X$5:$X$204,0)+4,"")))</f>
        <v/>
      </c>
      <c r="N146" s="37" t="str">
        <f>IF(COUNTIF(ERP导入清单!$X$5:$X$204,142)=0,"",INDEX(ERP导入清单!N:N,IFERROR(MATCH(142,ERP导入清单!$X$5:$X$204,0)+4,"")))</f>
        <v/>
      </c>
      <c r="O146" s="37" t="str">
        <f>IF(COUNTIF(ERP导入清单!$X$5:$X$204,142)=0,"",INDEX(ERP导入清单!O:O,IFERROR(MATCH(142,ERP导入清单!$X$5:$X$204,0)+4,"")))</f>
        <v/>
      </c>
      <c r="P146" s="39" t="str">
        <f>IF(COUNTIF(ERP导入清单!$X$5:$X$204,142)=0,"",INDEX(ERP导入清单!P:P,IFERROR(MATCH(142,ERP导入清单!$X$5:$X$204,0)+4,"")))</f>
        <v/>
      </c>
      <c r="Q146" s="39" t="str">
        <f>IF(COUNTIF(ERP导入清单!$X$5:$X$204,142)=0,"",INDEX(ERP导入清单!Q:Q,IFERROR(MATCH(142,ERP导入清单!$X$5:$X$204,0)+4,"")))</f>
        <v/>
      </c>
      <c r="R146" s="59" t="str">
        <f>IF(COUNTIF(ERP导入清单!$X$5:$X$204,142)=0,"",INDEX(ERP导入清单!R:R,IFERROR(MATCH(142,ERP导入清单!$X$5:$X$204,0)+4,"")))</f>
        <v/>
      </c>
      <c r="S146" s="37" t="str">
        <f>IF(COUNTIF(ERP导入清单!$X$5:$X$204,142)=0,"",INDEX(ERP导入清单!S:S,IFERROR(MATCH(142,ERP导入清单!$X$5:$X$204,0)+4,"")))</f>
        <v/>
      </c>
      <c r="T146" s="37" t="str">
        <f>IF(COUNTIF(ERP导入清单!$X$5:$X$204,142)=0,"",INDEX(ERP导入清单!T:T,IFERROR(MATCH(142,ERP导入清单!$X$5:$X$204,0)+4,"")))</f>
        <v/>
      </c>
      <c r="U146" s="37" t="str">
        <f>IF(COUNTIF(ERP导入清单!$X$5:$X$204,142)=0,"",INDEX(ERP导入清单!U:U,IFERROR(MATCH(142,ERP导入清单!$X$5:$X$204,0)+4,"")))</f>
        <v/>
      </c>
      <c r="V146" s="38" t="str">
        <f>IF(COUNTIF(ERP导入清单!$X$5:$X$204,142)=0,"",INDEX(ERP导入清单!V:V,IFERROR(MATCH(142,ERP导入清单!$X$5:$X$204,0)+4,"")))</f>
        <v/>
      </c>
      <c r="W146" s="50" t="str">
        <f>IF(COUNTIF(ERP导入清单!$X$5:$X$204,142)=0,"",INDEX(ERP导入清单!W:W,IFERROR(MATCH(142,ERP导入清单!$X$5:$X$204,0)+4,"")))</f>
        <v/>
      </c>
    </row>
    <row r="147" spans="1:23" ht="24" customHeight="1">
      <c r="A147" s="55" t="str">
        <f>IF(COUNTIF(ERP导入清单!$X$5:$X$204,143)=0,"",INDEX(ERP导入清单!A:A,IFERROR(MATCH(143,ERP导入清单!$X$5:$X$204,0)+4,"")))</f>
        <v/>
      </c>
      <c r="B147" s="37" t="str">
        <f>IF(COUNTIF(ERP导入清单!$X$5:$X$204,143)=0,"",INDEX(ERP导入清单!B:B,IFERROR(MATCH(143,ERP导入清单!$X$5:$X$204,0)+4,"")))</f>
        <v/>
      </c>
      <c r="C147" s="38" t="str">
        <f>IF(COUNTIF(ERP导入清单!$X$5:$X$204,143)=0,"",INDEX(ERP导入清单!C:C,IFERROR(MATCH(143,ERP导入清单!$X$5:$X$204,0)+4,"")))</f>
        <v/>
      </c>
      <c r="D147" s="37" t="str">
        <f>IF(COUNTIF(ERP导入清单!$X$5:$X$204,143)=0,"",INDEX(ERP导入清单!D:D,IFERROR(MATCH(143,ERP导入清单!$X$5:$X$204,0)+4,"")))</f>
        <v/>
      </c>
      <c r="E147" s="37" t="str">
        <f>IF(COUNTIF(ERP导入清单!$X$5:$X$204,143)=0,"",INDEX(ERP导入清单!E:E,IFERROR(MATCH(143,ERP导入清单!$X$5:$X$204,0)+4,"")))</f>
        <v/>
      </c>
      <c r="F147" s="37" t="str">
        <f>IF(COUNTIF(ERP导入清单!$X$5:$X$204,143)=0,"",INDEX(ERP导入清单!F:F,IFERROR(MATCH(143,ERP导入清单!$X$5:$X$204,0)+4,"")))</f>
        <v/>
      </c>
      <c r="G147" s="57" t="str">
        <f>IF(COUNTIF(ERP导入清单!$X$5:$X$204,143)=0,"",INDEX(ERP导入清单!G:G,IFERROR(MATCH(143,ERP导入清单!$X$5:$X$204,0)+4,"")))</f>
        <v/>
      </c>
      <c r="H147" s="37" t="str">
        <f>IF(COUNTIF(ERP导入清单!$X$5:$X$204,143)=0,"",INDEX(ERP导入清单!H:H,IFERROR(MATCH(143,ERP导入清单!$X$5:$X$204,0)+4,"")))</f>
        <v/>
      </c>
      <c r="I147" s="57" t="str">
        <f>IF(COUNTIF(ERP导入清单!$X$5:$X$204,143)=0,"",INDEX(ERP导入清单!I:I,IFERROR(MATCH(143,ERP导入清单!$X$5:$X$204,0)+4,"")))</f>
        <v/>
      </c>
      <c r="J147" s="57" t="str">
        <f>IF(COUNTIF(ERP导入清单!$X$5:$X$204,143)=0,"",INDEX(ERP导入清单!J:J,IFERROR(MATCH(143,ERP导入清单!$X$5:$X$204,0)+4,"")))</f>
        <v/>
      </c>
      <c r="K147" s="37" t="str">
        <f>IF(COUNTIF(ERP导入清单!$X$5:$X$204,143)=0,"",INDEX(ERP导入清单!K:K,IFERROR(MATCH(143,ERP导入清单!$X$5:$X$204,0)+4,"")))</f>
        <v/>
      </c>
      <c r="L147" s="37" t="str">
        <f>IF(COUNTIF(ERP导入清单!$X$5:$X$204,143)=0,"",INDEX(ERP导入清单!L:L,IFERROR(MATCH(143,ERP导入清单!$X$5:$X$204,0)+4,"")))</f>
        <v/>
      </c>
      <c r="M147" s="37" t="str">
        <f>IF(COUNTIF(ERP导入清单!$X$5:$X$204,143)=0,"",INDEX(ERP导入清单!M:M,IFERROR(MATCH(143,ERP导入清单!$X$5:$X$204,0)+4,"")))</f>
        <v/>
      </c>
      <c r="N147" s="37" t="str">
        <f>IF(COUNTIF(ERP导入清单!$X$5:$X$204,143)=0,"",INDEX(ERP导入清单!N:N,IFERROR(MATCH(143,ERP导入清单!$X$5:$X$204,0)+4,"")))</f>
        <v/>
      </c>
      <c r="O147" s="37" t="str">
        <f>IF(COUNTIF(ERP导入清单!$X$5:$X$204,143)=0,"",INDEX(ERP导入清单!O:O,IFERROR(MATCH(143,ERP导入清单!$X$5:$X$204,0)+4,"")))</f>
        <v/>
      </c>
      <c r="P147" s="39" t="str">
        <f>IF(COUNTIF(ERP导入清单!$X$5:$X$204,143)=0,"",INDEX(ERP导入清单!P:P,IFERROR(MATCH(143,ERP导入清单!$X$5:$X$204,0)+4,"")))</f>
        <v/>
      </c>
      <c r="Q147" s="39" t="str">
        <f>IF(COUNTIF(ERP导入清单!$X$5:$X$204,143)=0,"",INDEX(ERP导入清单!Q:Q,IFERROR(MATCH(143,ERP导入清单!$X$5:$X$204,0)+4,"")))</f>
        <v/>
      </c>
      <c r="R147" s="59" t="str">
        <f>IF(COUNTIF(ERP导入清单!$X$5:$X$204,143)=0,"",INDEX(ERP导入清单!R:R,IFERROR(MATCH(143,ERP导入清单!$X$5:$X$204,0)+4,"")))</f>
        <v/>
      </c>
      <c r="S147" s="37" t="str">
        <f>IF(COUNTIF(ERP导入清单!$X$5:$X$204,143)=0,"",INDEX(ERP导入清单!S:S,IFERROR(MATCH(143,ERP导入清单!$X$5:$X$204,0)+4,"")))</f>
        <v/>
      </c>
      <c r="T147" s="37" t="str">
        <f>IF(COUNTIF(ERP导入清单!$X$5:$X$204,143)=0,"",INDEX(ERP导入清单!T:T,IFERROR(MATCH(143,ERP导入清单!$X$5:$X$204,0)+4,"")))</f>
        <v/>
      </c>
      <c r="U147" s="37" t="str">
        <f>IF(COUNTIF(ERP导入清单!$X$5:$X$204,143)=0,"",INDEX(ERP导入清单!U:U,IFERROR(MATCH(143,ERP导入清单!$X$5:$X$204,0)+4,"")))</f>
        <v/>
      </c>
      <c r="V147" s="38" t="str">
        <f>IF(COUNTIF(ERP导入清单!$X$5:$X$204,143)=0,"",INDEX(ERP导入清单!V:V,IFERROR(MATCH(143,ERP导入清单!$X$5:$X$204,0)+4,"")))</f>
        <v/>
      </c>
      <c r="W147" s="50" t="str">
        <f>IF(COUNTIF(ERP导入清单!$X$5:$X$204,143)=0,"",INDEX(ERP导入清单!W:W,IFERROR(MATCH(143,ERP导入清单!$X$5:$X$204,0)+4,"")))</f>
        <v/>
      </c>
    </row>
    <row r="148" spans="1:23" ht="24" customHeight="1">
      <c r="A148" s="55" t="str">
        <f>IF(COUNTIF(ERP导入清单!$X$5:$X$204,144)=0,"",INDEX(ERP导入清单!A:A,IFERROR(MATCH(144,ERP导入清单!$X$5:$X$204,0)+4,"")))</f>
        <v/>
      </c>
      <c r="B148" s="37" t="str">
        <f>IF(COUNTIF(ERP导入清单!$X$5:$X$204,144)=0,"",INDEX(ERP导入清单!B:B,IFERROR(MATCH(144,ERP导入清单!$X$5:$X$204,0)+4,"")))</f>
        <v/>
      </c>
      <c r="C148" s="38" t="str">
        <f>IF(COUNTIF(ERP导入清单!$X$5:$X$204,144)=0,"",INDEX(ERP导入清单!C:C,IFERROR(MATCH(144,ERP导入清单!$X$5:$X$204,0)+4,"")))</f>
        <v/>
      </c>
      <c r="D148" s="37" t="str">
        <f>IF(COUNTIF(ERP导入清单!$X$5:$X$204,144)=0,"",INDEX(ERP导入清单!D:D,IFERROR(MATCH(144,ERP导入清单!$X$5:$X$204,0)+4,"")))</f>
        <v/>
      </c>
      <c r="E148" s="37" t="str">
        <f>IF(COUNTIF(ERP导入清单!$X$5:$X$204,144)=0,"",INDEX(ERP导入清单!E:E,IFERROR(MATCH(144,ERP导入清单!$X$5:$X$204,0)+4,"")))</f>
        <v/>
      </c>
      <c r="F148" s="37" t="str">
        <f>IF(COUNTIF(ERP导入清单!$X$5:$X$204,144)=0,"",INDEX(ERP导入清单!F:F,IFERROR(MATCH(144,ERP导入清单!$X$5:$X$204,0)+4,"")))</f>
        <v/>
      </c>
      <c r="G148" s="57" t="str">
        <f>IF(COUNTIF(ERP导入清单!$X$5:$X$204,144)=0,"",INDEX(ERP导入清单!G:G,IFERROR(MATCH(144,ERP导入清单!$X$5:$X$204,0)+4,"")))</f>
        <v/>
      </c>
      <c r="H148" s="37" t="str">
        <f>IF(COUNTIF(ERP导入清单!$X$5:$X$204,144)=0,"",INDEX(ERP导入清单!H:H,IFERROR(MATCH(144,ERP导入清单!$X$5:$X$204,0)+4,"")))</f>
        <v/>
      </c>
      <c r="I148" s="57" t="str">
        <f>IF(COUNTIF(ERP导入清单!$X$5:$X$204,144)=0,"",INDEX(ERP导入清单!I:I,IFERROR(MATCH(144,ERP导入清单!$X$5:$X$204,0)+4,"")))</f>
        <v/>
      </c>
      <c r="J148" s="57" t="str">
        <f>IF(COUNTIF(ERP导入清单!$X$5:$X$204,144)=0,"",INDEX(ERP导入清单!J:J,IFERROR(MATCH(144,ERP导入清单!$X$5:$X$204,0)+4,"")))</f>
        <v/>
      </c>
      <c r="K148" s="37" t="str">
        <f>IF(COUNTIF(ERP导入清单!$X$5:$X$204,144)=0,"",INDEX(ERP导入清单!K:K,IFERROR(MATCH(144,ERP导入清单!$X$5:$X$204,0)+4,"")))</f>
        <v/>
      </c>
      <c r="L148" s="37" t="str">
        <f>IF(COUNTIF(ERP导入清单!$X$5:$X$204,144)=0,"",INDEX(ERP导入清单!L:L,IFERROR(MATCH(144,ERP导入清单!$X$5:$X$204,0)+4,"")))</f>
        <v/>
      </c>
      <c r="M148" s="37" t="str">
        <f>IF(COUNTIF(ERP导入清单!$X$5:$X$204,144)=0,"",INDEX(ERP导入清单!M:M,IFERROR(MATCH(144,ERP导入清单!$X$5:$X$204,0)+4,"")))</f>
        <v/>
      </c>
      <c r="N148" s="37" t="str">
        <f>IF(COUNTIF(ERP导入清单!$X$5:$X$204,144)=0,"",INDEX(ERP导入清单!N:N,IFERROR(MATCH(144,ERP导入清单!$X$5:$X$204,0)+4,"")))</f>
        <v/>
      </c>
      <c r="O148" s="37" t="str">
        <f>IF(COUNTIF(ERP导入清单!$X$5:$X$204,144)=0,"",INDEX(ERP导入清单!O:O,IFERROR(MATCH(144,ERP导入清单!$X$5:$X$204,0)+4,"")))</f>
        <v/>
      </c>
      <c r="P148" s="39" t="str">
        <f>IF(COUNTIF(ERP导入清单!$X$5:$X$204,144)=0,"",INDEX(ERP导入清单!P:P,IFERROR(MATCH(144,ERP导入清单!$X$5:$X$204,0)+4,"")))</f>
        <v/>
      </c>
      <c r="Q148" s="39" t="str">
        <f>IF(COUNTIF(ERP导入清单!$X$5:$X$204,144)=0,"",INDEX(ERP导入清单!Q:Q,IFERROR(MATCH(144,ERP导入清单!$X$5:$X$204,0)+4,"")))</f>
        <v/>
      </c>
      <c r="R148" s="59" t="str">
        <f>IF(COUNTIF(ERP导入清单!$X$5:$X$204,144)=0,"",INDEX(ERP导入清单!R:R,IFERROR(MATCH(144,ERP导入清单!$X$5:$X$204,0)+4,"")))</f>
        <v/>
      </c>
      <c r="S148" s="37" t="str">
        <f>IF(COUNTIF(ERP导入清单!$X$5:$X$204,144)=0,"",INDEX(ERP导入清单!S:S,IFERROR(MATCH(144,ERP导入清单!$X$5:$X$204,0)+4,"")))</f>
        <v/>
      </c>
      <c r="T148" s="37" t="str">
        <f>IF(COUNTIF(ERP导入清单!$X$5:$X$204,144)=0,"",INDEX(ERP导入清单!T:T,IFERROR(MATCH(144,ERP导入清单!$X$5:$X$204,0)+4,"")))</f>
        <v/>
      </c>
      <c r="U148" s="37" t="str">
        <f>IF(COUNTIF(ERP导入清单!$X$5:$X$204,144)=0,"",INDEX(ERP导入清单!U:U,IFERROR(MATCH(144,ERP导入清单!$X$5:$X$204,0)+4,"")))</f>
        <v/>
      </c>
      <c r="V148" s="38" t="str">
        <f>IF(COUNTIF(ERP导入清单!$X$5:$X$204,144)=0,"",INDEX(ERP导入清单!V:V,IFERROR(MATCH(144,ERP导入清单!$X$5:$X$204,0)+4,"")))</f>
        <v/>
      </c>
      <c r="W148" s="50" t="str">
        <f>IF(COUNTIF(ERP导入清单!$X$5:$X$204,144)=0,"",INDEX(ERP导入清单!W:W,IFERROR(MATCH(144,ERP导入清单!$X$5:$X$204,0)+4,"")))</f>
        <v/>
      </c>
    </row>
    <row r="149" spans="1:23" ht="24" customHeight="1">
      <c r="A149" s="55" t="str">
        <f>IF(COUNTIF(ERP导入清单!$X$5:$X$204,145)=0,"",INDEX(ERP导入清单!A:A,IFERROR(MATCH(145,ERP导入清单!$X$5:$X$204,0)+4,"")))</f>
        <v/>
      </c>
      <c r="B149" s="37" t="str">
        <f>IF(COUNTIF(ERP导入清单!$X$5:$X$204,145)=0,"",INDEX(ERP导入清单!B:B,IFERROR(MATCH(145,ERP导入清单!$X$5:$X$204,0)+4,"")))</f>
        <v/>
      </c>
      <c r="C149" s="38" t="str">
        <f>IF(COUNTIF(ERP导入清单!$X$5:$X$204,145)=0,"",INDEX(ERP导入清单!C:C,IFERROR(MATCH(145,ERP导入清单!$X$5:$X$204,0)+4,"")))</f>
        <v/>
      </c>
      <c r="D149" s="37" t="str">
        <f>IF(COUNTIF(ERP导入清单!$X$5:$X$204,145)=0,"",INDEX(ERP导入清单!D:D,IFERROR(MATCH(145,ERP导入清单!$X$5:$X$204,0)+4,"")))</f>
        <v/>
      </c>
      <c r="E149" s="37" t="str">
        <f>IF(COUNTIF(ERP导入清单!$X$5:$X$204,145)=0,"",INDEX(ERP导入清单!E:E,IFERROR(MATCH(145,ERP导入清单!$X$5:$X$204,0)+4,"")))</f>
        <v/>
      </c>
      <c r="F149" s="37" t="str">
        <f>IF(COUNTIF(ERP导入清单!$X$5:$X$204,145)=0,"",INDEX(ERP导入清单!F:F,IFERROR(MATCH(145,ERP导入清单!$X$5:$X$204,0)+4,"")))</f>
        <v/>
      </c>
      <c r="G149" s="57" t="str">
        <f>IF(COUNTIF(ERP导入清单!$X$5:$X$204,145)=0,"",INDEX(ERP导入清单!G:G,IFERROR(MATCH(145,ERP导入清单!$X$5:$X$204,0)+4,"")))</f>
        <v/>
      </c>
      <c r="H149" s="37" t="str">
        <f>IF(COUNTIF(ERP导入清单!$X$5:$X$204,145)=0,"",INDEX(ERP导入清单!H:H,IFERROR(MATCH(145,ERP导入清单!$X$5:$X$204,0)+4,"")))</f>
        <v/>
      </c>
      <c r="I149" s="57" t="str">
        <f>IF(COUNTIF(ERP导入清单!$X$5:$X$204,145)=0,"",INDEX(ERP导入清单!I:I,IFERROR(MATCH(145,ERP导入清单!$X$5:$X$204,0)+4,"")))</f>
        <v/>
      </c>
      <c r="J149" s="57" t="str">
        <f>IF(COUNTIF(ERP导入清单!$X$5:$X$204,145)=0,"",INDEX(ERP导入清单!J:J,IFERROR(MATCH(145,ERP导入清单!$X$5:$X$204,0)+4,"")))</f>
        <v/>
      </c>
      <c r="K149" s="37" t="str">
        <f>IF(COUNTIF(ERP导入清单!$X$5:$X$204,145)=0,"",INDEX(ERP导入清单!K:K,IFERROR(MATCH(145,ERP导入清单!$X$5:$X$204,0)+4,"")))</f>
        <v/>
      </c>
      <c r="L149" s="37" t="str">
        <f>IF(COUNTIF(ERP导入清单!$X$5:$X$204,145)=0,"",INDEX(ERP导入清单!L:L,IFERROR(MATCH(145,ERP导入清单!$X$5:$X$204,0)+4,"")))</f>
        <v/>
      </c>
      <c r="M149" s="37" t="str">
        <f>IF(COUNTIF(ERP导入清单!$X$5:$X$204,145)=0,"",INDEX(ERP导入清单!M:M,IFERROR(MATCH(145,ERP导入清单!$X$5:$X$204,0)+4,"")))</f>
        <v/>
      </c>
      <c r="N149" s="37" t="str">
        <f>IF(COUNTIF(ERP导入清单!$X$5:$X$204,145)=0,"",INDEX(ERP导入清单!N:N,IFERROR(MATCH(145,ERP导入清单!$X$5:$X$204,0)+4,"")))</f>
        <v/>
      </c>
      <c r="O149" s="37" t="str">
        <f>IF(COUNTIF(ERP导入清单!$X$5:$X$204,145)=0,"",INDEX(ERP导入清单!O:O,IFERROR(MATCH(145,ERP导入清单!$X$5:$X$204,0)+4,"")))</f>
        <v/>
      </c>
      <c r="P149" s="39" t="str">
        <f>IF(COUNTIF(ERP导入清单!$X$5:$X$204,145)=0,"",INDEX(ERP导入清单!P:P,IFERROR(MATCH(145,ERP导入清单!$X$5:$X$204,0)+4,"")))</f>
        <v/>
      </c>
      <c r="Q149" s="39" t="str">
        <f>IF(COUNTIF(ERP导入清单!$X$5:$X$204,145)=0,"",INDEX(ERP导入清单!Q:Q,IFERROR(MATCH(145,ERP导入清单!$X$5:$X$204,0)+4,"")))</f>
        <v/>
      </c>
      <c r="R149" s="59" t="str">
        <f>IF(COUNTIF(ERP导入清单!$X$5:$X$204,145)=0,"",INDEX(ERP导入清单!R:R,IFERROR(MATCH(145,ERP导入清单!$X$5:$X$204,0)+4,"")))</f>
        <v/>
      </c>
      <c r="S149" s="37" t="str">
        <f>IF(COUNTIF(ERP导入清单!$X$5:$X$204,145)=0,"",INDEX(ERP导入清单!S:S,IFERROR(MATCH(145,ERP导入清单!$X$5:$X$204,0)+4,"")))</f>
        <v/>
      </c>
      <c r="T149" s="37" t="str">
        <f>IF(COUNTIF(ERP导入清单!$X$5:$X$204,145)=0,"",INDEX(ERP导入清单!T:T,IFERROR(MATCH(145,ERP导入清单!$X$5:$X$204,0)+4,"")))</f>
        <v/>
      </c>
      <c r="U149" s="37" t="str">
        <f>IF(COUNTIF(ERP导入清单!$X$5:$X$204,145)=0,"",INDEX(ERP导入清单!U:U,IFERROR(MATCH(145,ERP导入清单!$X$5:$X$204,0)+4,"")))</f>
        <v/>
      </c>
      <c r="V149" s="38" t="str">
        <f>IF(COUNTIF(ERP导入清单!$X$5:$X$204,145)=0,"",INDEX(ERP导入清单!V:V,IFERROR(MATCH(145,ERP导入清单!$X$5:$X$204,0)+4,"")))</f>
        <v/>
      </c>
      <c r="W149" s="50" t="str">
        <f>IF(COUNTIF(ERP导入清单!$X$5:$X$204,145)=0,"",INDEX(ERP导入清单!W:W,IFERROR(MATCH(145,ERP导入清单!$X$5:$X$204,0)+4,"")))</f>
        <v/>
      </c>
    </row>
    <row r="150" spans="1:23" ht="24" customHeight="1">
      <c r="A150" s="55" t="str">
        <f>IF(COUNTIF(ERP导入清单!$X$5:$X$204,146)=0,"",INDEX(ERP导入清单!A:A,IFERROR(MATCH(146,ERP导入清单!$X$5:$X$204,0)+4,"")))</f>
        <v/>
      </c>
      <c r="B150" s="37" t="str">
        <f>IF(COUNTIF(ERP导入清单!$X$5:$X$204,146)=0,"",INDEX(ERP导入清单!B:B,IFERROR(MATCH(146,ERP导入清单!$X$5:$X$204,0)+4,"")))</f>
        <v/>
      </c>
      <c r="C150" s="38" t="str">
        <f>IF(COUNTIF(ERP导入清单!$X$5:$X$204,146)=0,"",INDEX(ERP导入清单!C:C,IFERROR(MATCH(146,ERP导入清单!$X$5:$X$204,0)+4,"")))</f>
        <v/>
      </c>
      <c r="D150" s="37" t="str">
        <f>IF(COUNTIF(ERP导入清单!$X$5:$X$204,146)=0,"",INDEX(ERP导入清单!D:D,IFERROR(MATCH(146,ERP导入清单!$X$5:$X$204,0)+4,"")))</f>
        <v/>
      </c>
      <c r="E150" s="37" t="str">
        <f>IF(COUNTIF(ERP导入清单!$X$5:$X$204,146)=0,"",INDEX(ERP导入清单!E:E,IFERROR(MATCH(146,ERP导入清单!$X$5:$X$204,0)+4,"")))</f>
        <v/>
      </c>
      <c r="F150" s="37" t="str">
        <f>IF(COUNTIF(ERP导入清单!$X$5:$X$204,146)=0,"",INDEX(ERP导入清单!F:F,IFERROR(MATCH(146,ERP导入清单!$X$5:$X$204,0)+4,"")))</f>
        <v/>
      </c>
      <c r="G150" s="57" t="str">
        <f>IF(COUNTIF(ERP导入清单!$X$5:$X$204,146)=0,"",INDEX(ERP导入清单!G:G,IFERROR(MATCH(146,ERP导入清单!$X$5:$X$204,0)+4,"")))</f>
        <v/>
      </c>
      <c r="H150" s="37" t="str">
        <f>IF(COUNTIF(ERP导入清单!$X$5:$X$204,146)=0,"",INDEX(ERP导入清单!H:H,IFERROR(MATCH(146,ERP导入清单!$X$5:$X$204,0)+4,"")))</f>
        <v/>
      </c>
      <c r="I150" s="57" t="str">
        <f>IF(COUNTIF(ERP导入清单!$X$5:$X$204,146)=0,"",INDEX(ERP导入清单!I:I,IFERROR(MATCH(146,ERP导入清单!$X$5:$X$204,0)+4,"")))</f>
        <v/>
      </c>
      <c r="J150" s="57" t="str">
        <f>IF(COUNTIF(ERP导入清单!$X$5:$X$204,146)=0,"",INDEX(ERP导入清单!J:J,IFERROR(MATCH(146,ERP导入清单!$X$5:$X$204,0)+4,"")))</f>
        <v/>
      </c>
      <c r="K150" s="37" t="str">
        <f>IF(COUNTIF(ERP导入清单!$X$5:$X$204,146)=0,"",INDEX(ERP导入清单!K:K,IFERROR(MATCH(146,ERP导入清单!$X$5:$X$204,0)+4,"")))</f>
        <v/>
      </c>
      <c r="L150" s="37" t="str">
        <f>IF(COUNTIF(ERP导入清单!$X$5:$X$204,146)=0,"",INDEX(ERP导入清单!L:L,IFERROR(MATCH(146,ERP导入清单!$X$5:$X$204,0)+4,"")))</f>
        <v/>
      </c>
      <c r="M150" s="37" t="str">
        <f>IF(COUNTIF(ERP导入清单!$X$5:$X$204,146)=0,"",INDEX(ERP导入清单!M:M,IFERROR(MATCH(146,ERP导入清单!$X$5:$X$204,0)+4,"")))</f>
        <v/>
      </c>
      <c r="N150" s="37" t="str">
        <f>IF(COUNTIF(ERP导入清单!$X$5:$X$204,146)=0,"",INDEX(ERP导入清单!N:N,IFERROR(MATCH(146,ERP导入清单!$X$5:$X$204,0)+4,"")))</f>
        <v/>
      </c>
      <c r="O150" s="37" t="str">
        <f>IF(COUNTIF(ERP导入清单!$X$5:$X$204,146)=0,"",INDEX(ERP导入清单!O:O,IFERROR(MATCH(146,ERP导入清单!$X$5:$X$204,0)+4,"")))</f>
        <v/>
      </c>
      <c r="P150" s="39" t="str">
        <f>IF(COUNTIF(ERP导入清单!$X$5:$X$204,146)=0,"",INDEX(ERP导入清单!P:P,IFERROR(MATCH(146,ERP导入清单!$X$5:$X$204,0)+4,"")))</f>
        <v/>
      </c>
      <c r="Q150" s="39" t="str">
        <f>IF(COUNTIF(ERP导入清单!$X$5:$X$204,146)=0,"",INDEX(ERP导入清单!Q:Q,IFERROR(MATCH(146,ERP导入清单!$X$5:$X$204,0)+4,"")))</f>
        <v/>
      </c>
      <c r="R150" s="59" t="str">
        <f>IF(COUNTIF(ERP导入清单!$X$5:$X$204,146)=0,"",INDEX(ERP导入清单!R:R,IFERROR(MATCH(146,ERP导入清单!$X$5:$X$204,0)+4,"")))</f>
        <v/>
      </c>
      <c r="S150" s="37" t="str">
        <f>IF(COUNTIF(ERP导入清单!$X$5:$X$204,146)=0,"",INDEX(ERP导入清单!S:S,IFERROR(MATCH(146,ERP导入清单!$X$5:$X$204,0)+4,"")))</f>
        <v/>
      </c>
      <c r="T150" s="37" t="str">
        <f>IF(COUNTIF(ERP导入清单!$X$5:$X$204,146)=0,"",INDEX(ERP导入清单!T:T,IFERROR(MATCH(146,ERP导入清单!$X$5:$X$204,0)+4,"")))</f>
        <v/>
      </c>
      <c r="U150" s="37" t="str">
        <f>IF(COUNTIF(ERP导入清单!$X$5:$X$204,146)=0,"",INDEX(ERP导入清单!U:U,IFERROR(MATCH(146,ERP导入清单!$X$5:$X$204,0)+4,"")))</f>
        <v/>
      </c>
      <c r="V150" s="38" t="str">
        <f>IF(COUNTIF(ERP导入清单!$X$5:$X$204,146)=0,"",INDEX(ERP导入清单!V:V,IFERROR(MATCH(146,ERP导入清单!$X$5:$X$204,0)+4,"")))</f>
        <v/>
      </c>
      <c r="W150" s="50" t="str">
        <f>IF(COUNTIF(ERP导入清单!$X$5:$X$204,146)=0,"",INDEX(ERP导入清单!W:W,IFERROR(MATCH(146,ERP导入清单!$X$5:$X$204,0)+4,"")))</f>
        <v/>
      </c>
    </row>
    <row r="151" spans="1:23" ht="24" customHeight="1">
      <c r="A151" s="55" t="str">
        <f>IF(COUNTIF(ERP导入清单!$X$5:$X$204,147)=0,"",INDEX(ERP导入清单!A:A,IFERROR(MATCH(147,ERP导入清单!$X$5:$X$204,0)+4,"")))</f>
        <v/>
      </c>
      <c r="B151" s="37" t="str">
        <f>IF(COUNTIF(ERP导入清单!$X$5:$X$204,147)=0,"",INDEX(ERP导入清单!B:B,IFERROR(MATCH(147,ERP导入清单!$X$5:$X$204,0)+4,"")))</f>
        <v/>
      </c>
      <c r="C151" s="38" t="str">
        <f>IF(COUNTIF(ERP导入清单!$X$5:$X$204,147)=0,"",INDEX(ERP导入清单!C:C,IFERROR(MATCH(147,ERP导入清单!$X$5:$X$204,0)+4,"")))</f>
        <v/>
      </c>
      <c r="D151" s="37" t="str">
        <f>IF(COUNTIF(ERP导入清单!$X$5:$X$204,147)=0,"",INDEX(ERP导入清单!D:D,IFERROR(MATCH(147,ERP导入清单!$X$5:$X$204,0)+4,"")))</f>
        <v/>
      </c>
      <c r="E151" s="37" t="str">
        <f>IF(COUNTIF(ERP导入清单!$X$5:$X$204,147)=0,"",INDEX(ERP导入清单!E:E,IFERROR(MATCH(147,ERP导入清单!$X$5:$X$204,0)+4,"")))</f>
        <v/>
      </c>
      <c r="F151" s="37" t="str">
        <f>IF(COUNTIF(ERP导入清单!$X$5:$X$204,147)=0,"",INDEX(ERP导入清单!F:F,IFERROR(MATCH(147,ERP导入清单!$X$5:$X$204,0)+4,"")))</f>
        <v/>
      </c>
      <c r="G151" s="57" t="str">
        <f>IF(COUNTIF(ERP导入清单!$X$5:$X$204,147)=0,"",INDEX(ERP导入清单!G:G,IFERROR(MATCH(147,ERP导入清单!$X$5:$X$204,0)+4,"")))</f>
        <v/>
      </c>
      <c r="H151" s="37" t="str">
        <f>IF(COUNTIF(ERP导入清单!$X$5:$X$204,147)=0,"",INDEX(ERP导入清单!H:H,IFERROR(MATCH(147,ERP导入清单!$X$5:$X$204,0)+4,"")))</f>
        <v/>
      </c>
      <c r="I151" s="57" t="str">
        <f>IF(COUNTIF(ERP导入清单!$X$5:$X$204,147)=0,"",INDEX(ERP导入清单!I:I,IFERROR(MATCH(147,ERP导入清单!$X$5:$X$204,0)+4,"")))</f>
        <v/>
      </c>
      <c r="J151" s="57" t="str">
        <f>IF(COUNTIF(ERP导入清单!$X$5:$X$204,147)=0,"",INDEX(ERP导入清单!J:J,IFERROR(MATCH(147,ERP导入清单!$X$5:$X$204,0)+4,"")))</f>
        <v/>
      </c>
      <c r="K151" s="37" t="str">
        <f>IF(COUNTIF(ERP导入清单!$X$5:$X$204,147)=0,"",INDEX(ERP导入清单!K:K,IFERROR(MATCH(147,ERP导入清单!$X$5:$X$204,0)+4,"")))</f>
        <v/>
      </c>
      <c r="L151" s="37" t="str">
        <f>IF(COUNTIF(ERP导入清单!$X$5:$X$204,147)=0,"",INDEX(ERP导入清单!L:L,IFERROR(MATCH(147,ERP导入清单!$X$5:$X$204,0)+4,"")))</f>
        <v/>
      </c>
      <c r="M151" s="37" t="str">
        <f>IF(COUNTIF(ERP导入清单!$X$5:$X$204,147)=0,"",INDEX(ERP导入清单!M:M,IFERROR(MATCH(147,ERP导入清单!$X$5:$X$204,0)+4,"")))</f>
        <v/>
      </c>
      <c r="N151" s="37" t="str">
        <f>IF(COUNTIF(ERP导入清单!$X$5:$X$204,147)=0,"",INDEX(ERP导入清单!N:N,IFERROR(MATCH(147,ERP导入清单!$X$5:$X$204,0)+4,"")))</f>
        <v/>
      </c>
      <c r="O151" s="37" t="str">
        <f>IF(COUNTIF(ERP导入清单!$X$5:$X$204,147)=0,"",INDEX(ERP导入清单!O:O,IFERROR(MATCH(147,ERP导入清单!$X$5:$X$204,0)+4,"")))</f>
        <v/>
      </c>
      <c r="P151" s="39" t="str">
        <f>IF(COUNTIF(ERP导入清单!$X$5:$X$204,147)=0,"",INDEX(ERP导入清单!P:P,IFERROR(MATCH(147,ERP导入清单!$X$5:$X$204,0)+4,"")))</f>
        <v/>
      </c>
      <c r="Q151" s="39" t="str">
        <f>IF(COUNTIF(ERP导入清单!$X$5:$X$204,147)=0,"",INDEX(ERP导入清单!Q:Q,IFERROR(MATCH(147,ERP导入清单!$X$5:$X$204,0)+4,"")))</f>
        <v/>
      </c>
      <c r="R151" s="59" t="str">
        <f>IF(COUNTIF(ERP导入清单!$X$5:$X$204,147)=0,"",INDEX(ERP导入清单!R:R,IFERROR(MATCH(147,ERP导入清单!$X$5:$X$204,0)+4,"")))</f>
        <v/>
      </c>
      <c r="S151" s="37" t="str">
        <f>IF(COUNTIF(ERP导入清单!$X$5:$X$204,147)=0,"",INDEX(ERP导入清单!S:S,IFERROR(MATCH(147,ERP导入清单!$X$5:$X$204,0)+4,"")))</f>
        <v/>
      </c>
      <c r="T151" s="37" t="str">
        <f>IF(COUNTIF(ERP导入清单!$X$5:$X$204,147)=0,"",INDEX(ERP导入清单!T:T,IFERROR(MATCH(147,ERP导入清单!$X$5:$X$204,0)+4,"")))</f>
        <v/>
      </c>
      <c r="U151" s="37" t="str">
        <f>IF(COUNTIF(ERP导入清单!$X$5:$X$204,147)=0,"",INDEX(ERP导入清单!U:U,IFERROR(MATCH(147,ERP导入清单!$X$5:$X$204,0)+4,"")))</f>
        <v/>
      </c>
      <c r="V151" s="38" t="str">
        <f>IF(COUNTIF(ERP导入清单!$X$5:$X$204,147)=0,"",INDEX(ERP导入清单!V:V,IFERROR(MATCH(147,ERP导入清单!$X$5:$X$204,0)+4,"")))</f>
        <v/>
      </c>
      <c r="W151" s="50" t="str">
        <f>IF(COUNTIF(ERP导入清单!$X$5:$X$204,147)=0,"",INDEX(ERP导入清单!W:W,IFERROR(MATCH(147,ERP导入清单!$X$5:$X$204,0)+4,"")))</f>
        <v/>
      </c>
    </row>
    <row r="152" spans="1:23" ht="24" customHeight="1">
      <c r="A152" s="55" t="str">
        <f>IF(COUNTIF(ERP导入清单!$X$5:$X$204,148)=0,"",INDEX(ERP导入清单!A:A,IFERROR(MATCH(148,ERP导入清单!$X$5:$X$204,0)+4,"")))</f>
        <v/>
      </c>
      <c r="B152" s="37" t="str">
        <f>IF(COUNTIF(ERP导入清单!$X$5:$X$204,148)=0,"",INDEX(ERP导入清单!B:B,IFERROR(MATCH(148,ERP导入清单!$X$5:$X$204,0)+4,"")))</f>
        <v/>
      </c>
      <c r="C152" s="38" t="str">
        <f>IF(COUNTIF(ERP导入清单!$X$5:$X$204,148)=0,"",INDEX(ERP导入清单!C:C,IFERROR(MATCH(148,ERP导入清单!$X$5:$X$204,0)+4,"")))</f>
        <v/>
      </c>
      <c r="D152" s="37" t="str">
        <f>IF(COUNTIF(ERP导入清单!$X$5:$X$204,148)=0,"",INDEX(ERP导入清单!D:D,IFERROR(MATCH(148,ERP导入清单!$X$5:$X$204,0)+4,"")))</f>
        <v/>
      </c>
      <c r="E152" s="37" t="str">
        <f>IF(COUNTIF(ERP导入清单!$X$5:$X$204,148)=0,"",INDEX(ERP导入清单!E:E,IFERROR(MATCH(148,ERP导入清单!$X$5:$X$204,0)+4,"")))</f>
        <v/>
      </c>
      <c r="F152" s="37" t="str">
        <f>IF(COUNTIF(ERP导入清单!$X$5:$X$204,148)=0,"",INDEX(ERP导入清单!F:F,IFERROR(MATCH(148,ERP导入清单!$X$5:$X$204,0)+4,"")))</f>
        <v/>
      </c>
      <c r="G152" s="57" t="str">
        <f>IF(COUNTIF(ERP导入清单!$X$5:$X$204,148)=0,"",INDEX(ERP导入清单!G:G,IFERROR(MATCH(148,ERP导入清单!$X$5:$X$204,0)+4,"")))</f>
        <v/>
      </c>
      <c r="H152" s="37" t="str">
        <f>IF(COUNTIF(ERP导入清单!$X$5:$X$204,148)=0,"",INDEX(ERP导入清单!H:H,IFERROR(MATCH(148,ERP导入清单!$X$5:$X$204,0)+4,"")))</f>
        <v/>
      </c>
      <c r="I152" s="57" t="str">
        <f>IF(COUNTIF(ERP导入清单!$X$5:$X$204,148)=0,"",INDEX(ERP导入清单!I:I,IFERROR(MATCH(148,ERP导入清单!$X$5:$X$204,0)+4,"")))</f>
        <v/>
      </c>
      <c r="J152" s="57" t="str">
        <f>IF(COUNTIF(ERP导入清单!$X$5:$X$204,148)=0,"",INDEX(ERP导入清单!J:J,IFERROR(MATCH(148,ERP导入清单!$X$5:$X$204,0)+4,"")))</f>
        <v/>
      </c>
      <c r="K152" s="37" t="str">
        <f>IF(COUNTIF(ERP导入清单!$X$5:$X$204,148)=0,"",INDEX(ERP导入清单!K:K,IFERROR(MATCH(148,ERP导入清单!$X$5:$X$204,0)+4,"")))</f>
        <v/>
      </c>
      <c r="L152" s="37" t="str">
        <f>IF(COUNTIF(ERP导入清单!$X$5:$X$204,148)=0,"",INDEX(ERP导入清单!L:L,IFERROR(MATCH(148,ERP导入清单!$X$5:$X$204,0)+4,"")))</f>
        <v/>
      </c>
      <c r="M152" s="37" t="str">
        <f>IF(COUNTIF(ERP导入清单!$X$5:$X$204,148)=0,"",INDEX(ERP导入清单!M:M,IFERROR(MATCH(148,ERP导入清单!$X$5:$X$204,0)+4,"")))</f>
        <v/>
      </c>
      <c r="N152" s="37" t="str">
        <f>IF(COUNTIF(ERP导入清单!$X$5:$X$204,148)=0,"",INDEX(ERP导入清单!N:N,IFERROR(MATCH(148,ERP导入清单!$X$5:$X$204,0)+4,"")))</f>
        <v/>
      </c>
      <c r="O152" s="37" t="str">
        <f>IF(COUNTIF(ERP导入清单!$X$5:$X$204,148)=0,"",INDEX(ERP导入清单!O:O,IFERROR(MATCH(148,ERP导入清单!$X$5:$X$204,0)+4,"")))</f>
        <v/>
      </c>
      <c r="P152" s="39" t="str">
        <f>IF(COUNTIF(ERP导入清单!$X$5:$X$204,148)=0,"",INDEX(ERP导入清单!P:P,IFERROR(MATCH(148,ERP导入清单!$X$5:$X$204,0)+4,"")))</f>
        <v/>
      </c>
      <c r="Q152" s="39" t="str">
        <f>IF(COUNTIF(ERP导入清单!$X$5:$X$204,148)=0,"",INDEX(ERP导入清单!Q:Q,IFERROR(MATCH(148,ERP导入清单!$X$5:$X$204,0)+4,"")))</f>
        <v/>
      </c>
      <c r="R152" s="59" t="str">
        <f>IF(COUNTIF(ERP导入清单!$X$5:$X$204,148)=0,"",INDEX(ERP导入清单!R:R,IFERROR(MATCH(148,ERP导入清单!$X$5:$X$204,0)+4,"")))</f>
        <v/>
      </c>
      <c r="S152" s="37" t="str">
        <f>IF(COUNTIF(ERP导入清单!$X$5:$X$204,148)=0,"",INDEX(ERP导入清单!S:S,IFERROR(MATCH(148,ERP导入清单!$X$5:$X$204,0)+4,"")))</f>
        <v/>
      </c>
      <c r="T152" s="37" t="str">
        <f>IF(COUNTIF(ERP导入清单!$X$5:$X$204,148)=0,"",INDEX(ERP导入清单!T:T,IFERROR(MATCH(148,ERP导入清单!$X$5:$X$204,0)+4,"")))</f>
        <v/>
      </c>
      <c r="U152" s="37" t="str">
        <f>IF(COUNTIF(ERP导入清单!$X$5:$X$204,148)=0,"",INDEX(ERP导入清单!U:U,IFERROR(MATCH(148,ERP导入清单!$X$5:$X$204,0)+4,"")))</f>
        <v/>
      </c>
      <c r="V152" s="38" t="str">
        <f>IF(COUNTIF(ERP导入清单!$X$5:$X$204,148)=0,"",INDEX(ERP导入清单!V:V,IFERROR(MATCH(148,ERP导入清单!$X$5:$X$204,0)+4,"")))</f>
        <v/>
      </c>
      <c r="W152" s="50" t="str">
        <f>IF(COUNTIF(ERP导入清单!$X$5:$X$204,148)=0,"",INDEX(ERP导入清单!W:W,IFERROR(MATCH(148,ERP导入清单!$X$5:$X$204,0)+4,"")))</f>
        <v/>
      </c>
    </row>
    <row r="153" spans="1:23" ht="24" customHeight="1">
      <c r="A153" s="55" t="str">
        <f>IF(COUNTIF(ERP导入清单!$X$5:$X$204,149)=0,"",INDEX(ERP导入清单!A:A,IFERROR(MATCH(149,ERP导入清单!$X$5:$X$204,0)+4,"")))</f>
        <v/>
      </c>
      <c r="B153" s="37" t="str">
        <f>IF(COUNTIF(ERP导入清单!$X$5:$X$204,149)=0,"",INDEX(ERP导入清单!B:B,IFERROR(MATCH(149,ERP导入清单!$X$5:$X$204,0)+4,"")))</f>
        <v/>
      </c>
      <c r="C153" s="38" t="str">
        <f>IF(COUNTIF(ERP导入清单!$X$5:$X$204,149)=0,"",INDEX(ERP导入清单!C:C,IFERROR(MATCH(149,ERP导入清单!$X$5:$X$204,0)+4,"")))</f>
        <v/>
      </c>
      <c r="D153" s="37" t="str">
        <f>IF(COUNTIF(ERP导入清单!$X$5:$X$204,149)=0,"",INDEX(ERP导入清单!D:D,IFERROR(MATCH(149,ERP导入清单!$X$5:$X$204,0)+4,"")))</f>
        <v/>
      </c>
      <c r="E153" s="37" t="str">
        <f>IF(COUNTIF(ERP导入清单!$X$5:$X$204,149)=0,"",INDEX(ERP导入清单!E:E,IFERROR(MATCH(149,ERP导入清单!$X$5:$X$204,0)+4,"")))</f>
        <v/>
      </c>
      <c r="F153" s="37" t="str">
        <f>IF(COUNTIF(ERP导入清单!$X$5:$X$204,149)=0,"",INDEX(ERP导入清单!F:F,IFERROR(MATCH(149,ERP导入清单!$X$5:$X$204,0)+4,"")))</f>
        <v/>
      </c>
      <c r="G153" s="57" t="str">
        <f>IF(COUNTIF(ERP导入清单!$X$5:$X$204,149)=0,"",INDEX(ERP导入清单!G:G,IFERROR(MATCH(149,ERP导入清单!$X$5:$X$204,0)+4,"")))</f>
        <v/>
      </c>
      <c r="H153" s="37" t="str">
        <f>IF(COUNTIF(ERP导入清单!$X$5:$X$204,149)=0,"",INDEX(ERP导入清单!H:H,IFERROR(MATCH(149,ERP导入清单!$X$5:$X$204,0)+4,"")))</f>
        <v/>
      </c>
      <c r="I153" s="57" t="str">
        <f>IF(COUNTIF(ERP导入清单!$X$5:$X$204,149)=0,"",INDEX(ERP导入清单!I:I,IFERROR(MATCH(149,ERP导入清单!$X$5:$X$204,0)+4,"")))</f>
        <v/>
      </c>
      <c r="J153" s="57" t="str">
        <f>IF(COUNTIF(ERP导入清单!$X$5:$X$204,149)=0,"",INDEX(ERP导入清单!J:J,IFERROR(MATCH(149,ERP导入清单!$X$5:$X$204,0)+4,"")))</f>
        <v/>
      </c>
      <c r="K153" s="37" t="str">
        <f>IF(COUNTIF(ERP导入清单!$X$5:$X$204,149)=0,"",INDEX(ERP导入清单!K:K,IFERROR(MATCH(149,ERP导入清单!$X$5:$X$204,0)+4,"")))</f>
        <v/>
      </c>
      <c r="L153" s="37" t="str">
        <f>IF(COUNTIF(ERP导入清单!$X$5:$X$204,149)=0,"",INDEX(ERP导入清单!L:L,IFERROR(MATCH(149,ERP导入清单!$X$5:$X$204,0)+4,"")))</f>
        <v/>
      </c>
      <c r="M153" s="37" t="str">
        <f>IF(COUNTIF(ERP导入清单!$X$5:$X$204,149)=0,"",INDEX(ERP导入清单!M:M,IFERROR(MATCH(149,ERP导入清单!$X$5:$X$204,0)+4,"")))</f>
        <v/>
      </c>
      <c r="N153" s="37" t="str">
        <f>IF(COUNTIF(ERP导入清单!$X$5:$X$204,149)=0,"",INDEX(ERP导入清单!N:N,IFERROR(MATCH(149,ERP导入清单!$X$5:$X$204,0)+4,"")))</f>
        <v/>
      </c>
      <c r="O153" s="37" t="str">
        <f>IF(COUNTIF(ERP导入清单!$X$5:$X$204,149)=0,"",INDEX(ERP导入清单!O:O,IFERROR(MATCH(149,ERP导入清单!$X$5:$X$204,0)+4,"")))</f>
        <v/>
      </c>
      <c r="P153" s="39" t="str">
        <f>IF(COUNTIF(ERP导入清单!$X$5:$X$204,149)=0,"",INDEX(ERP导入清单!P:P,IFERROR(MATCH(149,ERP导入清单!$X$5:$X$204,0)+4,"")))</f>
        <v/>
      </c>
      <c r="Q153" s="39" t="str">
        <f>IF(COUNTIF(ERP导入清单!$X$5:$X$204,149)=0,"",INDEX(ERP导入清单!Q:Q,IFERROR(MATCH(149,ERP导入清单!$X$5:$X$204,0)+4,"")))</f>
        <v/>
      </c>
      <c r="R153" s="59" t="str">
        <f>IF(COUNTIF(ERP导入清单!$X$5:$X$204,149)=0,"",INDEX(ERP导入清单!R:R,IFERROR(MATCH(149,ERP导入清单!$X$5:$X$204,0)+4,"")))</f>
        <v/>
      </c>
      <c r="S153" s="37" t="str">
        <f>IF(COUNTIF(ERP导入清单!$X$5:$X$204,149)=0,"",INDEX(ERP导入清单!S:S,IFERROR(MATCH(149,ERP导入清单!$X$5:$X$204,0)+4,"")))</f>
        <v/>
      </c>
      <c r="T153" s="37" t="str">
        <f>IF(COUNTIF(ERP导入清单!$X$5:$X$204,149)=0,"",INDEX(ERP导入清单!T:T,IFERROR(MATCH(149,ERP导入清单!$X$5:$X$204,0)+4,"")))</f>
        <v/>
      </c>
      <c r="U153" s="37" t="str">
        <f>IF(COUNTIF(ERP导入清单!$X$5:$X$204,149)=0,"",INDEX(ERP导入清单!U:U,IFERROR(MATCH(149,ERP导入清单!$X$5:$X$204,0)+4,"")))</f>
        <v/>
      </c>
      <c r="V153" s="38" t="str">
        <f>IF(COUNTIF(ERP导入清单!$X$5:$X$204,149)=0,"",INDEX(ERP导入清单!V:V,IFERROR(MATCH(149,ERP导入清单!$X$5:$X$204,0)+4,"")))</f>
        <v/>
      </c>
      <c r="W153" s="50" t="str">
        <f>IF(COUNTIF(ERP导入清单!$X$5:$X$204,149)=0,"",INDEX(ERP导入清单!W:W,IFERROR(MATCH(149,ERP导入清单!$X$5:$X$204,0)+4,"")))</f>
        <v/>
      </c>
    </row>
    <row r="154" spans="1:23" ht="24" customHeight="1">
      <c r="A154" s="55" t="str">
        <f>IF(COUNTIF(ERP导入清单!$X$5:$X$204,150)=0,"",INDEX(ERP导入清单!A:A,IFERROR(MATCH(150,ERP导入清单!$X$5:$X$204,0)+4,"")))</f>
        <v/>
      </c>
      <c r="B154" s="37" t="str">
        <f>IF(COUNTIF(ERP导入清单!$X$5:$X$204,150)=0,"",INDEX(ERP导入清单!B:B,IFERROR(MATCH(150,ERP导入清单!$X$5:$X$204,0)+4,"")))</f>
        <v/>
      </c>
      <c r="C154" s="38" t="str">
        <f>IF(COUNTIF(ERP导入清单!$X$5:$X$204,150)=0,"",INDEX(ERP导入清单!C:C,IFERROR(MATCH(150,ERP导入清单!$X$5:$X$204,0)+4,"")))</f>
        <v/>
      </c>
      <c r="D154" s="37" t="str">
        <f>IF(COUNTIF(ERP导入清单!$X$5:$X$204,150)=0,"",INDEX(ERP导入清单!D:D,IFERROR(MATCH(150,ERP导入清单!$X$5:$X$204,0)+4,"")))</f>
        <v/>
      </c>
      <c r="E154" s="37" t="str">
        <f>IF(COUNTIF(ERP导入清单!$X$5:$X$204,150)=0,"",INDEX(ERP导入清单!E:E,IFERROR(MATCH(150,ERP导入清单!$X$5:$X$204,0)+4,"")))</f>
        <v/>
      </c>
      <c r="F154" s="37" t="str">
        <f>IF(COUNTIF(ERP导入清单!$X$5:$X$204,150)=0,"",INDEX(ERP导入清单!F:F,IFERROR(MATCH(150,ERP导入清单!$X$5:$X$204,0)+4,"")))</f>
        <v/>
      </c>
      <c r="G154" s="57" t="str">
        <f>IF(COUNTIF(ERP导入清单!$X$5:$X$204,150)=0,"",INDEX(ERP导入清单!G:G,IFERROR(MATCH(150,ERP导入清单!$X$5:$X$204,0)+4,"")))</f>
        <v/>
      </c>
      <c r="H154" s="37" t="str">
        <f>IF(COUNTIF(ERP导入清单!$X$5:$X$204,150)=0,"",INDEX(ERP导入清单!H:H,IFERROR(MATCH(150,ERP导入清单!$X$5:$X$204,0)+4,"")))</f>
        <v/>
      </c>
      <c r="I154" s="57" t="str">
        <f>IF(COUNTIF(ERP导入清单!$X$5:$X$204,150)=0,"",INDEX(ERP导入清单!I:I,IFERROR(MATCH(150,ERP导入清单!$X$5:$X$204,0)+4,"")))</f>
        <v/>
      </c>
      <c r="J154" s="57" t="str">
        <f>IF(COUNTIF(ERP导入清单!$X$5:$X$204,150)=0,"",INDEX(ERP导入清单!J:J,IFERROR(MATCH(150,ERP导入清单!$X$5:$X$204,0)+4,"")))</f>
        <v/>
      </c>
      <c r="K154" s="37" t="str">
        <f>IF(COUNTIF(ERP导入清单!$X$5:$X$204,150)=0,"",INDEX(ERP导入清单!K:K,IFERROR(MATCH(150,ERP导入清单!$X$5:$X$204,0)+4,"")))</f>
        <v/>
      </c>
      <c r="L154" s="37" t="str">
        <f>IF(COUNTIF(ERP导入清单!$X$5:$X$204,150)=0,"",INDEX(ERP导入清单!L:L,IFERROR(MATCH(150,ERP导入清单!$X$5:$X$204,0)+4,"")))</f>
        <v/>
      </c>
      <c r="M154" s="37" t="str">
        <f>IF(COUNTIF(ERP导入清单!$X$5:$X$204,150)=0,"",INDEX(ERP导入清单!M:M,IFERROR(MATCH(150,ERP导入清单!$X$5:$X$204,0)+4,"")))</f>
        <v/>
      </c>
      <c r="N154" s="37" t="str">
        <f>IF(COUNTIF(ERP导入清单!$X$5:$X$204,150)=0,"",INDEX(ERP导入清单!N:N,IFERROR(MATCH(150,ERP导入清单!$X$5:$X$204,0)+4,"")))</f>
        <v/>
      </c>
      <c r="O154" s="37" t="str">
        <f>IF(COUNTIF(ERP导入清单!$X$5:$X$204,150)=0,"",INDEX(ERP导入清单!O:O,IFERROR(MATCH(150,ERP导入清单!$X$5:$X$204,0)+4,"")))</f>
        <v/>
      </c>
      <c r="P154" s="39" t="str">
        <f>IF(COUNTIF(ERP导入清单!$X$5:$X$204,150)=0,"",INDEX(ERP导入清单!P:P,IFERROR(MATCH(150,ERP导入清单!$X$5:$X$204,0)+4,"")))</f>
        <v/>
      </c>
      <c r="Q154" s="39" t="str">
        <f>IF(COUNTIF(ERP导入清单!$X$5:$X$204,150)=0,"",INDEX(ERP导入清单!Q:Q,IFERROR(MATCH(150,ERP导入清单!$X$5:$X$204,0)+4,"")))</f>
        <v/>
      </c>
      <c r="R154" s="59" t="str">
        <f>IF(COUNTIF(ERP导入清单!$X$5:$X$204,150)=0,"",INDEX(ERP导入清单!R:R,IFERROR(MATCH(150,ERP导入清单!$X$5:$X$204,0)+4,"")))</f>
        <v/>
      </c>
      <c r="S154" s="37" t="str">
        <f>IF(COUNTIF(ERP导入清单!$X$5:$X$204,150)=0,"",INDEX(ERP导入清单!S:S,IFERROR(MATCH(150,ERP导入清单!$X$5:$X$204,0)+4,"")))</f>
        <v/>
      </c>
      <c r="T154" s="37" t="str">
        <f>IF(COUNTIF(ERP导入清单!$X$5:$X$204,150)=0,"",INDEX(ERP导入清单!T:T,IFERROR(MATCH(150,ERP导入清单!$X$5:$X$204,0)+4,"")))</f>
        <v/>
      </c>
      <c r="U154" s="37" t="str">
        <f>IF(COUNTIF(ERP导入清单!$X$5:$X$204,150)=0,"",INDEX(ERP导入清单!U:U,IFERROR(MATCH(150,ERP导入清单!$X$5:$X$204,0)+4,"")))</f>
        <v/>
      </c>
      <c r="V154" s="38" t="str">
        <f>IF(COUNTIF(ERP导入清单!$X$5:$X$204,150)=0,"",INDEX(ERP导入清单!V:V,IFERROR(MATCH(150,ERP导入清单!$X$5:$X$204,0)+4,"")))</f>
        <v/>
      </c>
      <c r="W154" s="50" t="str">
        <f>IF(COUNTIF(ERP导入清单!$X$5:$X$204,150)=0,"",INDEX(ERP导入清单!W:W,IFERROR(MATCH(150,ERP导入清单!$X$5:$X$204,0)+4,"")))</f>
        <v/>
      </c>
    </row>
    <row r="155" spans="1:23" ht="24" customHeight="1">
      <c r="A155" s="55" t="str">
        <f>IF(COUNTIF(ERP导入清单!$X$5:$X$204,151)=0,"",INDEX(ERP导入清单!A:A,IFERROR(MATCH(151,ERP导入清单!$X$5:$X$204,0)+4,"")))</f>
        <v/>
      </c>
      <c r="B155" s="37" t="str">
        <f>IF(COUNTIF(ERP导入清单!$X$5:$X$204,151)=0,"",INDEX(ERP导入清单!B:B,IFERROR(MATCH(151,ERP导入清单!$X$5:$X$204,0)+4,"")))</f>
        <v/>
      </c>
      <c r="C155" s="38" t="str">
        <f>IF(COUNTIF(ERP导入清单!$X$5:$X$204,151)=0,"",INDEX(ERP导入清单!C:C,IFERROR(MATCH(151,ERP导入清单!$X$5:$X$204,0)+4,"")))</f>
        <v/>
      </c>
      <c r="D155" s="37" t="str">
        <f>IF(COUNTIF(ERP导入清单!$X$5:$X$204,151)=0,"",INDEX(ERP导入清单!D:D,IFERROR(MATCH(151,ERP导入清单!$X$5:$X$204,0)+4,"")))</f>
        <v/>
      </c>
      <c r="E155" s="37" t="str">
        <f>IF(COUNTIF(ERP导入清单!$X$5:$X$204,151)=0,"",INDEX(ERP导入清单!E:E,IFERROR(MATCH(151,ERP导入清单!$X$5:$X$204,0)+4,"")))</f>
        <v/>
      </c>
      <c r="F155" s="37" t="str">
        <f>IF(COUNTIF(ERP导入清单!$X$5:$X$204,151)=0,"",INDEX(ERP导入清单!F:F,IFERROR(MATCH(151,ERP导入清单!$X$5:$X$204,0)+4,"")))</f>
        <v/>
      </c>
      <c r="G155" s="57" t="str">
        <f>IF(COUNTIF(ERP导入清单!$X$5:$X$204,151)=0,"",INDEX(ERP导入清单!G:G,IFERROR(MATCH(151,ERP导入清单!$X$5:$X$204,0)+4,"")))</f>
        <v/>
      </c>
      <c r="H155" s="37" t="str">
        <f>IF(COUNTIF(ERP导入清单!$X$5:$X$204,151)=0,"",INDEX(ERP导入清单!H:H,IFERROR(MATCH(151,ERP导入清单!$X$5:$X$204,0)+4,"")))</f>
        <v/>
      </c>
      <c r="I155" s="57" t="str">
        <f>IF(COUNTIF(ERP导入清单!$X$5:$X$204,151)=0,"",INDEX(ERP导入清单!I:I,IFERROR(MATCH(151,ERP导入清单!$X$5:$X$204,0)+4,"")))</f>
        <v/>
      </c>
      <c r="J155" s="57" t="str">
        <f>IF(COUNTIF(ERP导入清单!$X$5:$X$204,151)=0,"",INDEX(ERP导入清单!J:J,IFERROR(MATCH(151,ERP导入清单!$X$5:$X$204,0)+4,"")))</f>
        <v/>
      </c>
      <c r="K155" s="37" t="str">
        <f>IF(COUNTIF(ERP导入清单!$X$5:$X$204,151)=0,"",INDEX(ERP导入清单!K:K,IFERROR(MATCH(151,ERP导入清单!$X$5:$X$204,0)+4,"")))</f>
        <v/>
      </c>
      <c r="L155" s="37" t="str">
        <f>IF(COUNTIF(ERP导入清单!$X$5:$X$204,151)=0,"",INDEX(ERP导入清单!L:L,IFERROR(MATCH(151,ERP导入清单!$X$5:$X$204,0)+4,"")))</f>
        <v/>
      </c>
      <c r="M155" s="37" t="str">
        <f>IF(COUNTIF(ERP导入清单!$X$5:$X$204,151)=0,"",INDEX(ERP导入清单!M:M,IFERROR(MATCH(151,ERP导入清单!$X$5:$X$204,0)+4,"")))</f>
        <v/>
      </c>
      <c r="N155" s="37" t="str">
        <f>IF(COUNTIF(ERP导入清单!$X$5:$X$204,151)=0,"",INDEX(ERP导入清单!N:N,IFERROR(MATCH(151,ERP导入清单!$X$5:$X$204,0)+4,"")))</f>
        <v/>
      </c>
      <c r="O155" s="37" t="str">
        <f>IF(COUNTIF(ERP导入清单!$X$5:$X$204,151)=0,"",INDEX(ERP导入清单!O:O,IFERROR(MATCH(151,ERP导入清单!$X$5:$X$204,0)+4,"")))</f>
        <v/>
      </c>
      <c r="P155" s="39" t="str">
        <f>IF(COUNTIF(ERP导入清单!$X$5:$X$204,151)=0,"",INDEX(ERP导入清单!P:P,IFERROR(MATCH(151,ERP导入清单!$X$5:$X$204,0)+4,"")))</f>
        <v/>
      </c>
      <c r="Q155" s="39" t="str">
        <f>IF(COUNTIF(ERP导入清单!$X$5:$X$204,151)=0,"",INDEX(ERP导入清单!Q:Q,IFERROR(MATCH(151,ERP导入清单!$X$5:$X$204,0)+4,"")))</f>
        <v/>
      </c>
      <c r="R155" s="59" t="str">
        <f>IF(COUNTIF(ERP导入清单!$X$5:$X$204,151)=0,"",INDEX(ERP导入清单!R:R,IFERROR(MATCH(151,ERP导入清单!$X$5:$X$204,0)+4,"")))</f>
        <v/>
      </c>
      <c r="S155" s="37" t="str">
        <f>IF(COUNTIF(ERP导入清单!$X$5:$X$204,151)=0,"",INDEX(ERP导入清单!S:S,IFERROR(MATCH(151,ERP导入清单!$X$5:$X$204,0)+4,"")))</f>
        <v/>
      </c>
      <c r="T155" s="37" t="str">
        <f>IF(COUNTIF(ERP导入清单!$X$5:$X$204,151)=0,"",INDEX(ERP导入清单!T:T,IFERROR(MATCH(151,ERP导入清单!$X$5:$X$204,0)+4,"")))</f>
        <v/>
      </c>
      <c r="U155" s="37" t="str">
        <f>IF(COUNTIF(ERP导入清单!$X$5:$X$204,151)=0,"",INDEX(ERP导入清单!U:U,IFERROR(MATCH(151,ERP导入清单!$X$5:$X$204,0)+4,"")))</f>
        <v/>
      </c>
      <c r="V155" s="38" t="str">
        <f>IF(COUNTIF(ERP导入清单!$X$5:$X$204,151)=0,"",INDEX(ERP导入清单!V:V,IFERROR(MATCH(151,ERP导入清单!$X$5:$X$204,0)+4,"")))</f>
        <v/>
      </c>
      <c r="W155" s="50" t="str">
        <f>IF(COUNTIF(ERP导入清单!$X$5:$X$204,151)=0,"",INDEX(ERP导入清单!W:W,IFERROR(MATCH(151,ERP导入清单!$X$5:$X$204,0)+4,"")))</f>
        <v/>
      </c>
    </row>
    <row r="156" spans="1:23" ht="24" customHeight="1">
      <c r="A156" s="55" t="str">
        <f>IF(COUNTIF(ERP导入清单!$X$5:$X$204,152)=0,"",INDEX(ERP导入清单!A:A,IFERROR(MATCH(152,ERP导入清单!$X$5:$X$204,0)+4,"")))</f>
        <v/>
      </c>
      <c r="B156" s="37" t="str">
        <f>IF(COUNTIF(ERP导入清单!$X$5:$X$204,152)=0,"",INDEX(ERP导入清单!B:B,IFERROR(MATCH(152,ERP导入清单!$X$5:$X$204,0)+4,"")))</f>
        <v/>
      </c>
      <c r="C156" s="38" t="str">
        <f>IF(COUNTIF(ERP导入清单!$X$5:$X$204,152)=0,"",INDEX(ERP导入清单!C:C,IFERROR(MATCH(152,ERP导入清单!$X$5:$X$204,0)+4,"")))</f>
        <v/>
      </c>
      <c r="D156" s="37" t="str">
        <f>IF(COUNTIF(ERP导入清单!$X$5:$X$204,152)=0,"",INDEX(ERP导入清单!D:D,IFERROR(MATCH(152,ERP导入清单!$X$5:$X$204,0)+4,"")))</f>
        <v/>
      </c>
      <c r="E156" s="37" t="str">
        <f>IF(COUNTIF(ERP导入清单!$X$5:$X$204,152)=0,"",INDEX(ERP导入清单!E:E,IFERROR(MATCH(152,ERP导入清单!$X$5:$X$204,0)+4,"")))</f>
        <v/>
      </c>
      <c r="F156" s="37" t="str">
        <f>IF(COUNTIF(ERP导入清单!$X$5:$X$204,152)=0,"",INDEX(ERP导入清单!F:F,IFERROR(MATCH(152,ERP导入清单!$X$5:$X$204,0)+4,"")))</f>
        <v/>
      </c>
      <c r="G156" s="57" t="str">
        <f>IF(COUNTIF(ERP导入清单!$X$5:$X$204,152)=0,"",INDEX(ERP导入清单!G:G,IFERROR(MATCH(152,ERP导入清单!$X$5:$X$204,0)+4,"")))</f>
        <v/>
      </c>
      <c r="H156" s="37" t="str">
        <f>IF(COUNTIF(ERP导入清单!$X$5:$X$204,152)=0,"",INDEX(ERP导入清单!H:H,IFERROR(MATCH(152,ERP导入清单!$X$5:$X$204,0)+4,"")))</f>
        <v/>
      </c>
      <c r="I156" s="57" t="str">
        <f>IF(COUNTIF(ERP导入清单!$X$5:$X$204,152)=0,"",INDEX(ERP导入清单!I:I,IFERROR(MATCH(152,ERP导入清单!$X$5:$X$204,0)+4,"")))</f>
        <v/>
      </c>
      <c r="J156" s="57" t="str">
        <f>IF(COUNTIF(ERP导入清单!$X$5:$X$204,152)=0,"",INDEX(ERP导入清单!J:J,IFERROR(MATCH(152,ERP导入清单!$X$5:$X$204,0)+4,"")))</f>
        <v/>
      </c>
      <c r="K156" s="37" t="str">
        <f>IF(COUNTIF(ERP导入清单!$X$5:$X$204,152)=0,"",INDEX(ERP导入清单!K:K,IFERROR(MATCH(152,ERP导入清单!$X$5:$X$204,0)+4,"")))</f>
        <v/>
      </c>
      <c r="L156" s="37" t="str">
        <f>IF(COUNTIF(ERP导入清单!$X$5:$X$204,152)=0,"",INDEX(ERP导入清单!L:L,IFERROR(MATCH(152,ERP导入清单!$X$5:$X$204,0)+4,"")))</f>
        <v/>
      </c>
      <c r="M156" s="37" t="str">
        <f>IF(COUNTIF(ERP导入清单!$X$5:$X$204,152)=0,"",INDEX(ERP导入清单!M:M,IFERROR(MATCH(152,ERP导入清单!$X$5:$X$204,0)+4,"")))</f>
        <v/>
      </c>
      <c r="N156" s="37" t="str">
        <f>IF(COUNTIF(ERP导入清单!$X$5:$X$204,152)=0,"",INDEX(ERP导入清单!N:N,IFERROR(MATCH(152,ERP导入清单!$X$5:$X$204,0)+4,"")))</f>
        <v/>
      </c>
      <c r="O156" s="37" t="str">
        <f>IF(COUNTIF(ERP导入清单!$X$5:$X$204,152)=0,"",INDEX(ERP导入清单!O:O,IFERROR(MATCH(152,ERP导入清单!$X$5:$X$204,0)+4,"")))</f>
        <v/>
      </c>
      <c r="P156" s="39" t="str">
        <f>IF(COUNTIF(ERP导入清单!$X$5:$X$204,152)=0,"",INDEX(ERP导入清单!P:P,IFERROR(MATCH(152,ERP导入清单!$X$5:$X$204,0)+4,"")))</f>
        <v/>
      </c>
      <c r="Q156" s="39" t="str">
        <f>IF(COUNTIF(ERP导入清单!$X$5:$X$204,152)=0,"",INDEX(ERP导入清单!Q:Q,IFERROR(MATCH(152,ERP导入清单!$X$5:$X$204,0)+4,"")))</f>
        <v/>
      </c>
      <c r="R156" s="59" t="str">
        <f>IF(COUNTIF(ERP导入清单!$X$5:$X$204,152)=0,"",INDEX(ERP导入清单!R:R,IFERROR(MATCH(152,ERP导入清单!$X$5:$X$204,0)+4,"")))</f>
        <v/>
      </c>
      <c r="S156" s="37" t="str">
        <f>IF(COUNTIF(ERP导入清单!$X$5:$X$204,152)=0,"",INDEX(ERP导入清单!S:S,IFERROR(MATCH(152,ERP导入清单!$X$5:$X$204,0)+4,"")))</f>
        <v/>
      </c>
      <c r="T156" s="37" t="str">
        <f>IF(COUNTIF(ERP导入清单!$X$5:$X$204,152)=0,"",INDEX(ERP导入清单!T:T,IFERROR(MATCH(152,ERP导入清单!$X$5:$X$204,0)+4,"")))</f>
        <v/>
      </c>
      <c r="U156" s="37" t="str">
        <f>IF(COUNTIF(ERP导入清单!$X$5:$X$204,152)=0,"",INDEX(ERP导入清单!U:U,IFERROR(MATCH(152,ERP导入清单!$X$5:$X$204,0)+4,"")))</f>
        <v/>
      </c>
      <c r="V156" s="38" t="str">
        <f>IF(COUNTIF(ERP导入清单!$X$5:$X$204,152)=0,"",INDEX(ERP导入清单!V:V,IFERROR(MATCH(152,ERP导入清单!$X$5:$X$204,0)+4,"")))</f>
        <v/>
      </c>
      <c r="W156" s="50" t="str">
        <f>IF(COUNTIF(ERP导入清单!$X$5:$X$204,152)=0,"",INDEX(ERP导入清单!W:W,IFERROR(MATCH(152,ERP导入清单!$X$5:$X$204,0)+4,"")))</f>
        <v/>
      </c>
    </row>
    <row r="157" spans="1:23" ht="24" customHeight="1">
      <c r="A157" s="55" t="str">
        <f>IF(COUNTIF(ERP导入清单!$X$5:$X$204,153)=0,"",INDEX(ERP导入清单!A:A,IFERROR(MATCH(153,ERP导入清单!$X$5:$X$204,0)+4,"")))</f>
        <v/>
      </c>
      <c r="B157" s="37" t="str">
        <f>IF(COUNTIF(ERP导入清单!$X$5:$X$204,153)=0,"",INDEX(ERP导入清单!B:B,IFERROR(MATCH(153,ERP导入清单!$X$5:$X$204,0)+4,"")))</f>
        <v/>
      </c>
      <c r="C157" s="38" t="str">
        <f>IF(COUNTIF(ERP导入清单!$X$5:$X$204,153)=0,"",INDEX(ERP导入清单!C:C,IFERROR(MATCH(153,ERP导入清单!$X$5:$X$204,0)+4,"")))</f>
        <v/>
      </c>
      <c r="D157" s="37" t="str">
        <f>IF(COUNTIF(ERP导入清单!$X$5:$X$204,153)=0,"",INDEX(ERP导入清单!D:D,IFERROR(MATCH(153,ERP导入清单!$X$5:$X$204,0)+4,"")))</f>
        <v/>
      </c>
      <c r="E157" s="37" t="str">
        <f>IF(COUNTIF(ERP导入清单!$X$5:$X$204,153)=0,"",INDEX(ERP导入清单!E:E,IFERROR(MATCH(153,ERP导入清单!$X$5:$X$204,0)+4,"")))</f>
        <v/>
      </c>
      <c r="F157" s="37" t="str">
        <f>IF(COUNTIF(ERP导入清单!$X$5:$X$204,153)=0,"",INDEX(ERP导入清单!F:F,IFERROR(MATCH(153,ERP导入清单!$X$5:$X$204,0)+4,"")))</f>
        <v/>
      </c>
      <c r="G157" s="57" t="str">
        <f>IF(COUNTIF(ERP导入清单!$X$5:$X$204,153)=0,"",INDEX(ERP导入清单!G:G,IFERROR(MATCH(153,ERP导入清单!$X$5:$X$204,0)+4,"")))</f>
        <v/>
      </c>
      <c r="H157" s="37" t="str">
        <f>IF(COUNTIF(ERP导入清单!$X$5:$X$204,153)=0,"",INDEX(ERP导入清单!H:H,IFERROR(MATCH(153,ERP导入清单!$X$5:$X$204,0)+4,"")))</f>
        <v/>
      </c>
      <c r="I157" s="57" t="str">
        <f>IF(COUNTIF(ERP导入清单!$X$5:$X$204,153)=0,"",INDEX(ERP导入清单!I:I,IFERROR(MATCH(153,ERP导入清单!$X$5:$X$204,0)+4,"")))</f>
        <v/>
      </c>
      <c r="J157" s="57" t="str">
        <f>IF(COUNTIF(ERP导入清单!$X$5:$X$204,153)=0,"",INDEX(ERP导入清单!J:J,IFERROR(MATCH(153,ERP导入清单!$X$5:$X$204,0)+4,"")))</f>
        <v/>
      </c>
      <c r="K157" s="37" t="str">
        <f>IF(COUNTIF(ERP导入清单!$X$5:$X$204,153)=0,"",INDEX(ERP导入清单!K:K,IFERROR(MATCH(153,ERP导入清单!$X$5:$X$204,0)+4,"")))</f>
        <v/>
      </c>
      <c r="L157" s="37" t="str">
        <f>IF(COUNTIF(ERP导入清单!$X$5:$X$204,153)=0,"",INDEX(ERP导入清单!L:L,IFERROR(MATCH(153,ERP导入清单!$X$5:$X$204,0)+4,"")))</f>
        <v/>
      </c>
      <c r="M157" s="37" t="str">
        <f>IF(COUNTIF(ERP导入清单!$X$5:$X$204,153)=0,"",INDEX(ERP导入清单!M:M,IFERROR(MATCH(153,ERP导入清单!$X$5:$X$204,0)+4,"")))</f>
        <v/>
      </c>
      <c r="N157" s="37" t="str">
        <f>IF(COUNTIF(ERP导入清单!$X$5:$X$204,153)=0,"",INDEX(ERP导入清单!N:N,IFERROR(MATCH(153,ERP导入清单!$X$5:$X$204,0)+4,"")))</f>
        <v/>
      </c>
      <c r="O157" s="37" t="str">
        <f>IF(COUNTIF(ERP导入清单!$X$5:$X$204,153)=0,"",INDEX(ERP导入清单!O:O,IFERROR(MATCH(153,ERP导入清单!$X$5:$X$204,0)+4,"")))</f>
        <v/>
      </c>
      <c r="P157" s="39" t="str">
        <f>IF(COUNTIF(ERP导入清单!$X$5:$X$204,153)=0,"",INDEX(ERP导入清单!P:P,IFERROR(MATCH(153,ERP导入清单!$X$5:$X$204,0)+4,"")))</f>
        <v/>
      </c>
      <c r="Q157" s="39" t="str">
        <f>IF(COUNTIF(ERP导入清单!$X$5:$X$204,153)=0,"",INDEX(ERP导入清单!Q:Q,IFERROR(MATCH(153,ERP导入清单!$X$5:$X$204,0)+4,"")))</f>
        <v/>
      </c>
      <c r="R157" s="59" t="str">
        <f>IF(COUNTIF(ERP导入清单!$X$5:$X$204,153)=0,"",INDEX(ERP导入清单!R:R,IFERROR(MATCH(153,ERP导入清单!$X$5:$X$204,0)+4,"")))</f>
        <v/>
      </c>
      <c r="S157" s="37" t="str">
        <f>IF(COUNTIF(ERP导入清单!$X$5:$X$204,153)=0,"",INDEX(ERP导入清单!S:S,IFERROR(MATCH(153,ERP导入清单!$X$5:$X$204,0)+4,"")))</f>
        <v/>
      </c>
      <c r="T157" s="37" t="str">
        <f>IF(COUNTIF(ERP导入清单!$X$5:$X$204,153)=0,"",INDEX(ERP导入清单!T:T,IFERROR(MATCH(153,ERP导入清单!$X$5:$X$204,0)+4,"")))</f>
        <v/>
      </c>
      <c r="U157" s="37" t="str">
        <f>IF(COUNTIF(ERP导入清单!$X$5:$X$204,153)=0,"",INDEX(ERP导入清单!U:U,IFERROR(MATCH(153,ERP导入清单!$X$5:$X$204,0)+4,"")))</f>
        <v/>
      </c>
      <c r="V157" s="38" t="str">
        <f>IF(COUNTIF(ERP导入清单!$X$5:$X$204,153)=0,"",INDEX(ERP导入清单!V:V,IFERROR(MATCH(153,ERP导入清单!$X$5:$X$204,0)+4,"")))</f>
        <v/>
      </c>
      <c r="W157" s="50" t="str">
        <f>IF(COUNTIF(ERP导入清单!$X$5:$X$204,153)=0,"",INDEX(ERP导入清单!W:W,IFERROR(MATCH(153,ERP导入清单!$X$5:$X$204,0)+4,"")))</f>
        <v/>
      </c>
    </row>
    <row r="158" spans="1:23" ht="24" customHeight="1">
      <c r="A158" s="55" t="str">
        <f>IF(COUNTIF(ERP导入清单!$X$5:$X$204,154)=0,"",INDEX(ERP导入清单!A:A,IFERROR(MATCH(154,ERP导入清单!$X$5:$X$204,0)+4,"")))</f>
        <v/>
      </c>
      <c r="B158" s="37" t="str">
        <f>IF(COUNTIF(ERP导入清单!$X$5:$X$204,154)=0,"",INDEX(ERP导入清单!B:B,IFERROR(MATCH(154,ERP导入清单!$X$5:$X$204,0)+4,"")))</f>
        <v/>
      </c>
      <c r="C158" s="38" t="str">
        <f>IF(COUNTIF(ERP导入清单!$X$5:$X$204,154)=0,"",INDEX(ERP导入清单!C:C,IFERROR(MATCH(154,ERP导入清单!$X$5:$X$204,0)+4,"")))</f>
        <v/>
      </c>
      <c r="D158" s="37" t="str">
        <f>IF(COUNTIF(ERP导入清单!$X$5:$X$204,154)=0,"",INDEX(ERP导入清单!D:D,IFERROR(MATCH(154,ERP导入清单!$X$5:$X$204,0)+4,"")))</f>
        <v/>
      </c>
      <c r="E158" s="37" t="str">
        <f>IF(COUNTIF(ERP导入清单!$X$5:$X$204,154)=0,"",INDEX(ERP导入清单!E:E,IFERROR(MATCH(154,ERP导入清单!$X$5:$X$204,0)+4,"")))</f>
        <v/>
      </c>
      <c r="F158" s="37" t="str">
        <f>IF(COUNTIF(ERP导入清单!$X$5:$X$204,154)=0,"",INDEX(ERP导入清单!F:F,IFERROR(MATCH(154,ERP导入清单!$X$5:$X$204,0)+4,"")))</f>
        <v/>
      </c>
      <c r="G158" s="57" t="str">
        <f>IF(COUNTIF(ERP导入清单!$X$5:$X$204,154)=0,"",INDEX(ERP导入清单!G:G,IFERROR(MATCH(154,ERP导入清单!$X$5:$X$204,0)+4,"")))</f>
        <v/>
      </c>
      <c r="H158" s="37" t="str">
        <f>IF(COUNTIF(ERP导入清单!$X$5:$X$204,154)=0,"",INDEX(ERP导入清单!H:H,IFERROR(MATCH(154,ERP导入清单!$X$5:$X$204,0)+4,"")))</f>
        <v/>
      </c>
      <c r="I158" s="57" t="str">
        <f>IF(COUNTIF(ERP导入清单!$X$5:$X$204,154)=0,"",INDEX(ERP导入清单!I:I,IFERROR(MATCH(154,ERP导入清单!$X$5:$X$204,0)+4,"")))</f>
        <v/>
      </c>
      <c r="J158" s="57" t="str">
        <f>IF(COUNTIF(ERP导入清单!$X$5:$X$204,154)=0,"",INDEX(ERP导入清单!J:J,IFERROR(MATCH(154,ERP导入清单!$X$5:$X$204,0)+4,"")))</f>
        <v/>
      </c>
      <c r="K158" s="37" t="str">
        <f>IF(COUNTIF(ERP导入清单!$X$5:$X$204,154)=0,"",INDEX(ERP导入清单!K:K,IFERROR(MATCH(154,ERP导入清单!$X$5:$X$204,0)+4,"")))</f>
        <v/>
      </c>
      <c r="L158" s="37" t="str">
        <f>IF(COUNTIF(ERP导入清单!$X$5:$X$204,154)=0,"",INDEX(ERP导入清单!L:L,IFERROR(MATCH(154,ERP导入清单!$X$5:$X$204,0)+4,"")))</f>
        <v/>
      </c>
      <c r="M158" s="37" t="str">
        <f>IF(COUNTIF(ERP导入清单!$X$5:$X$204,154)=0,"",INDEX(ERP导入清单!M:M,IFERROR(MATCH(154,ERP导入清单!$X$5:$X$204,0)+4,"")))</f>
        <v/>
      </c>
      <c r="N158" s="37" t="str">
        <f>IF(COUNTIF(ERP导入清单!$X$5:$X$204,154)=0,"",INDEX(ERP导入清单!N:N,IFERROR(MATCH(154,ERP导入清单!$X$5:$X$204,0)+4,"")))</f>
        <v/>
      </c>
      <c r="O158" s="37" t="str">
        <f>IF(COUNTIF(ERP导入清单!$X$5:$X$204,154)=0,"",INDEX(ERP导入清单!O:O,IFERROR(MATCH(154,ERP导入清单!$X$5:$X$204,0)+4,"")))</f>
        <v/>
      </c>
      <c r="P158" s="39" t="str">
        <f>IF(COUNTIF(ERP导入清单!$X$5:$X$204,154)=0,"",INDEX(ERP导入清单!P:P,IFERROR(MATCH(154,ERP导入清单!$X$5:$X$204,0)+4,"")))</f>
        <v/>
      </c>
      <c r="Q158" s="39" t="str">
        <f>IF(COUNTIF(ERP导入清单!$X$5:$X$204,154)=0,"",INDEX(ERP导入清单!Q:Q,IFERROR(MATCH(154,ERP导入清单!$X$5:$X$204,0)+4,"")))</f>
        <v/>
      </c>
      <c r="R158" s="59" t="str">
        <f>IF(COUNTIF(ERP导入清单!$X$5:$X$204,154)=0,"",INDEX(ERP导入清单!R:R,IFERROR(MATCH(154,ERP导入清单!$X$5:$X$204,0)+4,"")))</f>
        <v/>
      </c>
      <c r="S158" s="37" t="str">
        <f>IF(COUNTIF(ERP导入清单!$X$5:$X$204,154)=0,"",INDEX(ERP导入清单!S:S,IFERROR(MATCH(154,ERP导入清单!$X$5:$X$204,0)+4,"")))</f>
        <v/>
      </c>
      <c r="T158" s="37" t="str">
        <f>IF(COUNTIF(ERP导入清单!$X$5:$X$204,154)=0,"",INDEX(ERP导入清单!T:T,IFERROR(MATCH(154,ERP导入清单!$X$5:$X$204,0)+4,"")))</f>
        <v/>
      </c>
      <c r="U158" s="37" t="str">
        <f>IF(COUNTIF(ERP导入清单!$X$5:$X$204,154)=0,"",INDEX(ERP导入清单!U:U,IFERROR(MATCH(154,ERP导入清单!$X$5:$X$204,0)+4,"")))</f>
        <v/>
      </c>
      <c r="V158" s="38" t="str">
        <f>IF(COUNTIF(ERP导入清单!$X$5:$X$204,154)=0,"",INDEX(ERP导入清单!V:V,IFERROR(MATCH(154,ERP导入清单!$X$5:$X$204,0)+4,"")))</f>
        <v/>
      </c>
      <c r="W158" s="50" t="str">
        <f>IF(COUNTIF(ERP导入清单!$X$5:$X$204,154)=0,"",INDEX(ERP导入清单!W:W,IFERROR(MATCH(154,ERP导入清单!$X$5:$X$204,0)+4,"")))</f>
        <v/>
      </c>
    </row>
    <row r="159" spans="1:23" ht="24" customHeight="1">
      <c r="A159" s="55" t="str">
        <f>IF(COUNTIF(ERP导入清单!$X$5:$X$204,155)=0,"",INDEX(ERP导入清单!A:A,IFERROR(MATCH(155,ERP导入清单!$X$5:$X$204,0)+4,"")))</f>
        <v/>
      </c>
      <c r="B159" s="37" t="str">
        <f>IF(COUNTIF(ERP导入清单!$X$5:$X$204,155)=0,"",INDEX(ERP导入清单!B:B,IFERROR(MATCH(155,ERP导入清单!$X$5:$X$204,0)+4,"")))</f>
        <v/>
      </c>
      <c r="C159" s="38" t="str">
        <f>IF(COUNTIF(ERP导入清单!$X$5:$X$204,155)=0,"",INDEX(ERP导入清单!C:C,IFERROR(MATCH(155,ERP导入清单!$X$5:$X$204,0)+4,"")))</f>
        <v/>
      </c>
      <c r="D159" s="37" t="str">
        <f>IF(COUNTIF(ERP导入清单!$X$5:$X$204,155)=0,"",INDEX(ERP导入清单!D:D,IFERROR(MATCH(155,ERP导入清单!$X$5:$X$204,0)+4,"")))</f>
        <v/>
      </c>
      <c r="E159" s="37" t="str">
        <f>IF(COUNTIF(ERP导入清单!$X$5:$X$204,155)=0,"",INDEX(ERP导入清单!E:E,IFERROR(MATCH(155,ERP导入清单!$X$5:$X$204,0)+4,"")))</f>
        <v/>
      </c>
      <c r="F159" s="37" t="str">
        <f>IF(COUNTIF(ERP导入清单!$X$5:$X$204,155)=0,"",INDEX(ERP导入清单!F:F,IFERROR(MATCH(155,ERP导入清单!$X$5:$X$204,0)+4,"")))</f>
        <v/>
      </c>
      <c r="G159" s="57" t="str">
        <f>IF(COUNTIF(ERP导入清单!$X$5:$X$204,155)=0,"",INDEX(ERP导入清单!G:G,IFERROR(MATCH(155,ERP导入清单!$X$5:$X$204,0)+4,"")))</f>
        <v/>
      </c>
      <c r="H159" s="37" t="str">
        <f>IF(COUNTIF(ERP导入清单!$X$5:$X$204,155)=0,"",INDEX(ERP导入清单!H:H,IFERROR(MATCH(155,ERP导入清单!$X$5:$X$204,0)+4,"")))</f>
        <v/>
      </c>
      <c r="I159" s="57" t="str">
        <f>IF(COUNTIF(ERP导入清单!$X$5:$X$204,155)=0,"",INDEX(ERP导入清单!I:I,IFERROR(MATCH(155,ERP导入清单!$X$5:$X$204,0)+4,"")))</f>
        <v/>
      </c>
      <c r="J159" s="57" t="str">
        <f>IF(COUNTIF(ERP导入清单!$X$5:$X$204,155)=0,"",INDEX(ERP导入清单!J:J,IFERROR(MATCH(155,ERP导入清单!$X$5:$X$204,0)+4,"")))</f>
        <v/>
      </c>
      <c r="K159" s="37" t="str">
        <f>IF(COUNTIF(ERP导入清单!$X$5:$X$204,155)=0,"",INDEX(ERP导入清单!K:K,IFERROR(MATCH(155,ERP导入清单!$X$5:$X$204,0)+4,"")))</f>
        <v/>
      </c>
      <c r="L159" s="37" t="str">
        <f>IF(COUNTIF(ERP导入清单!$X$5:$X$204,155)=0,"",INDEX(ERP导入清单!L:L,IFERROR(MATCH(155,ERP导入清单!$X$5:$X$204,0)+4,"")))</f>
        <v/>
      </c>
      <c r="M159" s="37" t="str">
        <f>IF(COUNTIF(ERP导入清单!$X$5:$X$204,155)=0,"",INDEX(ERP导入清单!M:M,IFERROR(MATCH(155,ERP导入清单!$X$5:$X$204,0)+4,"")))</f>
        <v/>
      </c>
      <c r="N159" s="37" t="str">
        <f>IF(COUNTIF(ERP导入清单!$X$5:$X$204,155)=0,"",INDEX(ERP导入清单!N:N,IFERROR(MATCH(155,ERP导入清单!$X$5:$X$204,0)+4,"")))</f>
        <v/>
      </c>
      <c r="O159" s="37" t="str">
        <f>IF(COUNTIF(ERP导入清单!$X$5:$X$204,155)=0,"",INDEX(ERP导入清单!O:O,IFERROR(MATCH(155,ERP导入清单!$X$5:$X$204,0)+4,"")))</f>
        <v/>
      </c>
      <c r="P159" s="39" t="str">
        <f>IF(COUNTIF(ERP导入清单!$X$5:$X$204,155)=0,"",INDEX(ERP导入清单!P:P,IFERROR(MATCH(155,ERP导入清单!$X$5:$X$204,0)+4,"")))</f>
        <v/>
      </c>
      <c r="Q159" s="39" t="str">
        <f>IF(COUNTIF(ERP导入清单!$X$5:$X$204,155)=0,"",INDEX(ERP导入清单!Q:Q,IFERROR(MATCH(155,ERP导入清单!$X$5:$X$204,0)+4,"")))</f>
        <v/>
      </c>
      <c r="R159" s="59" t="str">
        <f>IF(COUNTIF(ERP导入清单!$X$5:$X$204,155)=0,"",INDEX(ERP导入清单!R:R,IFERROR(MATCH(155,ERP导入清单!$X$5:$X$204,0)+4,"")))</f>
        <v/>
      </c>
      <c r="S159" s="37" t="str">
        <f>IF(COUNTIF(ERP导入清单!$X$5:$X$204,155)=0,"",INDEX(ERP导入清单!S:S,IFERROR(MATCH(155,ERP导入清单!$X$5:$X$204,0)+4,"")))</f>
        <v/>
      </c>
      <c r="T159" s="37" t="str">
        <f>IF(COUNTIF(ERP导入清单!$X$5:$X$204,155)=0,"",INDEX(ERP导入清单!T:T,IFERROR(MATCH(155,ERP导入清单!$X$5:$X$204,0)+4,"")))</f>
        <v/>
      </c>
      <c r="U159" s="37" t="str">
        <f>IF(COUNTIF(ERP导入清单!$X$5:$X$204,155)=0,"",INDEX(ERP导入清单!U:U,IFERROR(MATCH(155,ERP导入清单!$X$5:$X$204,0)+4,"")))</f>
        <v/>
      </c>
      <c r="V159" s="38" t="str">
        <f>IF(COUNTIF(ERP导入清单!$X$5:$X$204,155)=0,"",INDEX(ERP导入清单!V:V,IFERROR(MATCH(155,ERP导入清单!$X$5:$X$204,0)+4,"")))</f>
        <v/>
      </c>
      <c r="W159" s="50" t="str">
        <f>IF(COUNTIF(ERP导入清单!$X$5:$X$204,155)=0,"",INDEX(ERP导入清单!W:W,IFERROR(MATCH(155,ERP导入清单!$X$5:$X$204,0)+4,"")))</f>
        <v/>
      </c>
    </row>
    <row r="160" spans="1:23" ht="24" customHeight="1">
      <c r="A160" s="55" t="str">
        <f>IF(COUNTIF(ERP导入清单!$X$5:$X$204,156)=0,"",INDEX(ERP导入清单!A:A,IFERROR(MATCH(156,ERP导入清单!$X$5:$X$204,0)+4,"")))</f>
        <v/>
      </c>
      <c r="B160" s="37" t="str">
        <f>IF(COUNTIF(ERP导入清单!$X$5:$X$204,156)=0,"",INDEX(ERP导入清单!B:B,IFERROR(MATCH(156,ERP导入清单!$X$5:$X$204,0)+4,"")))</f>
        <v/>
      </c>
      <c r="C160" s="38" t="str">
        <f>IF(COUNTIF(ERP导入清单!$X$5:$X$204,156)=0,"",INDEX(ERP导入清单!C:C,IFERROR(MATCH(156,ERP导入清单!$X$5:$X$204,0)+4,"")))</f>
        <v/>
      </c>
      <c r="D160" s="37" t="str">
        <f>IF(COUNTIF(ERP导入清单!$X$5:$X$204,156)=0,"",INDEX(ERP导入清单!D:D,IFERROR(MATCH(156,ERP导入清单!$X$5:$X$204,0)+4,"")))</f>
        <v/>
      </c>
      <c r="E160" s="37" t="str">
        <f>IF(COUNTIF(ERP导入清单!$X$5:$X$204,156)=0,"",INDEX(ERP导入清单!E:E,IFERROR(MATCH(156,ERP导入清单!$X$5:$X$204,0)+4,"")))</f>
        <v/>
      </c>
      <c r="F160" s="37" t="str">
        <f>IF(COUNTIF(ERP导入清单!$X$5:$X$204,156)=0,"",INDEX(ERP导入清单!F:F,IFERROR(MATCH(156,ERP导入清单!$X$5:$X$204,0)+4,"")))</f>
        <v/>
      </c>
      <c r="G160" s="57" t="str">
        <f>IF(COUNTIF(ERP导入清单!$X$5:$X$204,156)=0,"",INDEX(ERP导入清单!G:G,IFERROR(MATCH(156,ERP导入清单!$X$5:$X$204,0)+4,"")))</f>
        <v/>
      </c>
      <c r="H160" s="37" t="str">
        <f>IF(COUNTIF(ERP导入清单!$X$5:$X$204,156)=0,"",INDEX(ERP导入清单!H:H,IFERROR(MATCH(156,ERP导入清单!$X$5:$X$204,0)+4,"")))</f>
        <v/>
      </c>
      <c r="I160" s="57" t="str">
        <f>IF(COUNTIF(ERP导入清单!$X$5:$X$204,156)=0,"",INDEX(ERP导入清单!I:I,IFERROR(MATCH(156,ERP导入清单!$X$5:$X$204,0)+4,"")))</f>
        <v/>
      </c>
      <c r="J160" s="57" t="str">
        <f>IF(COUNTIF(ERP导入清单!$X$5:$X$204,156)=0,"",INDEX(ERP导入清单!J:J,IFERROR(MATCH(156,ERP导入清单!$X$5:$X$204,0)+4,"")))</f>
        <v/>
      </c>
      <c r="K160" s="37" t="str">
        <f>IF(COUNTIF(ERP导入清单!$X$5:$X$204,156)=0,"",INDEX(ERP导入清单!K:K,IFERROR(MATCH(156,ERP导入清单!$X$5:$X$204,0)+4,"")))</f>
        <v/>
      </c>
      <c r="L160" s="37" t="str">
        <f>IF(COUNTIF(ERP导入清单!$X$5:$X$204,156)=0,"",INDEX(ERP导入清单!L:L,IFERROR(MATCH(156,ERP导入清单!$X$5:$X$204,0)+4,"")))</f>
        <v/>
      </c>
      <c r="M160" s="37" t="str">
        <f>IF(COUNTIF(ERP导入清单!$X$5:$X$204,156)=0,"",INDEX(ERP导入清单!M:M,IFERROR(MATCH(156,ERP导入清单!$X$5:$X$204,0)+4,"")))</f>
        <v/>
      </c>
      <c r="N160" s="37" t="str">
        <f>IF(COUNTIF(ERP导入清单!$X$5:$X$204,156)=0,"",INDEX(ERP导入清单!N:N,IFERROR(MATCH(156,ERP导入清单!$X$5:$X$204,0)+4,"")))</f>
        <v/>
      </c>
      <c r="O160" s="37" t="str">
        <f>IF(COUNTIF(ERP导入清单!$X$5:$X$204,156)=0,"",INDEX(ERP导入清单!O:O,IFERROR(MATCH(156,ERP导入清单!$X$5:$X$204,0)+4,"")))</f>
        <v/>
      </c>
      <c r="P160" s="39" t="str">
        <f>IF(COUNTIF(ERP导入清单!$X$5:$X$204,156)=0,"",INDEX(ERP导入清单!P:P,IFERROR(MATCH(156,ERP导入清单!$X$5:$X$204,0)+4,"")))</f>
        <v/>
      </c>
      <c r="Q160" s="39" t="str">
        <f>IF(COUNTIF(ERP导入清单!$X$5:$X$204,156)=0,"",INDEX(ERP导入清单!Q:Q,IFERROR(MATCH(156,ERP导入清单!$X$5:$X$204,0)+4,"")))</f>
        <v/>
      </c>
      <c r="R160" s="59" t="str">
        <f>IF(COUNTIF(ERP导入清单!$X$5:$X$204,156)=0,"",INDEX(ERP导入清单!R:R,IFERROR(MATCH(156,ERP导入清单!$X$5:$X$204,0)+4,"")))</f>
        <v/>
      </c>
      <c r="S160" s="37" t="str">
        <f>IF(COUNTIF(ERP导入清单!$X$5:$X$204,156)=0,"",INDEX(ERP导入清单!S:S,IFERROR(MATCH(156,ERP导入清单!$X$5:$X$204,0)+4,"")))</f>
        <v/>
      </c>
      <c r="T160" s="37" t="str">
        <f>IF(COUNTIF(ERP导入清单!$X$5:$X$204,156)=0,"",INDEX(ERP导入清单!T:T,IFERROR(MATCH(156,ERP导入清单!$X$5:$X$204,0)+4,"")))</f>
        <v/>
      </c>
      <c r="U160" s="37" t="str">
        <f>IF(COUNTIF(ERP导入清单!$X$5:$X$204,156)=0,"",INDEX(ERP导入清单!U:U,IFERROR(MATCH(156,ERP导入清单!$X$5:$X$204,0)+4,"")))</f>
        <v/>
      </c>
      <c r="V160" s="38" t="str">
        <f>IF(COUNTIF(ERP导入清单!$X$5:$X$204,156)=0,"",INDEX(ERP导入清单!V:V,IFERROR(MATCH(156,ERP导入清单!$X$5:$X$204,0)+4,"")))</f>
        <v/>
      </c>
      <c r="W160" s="50" t="str">
        <f>IF(COUNTIF(ERP导入清单!$X$5:$X$204,156)=0,"",INDEX(ERP导入清单!W:W,IFERROR(MATCH(156,ERP导入清单!$X$5:$X$204,0)+4,"")))</f>
        <v/>
      </c>
    </row>
    <row r="161" spans="1:23" ht="24" customHeight="1">
      <c r="A161" s="55" t="str">
        <f>IF(COUNTIF(ERP导入清单!$X$5:$X$204,157)=0,"",INDEX(ERP导入清单!A:A,IFERROR(MATCH(157,ERP导入清单!$X$5:$X$204,0)+4,"")))</f>
        <v/>
      </c>
      <c r="B161" s="37" t="str">
        <f>IF(COUNTIF(ERP导入清单!$X$5:$X$204,157)=0,"",INDEX(ERP导入清单!B:B,IFERROR(MATCH(157,ERP导入清单!$X$5:$X$204,0)+4,"")))</f>
        <v/>
      </c>
      <c r="C161" s="38" t="str">
        <f>IF(COUNTIF(ERP导入清单!$X$5:$X$204,157)=0,"",INDEX(ERP导入清单!C:C,IFERROR(MATCH(157,ERP导入清单!$X$5:$X$204,0)+4,"")))</f>
        <v/>
      </c>
      <c r="D161" s="37" t="str">
        <f>IF(COUNTIF(ERP导入清单!$X$5:$X$204,157)=0,"",INDEX(ERP导入清单!D:D,IFERROR(MATCH(157,ERP导入清单!$X$5:$X$204,0)+4,"")))</f>
        <v/>
      </c>
      <c r="E161" s="37" t="str">
        <f>IF(COUNTIF(ERP导入清单!$X$5:$X$204,157)=0,"",INDEX(ERP导入清单!E:E,IFERROR(MATCH(157,ERP导入清单!$X$5:$X$204,0)+4,"")))</f>
        <v/>
      </c>
      <c r="F161" s="37" t="str">
        <f>IF(COUNTIF(ERP导入清单!$X$5:$X$204,157)=0,"",INDEX(ERP导入清单!F:F,IFERROR(MATCH(157,ERP导入清单!$X$5:$X$204,0)+4,"")))</f>
        <v/>
      </c>
      <c r="G161" s="57" t="str">
        <f>IF(COUNTIF(ERP导入清单!$X$5:$X$204,157)=0,"",INDEX(ERP导入清单!G:G,IFERROR(MATCH(157,ERP导入清单!$X$5:$X$204,0)+4,"")))</f>
        <v/>
      </c>
      <c r="H161" s="37" t="str">
        <f>IF(COUNTIF(ERP导入清单!$X$5:$X$204,157)=0,"",INDEX(ERP导入清单!H:H,IFERROR(MATCH(157,ERP导入清单!$X$5:$X$204,0)+4,"")))</f>
        <v/>
      </c>
      <c r="I161" s="57" t="str">
        <f>IF(COUNTIF(ERP导入清单!$X$5:$X$204,157)=0,"",INDEX(ERP导入清单!I:I,IFERROR(MATCH(157,ERP导入清单!$X$5:$X$204,0)+4,"")))</f>
        <v/>
      </c>
      <c r="J161" s="57" t="str">
        <f>IF(COUNTIF(ERP导入清单!$X$5:$X$204,157)=0,"",INDEX(ERP导入清单!J:J,IFERROR(MATCH(157,ERP导入清单!$X$5:$X$204,0)+4,"")))</f>
        <v/>
      </c>
      <c r="K161" s="37" t="str">
        <f>IF(COUNTIF(ERP导入清单!$X$5:$X$204,157)=0,"",INDEX(ERP导入清单!K:K,IFERROR(MATCH(157,ERP导入清单!$X$5:$X$204,0)+4,"")))</f>
        <v/>
      </c>
      <c r="L161" s="37" t="str">
        <f>IF(COUNTIF(ERP导入清单!$X$5:$X$204,157)=0,"",INDEX(ERP导入清单!L:L,IFERROR(MATCH(157,ERP导入清单!$X$5:$X$204,0)+4,"")))</f>
        <v/>
      </c>
      <c r="M161" s="37" t="str">
        <f>IF(COUNTIF(ERP导入清单!$X$5:$X$204,157)=0,"",INDEX(ERP导入清单!M:M,IFERROR(MATCH(157,ERP导入清单!$X$5:$X$204,0)+4,"")))</f>
        <v/>
      </c>
      <c r="N161" s="37" t="str">
        <f>IF(COUNTIF(ERP导入清单!$X$5:$X$204,157)=0,"",INDEX(ERP导入清单!N:N,IFERROR(MATCH(157,ERP导入清单!$X$5:$X$204,0)+4,"")))</f>
        <v/>
      </c>
      <c r="O161" s="37" t="str">
        <f>IF(COUNTIF(ERP导入清单!$X$5:$X$204,157)=0,"",INDEX(ERP导入清单!O:O,IFERROR(MATCH(157,ERP导入清单!$X$5:$X$204,0)+4,"")))</f>
        <v/>
      </c>
      <c r="P161" s="39" t="str">
        <f>IF(COUNTIF(ERP导入清单!$X$5:$X$204,157)=0,"",INDEX(ERP导入清单!P:P,IFERROR(MATCH(157,ERP导入清单!$X$5:$X$204,0)+4,"")))</f>
        <v/>
      </c>
      <c r="Q161" s="39" t="str">
        <f>IF(COUNTIF(ERP导入清单!$X$5:$X$204,157)=0,"",INDEX(ERP导入清单!Q:Q,IFERROR(MATCH(157,ERP导入清单!$X$5:$X$204,0)+4,"")))</f>
        <v/>
      </c>
      <c r="R161" s="59" t="str">
        <f>IF(COUNTIF(ERP导入清单!$X$5:$X$204,157)=0,"",INDEX(ERP导入清单!R:R,IFERROR(MATCH(157,ERP导入清单!$X$5:$X$204,0)+4,"")))</f>
        <v/>
      </c>
      <c r="S161" s="37" t="str">
        <f>IF(COUNTIF(ERP导入清单!$X$5:$X$204,157)=0,"",INDEX(ERP导入清单!S:S,IFERROR(MATCH(157,ERP导入清单!$X$5:$X$204,0)+4,"")))</f>
        <v/>
      </c>
      <c r="T161" s="37" t="str">
        <f>IF(COUNTIF(ERP导入清单!$X$5:$X$204,157)=0,"",INDEX(ERP导入清单!T:T,IFERROR(MATCH(157,ERP导入清单!$X$5:$X$204,0)+4,"")))</f>
        <v/>
      </c>
      <c r="U161" s="37" t="str">
        <f>IF(COUNTIF(ERP导入清单!$X$5:$X$204,157)=0,"",INDEX(ERP导入清单!U:U,IFERROR(MATCH(157,ERP导入清单!$X$5:$X$204,0)+4,"")))</f>
        <v/>
      </c>
      <c r="V161" s="38" t="str">
        <f>IF(COUNTIF(ERP导入清单!$X$5:$X$204,157)=0,"",INDEX(ERP导入清单!V:V,IFERROR(MATCH(157,ERP导入清单!$X$5:$X$204,0)+4,"")))</f>
        <v/>
      </c>
      <c r="W161" s="50" t="str">
        <f>IF(COUNTIF(ERP导入清单!$X$5:$X$204,157)=0,"",INDEX(ERP导入清单!W:W,IFERROR(MATCH(157,ERP导入清单!$X$5:$X$204,0)+4,"")))</f>
        <v/>
      </c>
    </row>
    <row r="162" spans="1:23" ht="24" customHeight="1">
      <c r="A162" s="55" t="str">
        <f>IF(COUNTIF(ERP导入清单!$X$5:$X$204,158)=0,"",INDEX(ERP导入清单!A:A,IFERROR(MATCH(158,ERP导入清单!$X$5:$X$204,0)+4,"")))</f>
        <v/>
      </c>
      <c r="B162" s="37" t="str">
        <f>IF(COUNTIF(ERP导入清单!$X$5:$X$204,158)=0,"",INDEX(ERP导入清单!B:B,IFERROR(MATCH(158,ERP导入清单!$X$5:$X$204,0)+4,"")))</f>
        <v/>
      </c>
      <c r="C162" s="38" t="str">
        <f>IF(COUNTIF(ERP导入清单!$X$5:$X$204,158)=0,"",INDEX(ERP导入清单!C:C,IFERROR(MATCH(158,ERP导入清单!$X$5:$X$204,0)+4,"")))</f>
        <v/>
      </c>
      <c r="D162" s="37" t="str">
        <f>IF(COUNTIF(ERP导入清单!$X$5:$X$204,158)=0,"",INDEX(ERP导入清单!D:D,IFERROR(MATCH(158,ERP导入清单!$X$5:$X$204,0)+4,"")))</f>
        <v/>
      </c>
      <c r="E162" s="37" t="str">
        <f>IF(COUNTIF(ERP导入清单!$X$5:$X$204,158)=0,"",INDEX(ERP导入清单!E:E,IFERROR(MATCH(158,ERP导入清单!$X$5:$X$204,0)+4,"")))</f>
        <v/>
      </c>
      <c r="F162" s="37" t="str">
        <f>IF(COUNTIF(ERP导入清单!$X$5:$X$204,158)=0,"",INDEX(ERP导入清单!F:F,IFERROR(MATCH(158,ERP导入清单!$X$5:$X$204,0)+4,"")))</f>
        <v/>
      </c>
      <c r="G162" s="57" t="str">
        <f>IF(COUNTIF(ERP导入清单!$X$5:$X$204,158)=0,"",INDEX(ERP导入清单!G:G,IFERROR(MATCH(158,ERP导入清单!$X$5:$X$204,0)+4,"")))</f>
        <v/>
      </c>
      <c r="H162" s="37" t="str">
        <f>IF(COUNTIF(ERP导入清单!$X$5:$X$204,158)=0,"",INDEX(ERP导入清单!H:H,IFERROR(MATCH(158,ERP导入清单!$X$5:$X$204,0)+4,"")))</f>
        <v/>
      </c>
      <c r="I162" s="57" t="str">
        <f>IF(COUNTIF(ERP导入清单!$X$5:$X$204,158)=0,"",INDEX(ERP导入清单!I:I,IFERROR(MATCH(158,ERP导入清单!$X$5:$X$204,0)+4,"")))</f>
        <v/>
      </c>
      <c r="J162" s="57" t="str">
        <f>IF(COUNTIF(ERP导入清单!$X$5:$X$204,158)=0,"",INDEX(ERP导入清单!J:J,IFERROR(MATCH(158,ERP导入清单!$X$5:$X$204,0)+4,"")))</f>
        <v/>
      </c>
      <c r="K162" s="37" t="str">
        <f>IF(COUNTIF(ERP导入清单!$X$5:$X$204,158)=0,"",INDEX(ERP导入清单!K:K,IFERROR(MATCH(158,ERP导入清单!$X$5:$X$204,0)+4,"")))</f>
        <v/>
      </c>
      <c r="L162" s="37" t="str">
        <f>IF(COUNTIF(ERP导入清单!$X$5:$X$204,158)=0,"",INDEX(ERP导入清单!L:L,IFERROR(MATCH(158,ERP导入清单!$X$5:$X$204,0)+4,"")))</f>
        <v/>
      </c>
      <c r="M162" s="37" t="str">
        <f>IF(COUNTIF(ERP导入清单!$X$5:$X$204,158)=0,"",INDEX(ERP导入清单!M:M,IFERROR(MATCH(158,ERP导入清单!$X$5:$X$204,0)+4,"")))</f>
        <v/>
      </c>
      <c r="N162" s="37" t="str">
        <f>IF(COUNTIF(ERP导入清单!$X$5:$X$204,158)=0,"",INDEX(ERP导入清单!N:N,IFERROR(MATCH(158,ERP导入清单!$X$5:$X$204,0)+4,"")))</f>
        <v/>
      </c>
      <c r="O162" s="37" t="str">
        <f>IF(COUNTIF(ERP导入清单!$X$5:$X$204,158)=0,"",INDEX(ERP导入清单!O:O,IFERROR(MATCH(158,ERP导入清单!$X$5:$X$204,0)+4,"")))</f>
        <v/>
      </c>
      <c r="P162" s="39" t="str">
        <f>IF(COUNTIF(ERP导入清单!$X$5:$X$204,158)=0,"",INDEX(ERP导入清单!P:P,IFERROR(MATCH(158,ERP导入清单!$X$5:$X$204,0)+4,"")))</f>
        <v/>
      </c>
      <c r="Q162" s="39" t="str">
        <f>IF(COUNTIF(ERP导入清单!$X$5:$X$204,158)=0,"",INDEX(ERP导入清单!Q:Q,IFERROR(MATCH(158,ERP导入清单!$X$5:$X$204,0)+4,"")))</f>
        <v/>
      </c>
      <c r="R162" s="59" t="str">
        <f>IF(COUNTIF(ERP导入清单!$X$5:$X$204,158)=0,"",INDEX(ERP导入清单!R:R,IFERROR(MATCH(158,ERP导入清单!$X$5:$X$204,0)+4,"")))</f>
        <v/>
      </c>
      <c r="S162" s="37" t="str">
        <f>IF(COUNTIF(ERP导入清单!$X$5:$X$204,158)=0,"",INDEX(ERP导入清单!S:S,IFERROR(MATCH(158,ERP导入清单!$X$5:$X$204,0)+4,"")))</f>
        <v/>
      </c>
      <c r="T162" s="37" t="str">
        <f>IF(COUNTIF(ERP导入清单!$X$5:$X$204,158)=0,"",INDEX(ERP导入清单!T:T,IFERROR(MATCH(158,ERP导入清单!$X$5:$X$204,0)+4,"")))</f>
        <v/>
      </c>
      <c r="U162" s="37" t="str">
        <f>IF(COUNTIF(ERP导入清单!$X$5:$X$204,158)=0,"",INDEX(ERP导入清单!U:U,IFERROR(MATCH(158,ERP导入清单!$X$5:$X$204,0)+4,"")))</f>
        <v/>
      </c>
      <c r="V162" s="38" t="str">
        <f>IF(COUNTIF(ERP导入清单!$X$5:$X$204,158)=0,"",INDEX(ERP导入清单!V:V,IFERROR(MATCH(158,ERP导入清单!$X$5:$X$204,0)+4,"")))</f>
        <v/>
      </c>
      <c r="W162" s="50" t="str">
        <f>IF(COUNTIF(ERP导入清单!$X$5:$X$204,158)=0,"",INDEX(ERP导入清单!W:W,IFERROR(MATCH(158,ERP导入清单!$X$5:$X$204,0)+4,"")))</f>
        <v/>
      </c>
    </row>
    <row r="163" spans="1:23" ht="24" customHeight="1">
      <c r="A163" s="55" t="str">
        <f>IF(COUNTIF(ERP导入清单!$X$5:$X$204,159)=0,"",INDEX(ERP导入清单!A:A,IFERROR(MATCH(159,ERP导入清单!$X$5:$X$204,0)+4,"")))</f>
        <v/>
      </c>
      <c r="B163" s="37" t="str">
        <f>IF(COUNTIF(ERP导入清单!$X$5:$X$204,159)=0,"",INDEX(ERP导入清单!B:B,IFERROR(MATCH(159,ERP导入清单!$X$5:$X$204,0)+4,"")))</f>
        <v/>
      </c>
      <c r="C163" s="38" t="str">
        <f>IF(COUNTIF(ERP导入清单!$X$5:$X$204,159)=0,"",INDEX(ERP导入清单!C:C,IFERROR(MATCH(159,ERP导入清单!$X$5:$X$204,0)+4,"")))</f>
        <v/>
      </c>
      <c r="D163" s="37" t="str">
        <f>IF(COUNTIF(ERP导入清单!$X$5:$X$204,159)=0,"",INDEX(ERP导入清单!D:D,IFERROR(MATCH(159,ERP导入清单!$X$5:$X$204,0)+4,"")))</f>
        <v/>
      </c>
      <c r="E163" s="37" t="str">
        <f>IF(COUNTIF(ERP导入清单!$X$5:$X$204,159)=0,"",INDEX(ERP导入清单!E:E,IFERROR(MATCH(159,ERP导入清单!$X$5:$X$204,0)+4,"")))</f>
        <v/>
      </c>
      <c r="F163" s="37" t="str">
        <f>IF(COUNTIF(ERP导入清单!$X$5:$X$204,159)=0,"",INDEX(ERP导入清单!F:F,IFERROR(MATCH(159,ERP导入清单!$X$5:$X$204,0)+4,"")))</f>
        <v/>
      </c>
      <c r="G163" s="57" t="str">
        <f>IF(COUNTIF(ERP导入清单!$X$5:$X$204,159)=0,"",INDEX(ERP导入清单!G:G,IFERROR(MATCH(159,ERP导入清单!$X$5:$X$204,0)+4,"")))</f>
        <v/>
      </c>
      <c r="H163" s="37" t="str">
        <f>IF(COUNTIF(ERP导入清单!$X$5:$X$204,159)=0,"",INDEX(ERP导入清单!H:H,IFERROR(MATCH(159,ERP导入清单!$X$5:$X$204,0)+4,"")))</f>
        <v/>
      </c>
      <c r="I163" s="57" t="str">
        <f>IF(COUNTIF(ERP导入清单!$X$5:$X$204,159)=0,"",INDEX(ERP导入清单!I:I,IFERROR(MATCH(159,ERP导入清单!$X$5:$X$204,0)+4,"")))</f>
        <v/>
      </c>
      <c r="J163" s="57" t="str">
        <f>IF(COUNTIF(ERP导入清单!$X$5:$X$204,159)=0,"",INDEX(ERP导入清单!J:J,IFERROR(MATCH(159,ERP导入清单!$X$5:$X$204,0)+4,"")))</f>
        <v/>
      </c>
      <c r="K163" s="37" t="str">
        <f>IF(COUNTIF(ERP导入清单!$X$5:$X$204,159)=0,"",INDEX(ERP导入清单!K:K,IFERROR(MATCH(159,ERP导入清单!$X$5:$X$204,0)+4,"")))</f>
        <v/>
      </c>
      <c r="L163" s="37" t="str">
        <f>IF(COUNTIF(ERP导入清单!$X$5:$X$204,159)=0,"",INDEX(ERP导入清单!L:L,IFERROR(MATCH(159,ERP导入清单!$X$5:$X$204,0)+4,"")))</f>
        <v/>
      </c>
      <c r="M163" s="37" t="str">
        <f>IF(COUNTIF(ERP导入清单!$X$5:$X$204,159)=0,"",INDEX(ERP导入清单!M:M,IFERROR(MATCH(159,ERP导入清单!$X$5:$X$204,0)+4,"")))</f>
        <v/>
      </c>
      <c r="N163" s="37" t="str">
        <f>IF(COUNTIF(ERP导入清单!$X$5:$X$204,159)=0,"",INDEX(ERP导入清单!N:N,IFERROR(MATCH(159,ERP导入清单!$X$5:$X$204,0)+4,"")))</f>
        <v/>
      </c>
      <c r="O163" s="37" t="str">
        <f>IF(COUNTIF(ERP导入清单!$X$5:$X$204,159)=0,"",INDEX(ERP导入清单!O:O,IFERROR(MATCH(159,ERP导入清单!$X$5:$X$204,0)+4,"")))</f>
        <v/>
      </c>
      <c r="P163" s="39" t="str">
        <f>IF(COUNTIF(ERP导入清单!$X$5:$X$204,159)=0,"",INDEX(ERP导入清单!P:P,IFERROR(MATCH(159,ERP导入清单!$X$5:$X$204,0)+4,"")))</f>
        <v/>
      </c>
      <c r="Q163" s="39" t="str">
        <f>IF(COUNTIF(ERP导入清单!$X$5:$X$204,159)=0,"",INDEX(ERP导入清单!Q:Q,IFERROR(MATCH(159,ERP导入清单!$X$5:$X$204,0)+4,"")))</f>
        <v/>
      </c>
      <c r="R163" s="59" t="str">
        <f>IF(COUNTIF(ERP导入清单!$X$5:$X$204,159)=0,"",INDEX(ERP导入清单!R:R,IFERROR(MATCH(159,ERP导入清单!$X$5:$X$204,0)+4,"")))</f>
        <v/>
      </c>
      <c r="S163" s="37" t="str">
        <f>IF(COUNTIF(ERP导入清单!$X$5:$X$204,159)=0,"",INDEX(ERP导入清单!S:S,IFERROR(MATCH(159,ERP导入清单!$X$5:$X$204,0)+4,"")))</f>
        <v/>
      </c>
      <c r="T163" s="37" t="str">
        <f>IF(COUNTIF(ERP导入清单!$X$5:$X$204,159)=0,"",INDEX(ERP导入清单!T:T,IFERROR(MATCH(159,ERP导入清单!$X$5:$X$204,0)+4,"")))</f>
        <v/>
      </c>
      <c r="U163" s="37" t="str">
        <f>IF(COUNTIF(ERP导入清单!$X$5:$X$204,159)=0,"",INDEX(ERP导入清单!U:U,IFERROR(MATCH(159,ERP导入清单!$X$5:$X$204,0)+4,"")))</f>
        <v/>
      </c>
      <c r="V163" s="38" t="str">
        <f>IF(COUNTIF(ERP导入清单!$X$5:$X$204,159)=0,"",INDEX(ERP导入清单!V:V,IFERROR(MATCH(159,ERP导入清单!$X$5:$X$204,0)+4,"")))</f>
        <v/>
      </c>
      <c r="W163" s="50" t="str">
        <f>IF(COUNTIF(ERP导入清单!$X$5:$X$204,159)=0,"",INDEX(ERP导入清单!W:W,IFERROR(MATCH(159,ERP导入清单!$X$5:$X$204,0)+4,"")))</f>
        <v/>
      </c>
    </row>
    <row r="164" spans="1:23" ht="24" customHeight="1">
      <c r="A164" s="55" t="str">
        <f>IF(COUNTIF(ERP导入清单!$X$5:$X$204,160)=0,"",INDEX(ERP导入清单!A:A,IFERROR(MATCH(160,ERP导入清单!$X$5:$X$204,0)+4,"")))</f>
        <v/>
      </c>
      <c r="B164" s="37" t="str">
        <f>IF(COUNTIF(ERP导入清单!$X$5:$X$204,160)=0,"",INDEX(ERP导入清单!B:B,IFERROR(MATCH(160,ERP导入清单!$X$5:$X$204,0)+4,"")))</f>
        <v/>
      </c>
      <c r="C164" s="38" t="str">
        <f>IF(COUNTIF(ERP导入清单!$X$5:$X$204,160)=0,"",INDEX(ERP导入清单!C:C,IFERROR(MATCH(160,ERP导入清单!$X$5:$X$204,0)+4,"")))</f>
        <v/>
      </c>
      <c r="D164" s="37" t="str">
        <f>IF(COUNTIF(ERP导入清单!$X$5:$X$204,160)=0,"",INDEX(ERP导入清单!D:D,IFERROR(MATCH(160,ERP导入清单!$X$5:$X$204,0)+4,"")))</f>
        <v/>
      </c>
      <c r="E164" s="37" t="str">
        <f>IF(COUNTIF(ERP导入清单!$X$5:$X$204,160)=0,"",INDEX(ERP导入清单!E:E,IFERROR(MATCH(160,ERP导入清单!$X$5:$X$204,0)+4,"")))</f>
        <v/>
      </c>
      <c r="F164" s="37" t="str">
        <f>IF(COUNTIF(ERP导入清单!$X$5:$X$204,160)=0,"",INDEX(ERP导入清单!F:F,IFERROR(MATCH(160,ERP导入清单!$X$5:$X$204,0)+4,"")))</f>
        <v/>
      </c>
      <c r="G164" s="57" t="str">
        <f>IF(COUNTIF(ERP导入清单!$X$5:$X$204,160)=0,"",INDEX(ERP导入清单!G:G,IFERROR(MATCH(160,ERP导入清单!$X$5:$X$204,0)+4,"")))</f>
        <v/>
      </c>
      <c r="H164" s="37" t="str">
        <f>IF(COUNTIF(ERP导入清单!$X$5:$X$204,160)=0,"",INDEX(ERP导入清单!H:H,IFERROR(MATCH(160,ERP导入清单!$X$5:$X$204,0)+4,"")))</f>
        <v/>
      </c>
      <c r="I164" s="57" t="str">
        <f>IF(COUNTIF(ERP导入清单!$X$5:$X$204,160)=0,"",INDEX(ERP导入清单!I:I,IFERROR(MATCH(160,ERP导入清单!$X$5:$X$204,0)+4,"")))</f>
        <v/>
      </c>
      <c r="J164" s="57" t="str">
        <f>IF(COUNTIF(ERP导入清单!$X$5:$X$204,160)=0,"",INDEX(ERP导入清单!J:J,IFERROR(MATCH(160,ERP导入清单!$X$5:$X$204,0)+4,"")))</f>
        <v/>
      </c>
      <c r="K164" s="37" t="str">
        <f>IF(COUNTIF(ERP导入清单!$X$5:$X$204,160)=0,"",INDEX(ERP导入清单!K:K,IFERROR(MATCH(160,ERP导入清单!$X$5:$X$204,0)+4,"")))</f>
        <v/>
      </c>
      <c r="L164" s="37" t="str">
        <f>IF(COUNTIF(ERP导入清单!$X$5:$X$204,160)=0,"",INDEX(ERP导入清单!L:L,IFERROR(MATCH(160,ERP导入清单!$X$5:$X$204,0)+4,"")))</f>
        <v/>
      </c>
      <c r="M164" s="37" t="str">
        <f>IF(COUNTIF(ERP导入清单!$X$5:$X$204,160)=0,"",INDEX(ERP导入清单!M:M,IFERROR(MATCH(160,ERP导入清单!$X$5:$X$204,0)+4,"")))</f>
        <v/>
      </c>
      <c r="N164" s="37" t="str">
        <f>IF(COUNTIF(ERP导入清单!$X$5:$X$204,160)=0,"",INDEX(ERP导入清单!N:N,IFERROR(MATCH(160,ERP导入清单!$X$5:$X$204,0)+4,"")))</f>
        <v/>
      </c>
      <c r="O164" s="37" t="str">
        <f>IF(COUNTIF(ERP导入清单!$X$5:$X$204,160)=0,"",INDEX(ERP导入清单!O:O,IFERROR(MATCH(160,ERP导入清单!$X$5:$X$204,0)+4,"")))</f>
        <v/>
      </c>
      <c r="P164" s="39" t="str">
        <f>IF(COUNTIF(ERP导入清单!$X$5:$X$204,160)=0,"",INDEX(ERP导入清单!P:P,IFERROR(MATCH(160,ERP导入清单!$X$5:$X$204,0)+4,"")))</f>
        <v/>
      </c>
      <c r="Q164" s="39" t="str">
        <f>IF(COUNTIF(ERP导入清单!$X$5:$X$204,160)=0,"",INDEX(ERP导入清单!Q:Q,IFERROR(MATCH(160,ERP导入清单!$X$5:$X$204,0)+4,"")))</f>
        <v/>
      </c>
      <c r="R164" s="59" t="str">
        <f>IF(COUNTIF(ERP导入清单!$X$5:$X$204,160)=0,"",INDEX(ERP导入清单!R:R,IFERROR(MATCH(160,ERP导入清单!$X$5:$X$204,0)+4,"")))</f>
        <v/>
      </c>
      <c r="S164" s="37" t="str">
        <f>IF(COUNTIF(ERP导入清单!$X$5:$X$204,160)=0,"",INDEX(ERP导入清单!S:S,IFERROR(MATCH(160,ERP导入清单!$X$5:$X$204,0)+4,"")))</f>
        <v/>
      </c>
      <c r="T164" s="37" t="str">
        <f>IF(COUNTIF(ERP导入清单!$X$5:$X$204,160)=0,"",INDEX(ERP导入清单!T:T,IFERROR(MATCH(160,ERP导入清单!$X$5:$X$204,0)+4,"")))</f>
        <v/>
      </c>
      <c r="U164" s="37" t="str">
        <f>IF(COUNTIF(ERP导入清单!$X$5:$X$204,160)=0,"",INDEX(ERP导入清单!U:U,IFERROR(MATCH(160,ERP导入清单!$X$5:$X$204,0)+4,"")))</f>
        <v/>
      </c>
      <c r="V164" s="38" t="str">
        <f>IF(COUNTIF(ERP导入清单!$X$5:$X$204,160)=0,"",INDEX(ERP导入清单!V:V,IFERROR(MATCH(160,ERP导入清单!$X$5:$X$204,0)+4,"")))</f>
        <v/>
      </c>
      <c r="W164" s="50" t="str">
        <f>IF(COUNTIF(ERP导入清单!$X$5:$X$204,160)=0,"",INDEX(ERP导入清单!W:W,IFERROR(MATCH(160,ERP导入清单!$X$5:$X$204,0)+4,"")))</f>
        <v/>
      </c>
    </row>
    <row r="165" spans="1:23" ht="24" customHeight="1">
      <c r="A165" s="55" t="str">
        <f>IF(COUNTIF(ERP导入清单!$X$5:$X$204,161)=0,"",INDEX(ERP导入清单!A:A,IFERROR(MATCH(161,ERP导入清单!$X$5:$X$204,0)+4,"")))</f>
        <v/>
      </c>
      <c r="B165" s="37" t="str">
        <f>IF(COUNTIF(ERP导入清单!$X$5:$X$204,161)=0,"",INDEX(ERP导入清单!B:B,IFERROR(MATCH(161,ERP导入清单!$X$5:$X$204,0)+4,"")))</f>
        <v/>
      </c>
      <c r="C165" s="38" t="str">
        <f>IF(COUNTIF(ERP导入清单!$X$5:$X$204,161)=0,"",INDEX(ERP导入清单!C:C,IFERROR(MATCH(161,ERP导入清单!$X$5:$X$204,0)+4,"")))</f>
        <v/>
      </c>
      <c r="D165" s="37" t="str">
        <f>IF(COUNTIF(ERP导入清单!$X$5:$X$204,161)=0,"",INDEX(ERP导入清单!D:D,IFERROR(MATCH(161,ERP导入清单!$X$5:$X$204,0)+4,"")))</f>
        <v/>
      </c>
      <c r="E165" s="37" t="str">
        <f>IF(COUNTIF(ERP导入清单!$X$5:$X$204,161)=0,"",INDEX(ERP导入清单!E:E,IFERROR(MATCH(161,ERP导入清单!$X$5:$X$204,0)+4,"")))</f>
        <v/>
      </c>
      <c r="F165" s="37" t="str">
        <f>IF(COUNTIF(ERP导入清单!$X$5:$X$204,161)=0,"",INDEX(ERP导入清单!F:F,IFERROR(MATCH(161,ERP导入清单!$X$5:$X$204,0)+4,"")))</f>
        <v/>
      </c>
      <c r="G165" s="57" t="str">
        <f>IF(COUNTIF(ERP导入清单!$X$5:$X$204,161)=0,"",INDEX(ERP导入清单!G:G,IFERROR(MATCH(161,ERP导入清单!$X$5:$X$204,0)+4,"")))</f>
        <v/>
      </c>
      <c r="H165" s="37" t="str">
        <f>IF(COUNTIF(ERP导入清单!$X$5:$X$204,161)=0,"",INDEX(ERP导入清单!H:H,IFERROR(MATCH(161,ERP导入清单!$X$5:$X$204,0)+4,"")))</f>
        <v/>
      </c>
      <c r="I165" s="57" t="str">
        <f>IF(COUNTIF(ERP导入清单!$X$5:$X$204,161)=0,"",INDEX(ERP导入清单!I:I,IFERROR(MATCH(161,ERP导入清单!$X$5:$X$204,0)+4,"")))</f>
        <v/>
      </c>
      <c r="J165" s="57" t="str">
        <f>IF(COUNTIF(ERP导入清单!$X$5:$X$204,161)=0,"",INDEX(ERP导入清单!J:J,IFERROR(MATCH(161,ERP导入清单!$X$5:$X$204,0)+4,"")))</f>
        <v/>
      </c>
      <c r="K165" s="37" t="str">
        <f>IF(COUNTIF(ERP导入清单!$X$5:$X$204,161)=0,"",INDEX(ERP导入清单!K:K,IFERROR(MATCH(161,ERP导入清单!$X$5:$X$204,0)+4,"")))</f>
        <v/>
      </c>
      <c r="L165" s="37" t="str">
        <f>IF(COUNTIF(ERP导入清单!$X$5:$X$204,161)=0,"",INDEX(ERP导入清单!L:L,IFERROR(MATCH(161,ERP导入清单!$X$5:$X$204,0)+4,"")))</f>
        <v/>
      </c>
      <c r="M165" s="37" t="str">
        <f>IF(COUNTIF(ERP导入清单!$X$5:$X$204,161)=0,"",INDEX(ERP导入清单!M:M,IFERROR(MATCH(161,ERP导入清单!$X$5:$X$204,0)+4,"")))</f>
        <v/>
      </c>
      <c r="N165" s="37" t="str">
        <f>IF(COUNTIF(ERP导入清单!$X$5:$X$204,161)=0,"",INDEX(ERP导入清单!N:N,IFERROR(MATCH(161,ERP导入清单!$X$5:$X$204,0)+4,"")))</f>
        <v/>
      </c>
      <c r="O165" s="37" t="str">
        <f>IF(COUNTIF(ERP导入清单!$X$5:$X$204,161)=0,"",INDEX(ERP导入清单!O:O,IFERROR(MATCH(161,ERP导入清单!$X$5:$X$204,0)+4,"")))</f>
        <v/>
      </c>
      <c r="P165" s="39" t="str">
        <f>IF(COUNTIF(ERP导入清单!$X$5:$X$204,161)=0,"",INDEX(ERP导入清单!P:P,IFERROR(MATCH(161,ERP导入清单!$X$5:$X$204,0)+4,"")))</f>
        <v/>
      </c>
      <c r="Q165" s="39" t="str">
        <f>IF(COUNTIF(ERP导入清单!$X$5:$X$204,161)=0,"",INDEX(ERP导入清单!Q:Q,IFERROR(MATCH(161,ERP导入清单!$X$5:$X$204,0)+4,"")))</f>
        <v/>
      </c>
      <c r="R165" s="59" t="str">
        <f>IF(COUNTIF(ERP导入清单!$X$5:$X$204,161)=0,"",INDEX(ERP导入清单!R:R,IFERROR(MATCH(161,ERP导入清单!$X$5:$X$204,0)+4,"")))</f>
        <v/>
      </c>
      <c r="S165" s="37" t="str">
        <f>IF(COUNTIF(ERP导入清单!$X$5:$X$204,161)=0,"",INDEX(ERP导入清单!S:S,IFERROR(MATCH(161,ERP导入清单!$X$5:$X$204,0)+4,"")))</f>
        <v/>
      </c>
      <c r="T165" s="37" t="str">
        <f>IF(COUNTIF(ERP导入清单!$X$5:$X$204,161)=0,"",INDEX(ERP导入清单!T:T,IFERROR(MATCH(161,ERP导入清单!$X$5:$X$204,0)+4,"")))</f>
        <v/>
      </c>
      <c r="U165" s="37" t="str">
        <f>IF(COUNTIF(ERP导入清单!$X$5:$X$204,161)=0,"",INDEX(ERP导入清单!U:U,IFERROR(MATCH(161,ERP导入清单!$X$5:$X$204,0)+4,"")))</f>
        <v/>
      </c>
      <c r="V165" s="38" t="str">
        <f>IF(COUNTIF(ERP导入清单!$X$5:$X$204,161)=0,"",INDEX(ERP导入清单!V:V,IFERROR(MATCH(161,ERP导入清单!$X$5:$X$204,0)+4,"")))</f>
        <v/>
      </c>
      <c r="W165" s="50" t="str">
        <f>IF(COUNTIF(ERP导入清单!$X$5:$X$204,161)=0,"",INDEX(ERP导入清单!W:W,IFERROR(MATCH(161,ERP导入清单!$X$5:$X$204,0)+4,"")))</f>
        <v/>
      </c>
    </row>
    <row r="166" spans="1:23" ht="24" customHeight="1">
      <c r="A166" s="55" t="str">
        <f>IF(COUNTIF(ERP导入清单!$X$5:$X$204,162)=0,"",INDEX(ERP导入清单!A:A,IFERROR(MATCH(162,ERP导入清单!$X$5:$X$204,0)+4,"")))</f>
        <v/>
      </c>
      <c r="B166" s="37" t="str">
        <f>IF(COUNTIF(ERP导入清单!$X$5:$X$204,162)=0,"",INDEX(ERP导入清单!B:B,IFERROR(MATCH(162,ERP导入清单!$X$5:$X$204,0)+4,"")))</f>
        <v/>
      </c>
      <c r="C166" s="38" t="str">
        <f>IF(COUNTIF(ERP导入清单!$X$5:$X$204,162)=0,"",INDEX(ERP导入清单!C:C,IFERROR(MATCH(162,ERP导入清单!$X$5:$X$204,0)+4,"")))</f>
        <v/>
      </c>
      <c r="D166" s="37" t="str">
        <f>IF(COUNTIF(ERP导入清单!$X$5:$X$204,162)=0,"",INDEX(ERP导入清单!D:D,IFERROR(MATCH(162,ERP导入清单!$X$5:$X$204,0)+4,"")))</f>
        <v/>
      </c>
      <c r="E166" s="37" t="str">
        <f>IF(COUNTIF(ERP导入清单!$X$5:$X$204,162)=0,"",INDEX(ERP导入清单!E:E,IFERROR(MATCH(162,ERP导入清单!$X$5:$X$204,0)+4,"")))</f>
        <v/>
      </c>
      <c r="F166" s="37" t="str">
        <f>IF(COUNTIF(ERP导入清单!$X$5:$X$204,162)=0,"",INDEX(ERP导入清单!F:F,IFERROR(MATCH(162,ERP导入清单!$X$5:$X$204,0)+4,"")))</f>
        <v/>
      </c>
      <c r="G166" s="57" t="str">
        <f>IF(COUNTIF(ERP导入清单!$X$5:$X$204,162)=0,"",INDEX(ERP导入清单!G:G,IFERROR(MATCH(162,ERP导入清单!$X$5:$X$204,0)+4,"")))</f>
        <v/>
      </c>
      <c r="H166" s="37" t="str">
        <f>IF(COUNTIF(ERP导入清单!$X$5:$X$204,162)=0,"",INDEX(ERP导入清单!H:H,IFERROR(MATCH(162,ERP导入清单!$X$5:$X$204,0)+4,"")))</f>
        <v/>
      </c>
      <c r="I166" s="57" t="str">
        <f>IF(COUNTIF(ERP导入清单!$X$5:$X$204,162)=0,"",INDEX(ERP导入清单!I:I,IFERROR(MATCH(162,ERP导入清单!$X$5:$X$204,0)+4,"")))</f>
        <v/>
      </c>
      <c r="J166" s="57" t="str">
        <f>IF(COUNTIF(ERP导入清单!$X$5:$X$204,162)=0,"",INDEX(ERP导入清单!J:J,IFERROR(MATCH(162,ERP导入清单!$X$5:$X$204,0)+4,"")))</f>
        <v/>
      </c>
      <c r="K166" s="37" t="str">
        <f>IF(COUNTIF(ERP导入清单!$X$5:$X$204,162)=0,"",INDEX(ERP导入清单!K:K,IFERROR(MATCH(162,ERP导入清单!$X$5:$X$204,0)+4,"")))</f>
        <v/>
      </c>
      <c r="L166" s="37" t="str">
        <f>IF(COUNTIF(ERP导入清单!$X$5:$X$204,162)=0,"",INDEX(ERP导入清单!L:L,IFERROR(MATCH(162,ERP导入清单!$X$5:$X$204,0)+4,"")))</f>
        <v/>
      </c>
      <c r="M166" s="37" t="str">
        <f>IF(COUNTIF(ERP导入清单!$X$5:$X$204,162)=0,"",INDEX(ERP导入清单!M:M,IFERROR(MATCH(162,ERP导入清单!$X$5:$X$204,0)+4,"")))</f>
        <v/>
      </c>
      <c r="N166" s="37" t="str">
        <f>IF(COUNTIF(ERP导入清单!$X$5:$X$204,162)=0,"",INDEX(ERP导入清单!N:N,IFERROR(MATCH(162,ERP导入清单!$X$5:$X$204,0)+4,"")))</f>
        <v/>
      </c>
      <c r="O166" s="37" t="str">
        <f>IF(COUNTIF(ERP导入清单!$X$5:$X$204,162)=0,"",INDEX(ERP导入清单!O:O,IFERROR(MATCH(162,ERP导入清单!$X$5:$X$204,0)+4,"")))</f>
        <v/>
      </c>
      <c r="P166" s="39" t="str">
        <f>IF(COUNTIF(ERP导入清单!$X$5:$X$204,162)=0,"",INDEX(ERP导入清单!P:P,IFERROR(MATCH(162,ERP导入清单!$X$5:$X$204,0)+4,"")))</f>
        <v/>
      </c>
      <c r="Q166" s="39" t="str">
        <f>IF(COUNTIF(ERP导入清单!$X$5:$X$204,162)=0,"",INDEX(ERP导入清单!Q:Q,IFERROR(MATCH(162,ERP导入清单!$X$5:$X$204,0)+4,"")))</f>
        <v/>
      </c>
      <c r="R166" s="59" t="str">
        <f>IF(COUNTIF(ERP导入清单!$X$5:$X$204,162)=0,"",INDEX(ERP导入清单!R:R,IFERROR(MATCH(162,ERP导入清单!$X$5:$X$204,0)+4,"")))</f>
        <v/>
      </c>
      <c r="S166" s="37" t="str">
        <f>IF(COUNTIF(ERP导入清单!$X$5:$X$204,162)=0,"",INDEX(ERP导入清单!S:S,IFERROR(MATCH(162,ERP导入清单!$X$5:$X$204,0)+4,"")))</f>
        <v/>
      </c>
      <c r="T166" s="37" t="str">
        <f>IF(COUNTIF(ERP导入清单!$X$5:$X$204,162)=0,"",INDEX(ERP导入清单!T:T,IFERROR(MATCH(162,ERP导入清单!$X$5:$X$204,0)+4,"")))</f>
        <v/>
      </c>
      <c r="U166" s="37" t="str">
        <f>IF(COUNTIF(ERP导入清单!$X$5:$X$204,162)=0,"",INDEX(ERP导入清单!U:U,IFERROR(MATCH(162,ERP导入清单!$X$5:$X$204,0)+4,"")))</f>
        <v/>
      </c>
      <c r="V166" s="38" t="str">
        <f>IF(COUNTIF(ERP导入清单!$X$5:$X$204,162)=0,"",INDEX(ERP导入清单!V:V,IFERROR(MATCH(162,ERP导入清单!$X$5:$X$204,0)+4,"")))</f>
        <v/>
      </c>
      <c r="W166" s="50" t="str">
        <f>IF(COUNTIF(ERP导入清单!$X$5:$X$204,162)=0,"",INDEX(ERP导入清单!W:W,IFERROR(MATCH(162,ERP导入清单!$X$5:$X$204,0)+4,"")))</f>
        <v/>
      </c>
    </row>
    <row r="167" spans="1:23" ht="24" customHeight="1">
      <c r="A167" s="55" t="str">
        <f>IF(COUNTIF(ERP导入清单!$X$5:$X$204,163)=0,"",INDEX(ERP导入清单!A:A,IFERROR(MATCH(163,ERP导入清单!$X$5:$X$204,0)+4,"")))</f>
        <v/>
      </c>
      <c r="B167" s="37" t="str">
        <f>IF(COUNTIF(ERP导入清单!$X$5:$X$204,163)=0,"",INDEX(ERP导入清单!B:B,IFERROR(MATCH(163,ERP导入清单!$X$5:$X$204,0)+4,"")))</f>
        <v/>
      </c>
      <c r="C167" s="38" t="str">
        <f>IF(COUNTIF(ERP导入清单!$X$5:$X$204,163)=0,"",INDEX(ERP导入清单!C:C,IFERROR(MATCH(163,ERP导入清单!$X$5:$X$204,0)+4,"")))</f>
        <v/>
      </c>
      <c r="D167" s="37" t="str">
        <f>IF(COUNTIF(ERP导入清单!$X$5:$X$204,163)=0,"",INDEX(ERP导入清单!D:D,IFERROR(MATCH(163,ERP导入清单!$X$5:$X$204,0)+4,"")))</f>
        <v/>
      </c>
      <c r="E167" s="37" t="str">
        <f>IF(COUNTIF(ERP导入清单!$X$5:$X$204,163)=0,"",INDEX(ERP导入清单!E:E,IFERROR(MATCH(163,ERP导入清单!$X$5:$X$204,0)+4,"")))</f>
        <v/>
      </c>
      <c r="F167" s="37" t="str">
        <f>IF(COUNTIF(ERP导入清单!$X$5:$X$204,163)=0,"",INDEX(ERP导入清单!F:F,IFERROR(MATCH(163,ERP导入清单!$X$5:$X$204,0)+4,"")))</f>
        <v/>
      </c>
      <c r="G167" s="57" t="str">
        <f>IF(COUNTIF(ERP导入清单!$X$5:$X$204,163)=0,"",INDEX(ERP导入清单!G:G,IFERROR(MATCH(163,ERP导入清单!$X$5:$X$204,0)+4,"")))</f>
        <v/>
      </c>
      <c r="H167" s="37" t="str">
        <f>IF(COUNTIF(ERP导入清单!$X$5:$X$204,163)=0,"",INDEX(ERP导入清单!H:H,IFERROR(MATCH(163,ERP导入清单!$X$5:$X$204,0)+4,"")))</f>
        <v/>
      </c>
      <c r="I167" s="57" t="str">
        <f>IF(COUNTIF(ERP导入清单!$X$5:$X$204,163)=0,"",INDEX(ERP导入清单!I:I,IFERROR(MATCH(163,ERP导入清单!$X$5:$X$204,0)+4,"")))</f>
        <v/>
      </c>
      <c r="J167" s="57" t="str">
        <f>IF(COUNTIF(ERP导入清单!$X$5:$X$204,163)=0,"",INDEX(ERP导入清单!J:J,IFERROR(MATCH(163,ERP导入清单!$X$5:$X$204,0)+4,"")))</f>
        <v/>
      </c>
      <c r="K167" s="37" t="str">
        <f>IF(COUNTIF(ERP导入清单!$X$5:$X$204,163)=0,"",INDEX(ERP导入清单!K:K,IFERROR(MATCH(163,ERP导入清单!$X$5:$X$204,0)+4,"")))</f>
        <v/>
      </c>
      <c r="L167" s="37" t="str">
        <f>IF(COUNTIF(ERP导入清单!$X$5:$X$204,163)=0,"",INDEX(ERP导入清单!L:L,IFERROR(MATCH(163,ERP导入清单!$X$5:$X$204,0)+4,"")))</f>
        <v/>
      </c>
      <c r="M167" s="37" t="str">
        <f>IF(COUNTIF(ERP导入清单!$X$5:$X$204,163)=0,"",INDEX(ERP导入清单!M:M,IFERROR(MATCH(163,ERP导入清单!$X$5:$X$204,0)+4,"")))</f>
        <v/>
      </c>
      <c r="N167" s="37" t="str">
        <f>IF(COUNTIF(ERP导入清单!$X$5:$X$204,163)=0,"",INDEX(ERP导入清单!N:N,IFERROR(MATCH(163,ERP导入清单!$X$5:$X$204,0)+4,"")))</f>
        <v/>
      </c>
      <c r="O167" s="37" t="str">
        <f>IF(COUNTIF(ERP导入清单!$X$5:$X$204,163)=0,"",INDEX(ERP导入清单!O:O,IFERROR(MATCH(163,ERP导入清单!$X$5:$X$204,0)+4,"")))</f>
        <v/>
      </c>
      <c r="P167" s="39" t="str">
        <f>IF(COUNTIF(ERP导入清单!$X$5:$X$204,163)=0,"",INDEX(ERP导入清单!P:P,IFERROR(MATCH(163,ERP导入清单!$X$5:$X$204,0)+4,"")))</f>
        <v/>
      </c>
      <c r="Q167" s="39" t="str">
        <f>IF(COUNTIF(ERP导入清单!$X$5:$X$204,163)=0,"",INDEX(ERP导入清单!Q:Q,IFERROR(MATCH(163,ERP导入清单!$X$5:$X$204,0)+4,"")))</f>
        <v/>
      </c>
      <c r="R167" s="59" t="str">
        <f>IF(COUNTIF(ERP导入清单!$X$5:$X$204,163)=0,"",INDEX(ERP导入清单!R:R,IFERROR(MATCH(163,ERP导入清单!$X$5:$X$204,0)+4,"")))</f>
        <v/>
      </c>
      <c r="S167" s="37" t="str">
        <f>IF(COUNTIF(ERP导入清单!$X$5:$X$204,163)=0,"",INDEX(ERP导入清单!S:S,IFERROR(MATCH(163,ERP导入清单!$X$5:$X$204,0)+4,"")))</f>
        <v/>
      </c>
      <c r="T167" s="37" t="str">
        <f>IF(COUNTIF(ERP导入清单!$X$5:$X$204,163)=0,"",INDEX(ERP导入清单!T:T,IFERROR(MATCH(163,ERP导入清单!$X$5:$X$204,0)+4,"")))</f>
        <v/>
      </c>
      <c r="U167" s="37" t="str">
        <f>IF(COUNTIF(ERP导入清单!$X$5:$X$204,163)=0,"",INDEX(ERP导入清单!U:U,IFERROR(MATCH(163,ERP导入清单!$X$5:$X$204,0)+4,"")))</f>
        <v/>
      </c>
      <c r="V167" s="38" t="str">
        <f>IF(COUNTIF(ERP导入清单!$X$5:$X$204,163)=0,"",INDEX(ERP导入清单!V:V,IFERROR(MATCH(163,ERP导入清单!$X$5:$X$204,0)+4,"")))</f>
        <v/>
      </c>
      <c r="W167" s="50" t="str">
        <f>IF(COUNTIF(ERP导入清单!$X$5:$X$204,163)=0,"",INDEX(ERP导入清单!W:W,IFERROR(MATCH(163,ERP导入清单!$X$5:$X$204,0)+4,"")))</f>
        <v/>
      </c>
    </row>
    <row r="168" spans="1:23" ht="24" customHeight="1">
      <c r="A168" s="55" t="str">
        <f>IF(COUNTIF(ERP导入清单!$X$5:$X$204,164)=0,"",INDEX(ERP导入清单!A:A,IFERROR(MATCH(164,ERP导入清单!$X$5:$X$204,0)+4,"")))</f>
        <v/>
      </c>
      <c r="B168" s="37" t="str">
        <f>IF(COUNTIF(ERP导入清单!$X$5:$X$204,164)=0,"",INDEX(ERP导入清单!B:B,IFERROR(MATCH(164,ERP导入清单!$X$5:$X$204,0)+4,"")))</f>
        <v/>
      </c>
      <c r="C168" s="38" t="str">
        <f>IF(COUNTIF(ERP导入清单!$X$5:$X$204,164)=0,"",INDEX(ERP导入清单!C:C,IFERROR(MATCH(164,ERP导入清单!$X$5:$X$204,0)+4,"")))</f>
        <v/>
      </c>
      <c r="D168" s="37" t="str">
        <f>IF(COUNTIF(ERP导入清单!$X$5:$X$204,164)=0,"",INDEX(ERP导入清单!D:D,IFERROR(MATCH(164,ERP导入清单!$X$5:$X$204,0)+4,"")))</f>
        <v/>
      </c>
      <c r="E168" s="37" t="str">
        <f>IF(COUNTIF(ERP导入清单!$X$5:$X$204,164)=0,"",INDEX(ERP导入清单!E:E,IFERROR(MATCH(164,ERP导入清单!$X$5:$X$204,0)+4,"")))</f>
        <v/>
      </c>
      <c r="F168" s="37" t="str">
        <f>IF(COUNTIF(ERP导入清单!$X$5:$X$204,164)=0,"",INDEX(ERP导入清单!F:F,IFERROR(MATCH(164,ERP导入清单!$X$5:$X$204,0)+4,"")))</f>
        <v/>
      </c>
      <c r="G168" s="57" t="str">
        <f>IF(COUNTIF(ERP导入清单!$X$5:$X$204,164)=0,"",INDEX(ERP导入清单!G:G,IFERROR(MATCH(164,ERP导入清单!$X$5:$X$204,0)+4,"")))</f>
        <v/>
      </c>
      <c r="H168" s="37" t="str">
        <f>IF(COUNTIF(ERP导入清单!$X$5:$X$204,164)=0,"",INDEX(ERP导入清单!H:H,IFERROR(MATCH(164,ERP导入清单!$X$5:$X$204,0)+4,"")))</f>
        <v/>
      </c>
      <c r="I168" s="57" t="str">
        <f>IF(COUNTIF(ERP导入清单!$X$5:$X$204,164)=0,"",INDEX(ERP导入清单!I:I,IFERROR(MATCH(164,ERP导入清单!$X$5:$X$204,0)+4,"")))</f>
        <v/>
      </c>
      <c r="J168" s="57" t="str">
        <f>IF(COUNTIF(ERP导入清单!$X$5:$X$204,164)=0,"",INDEX(ERP导入清单!J:J,IFERROR(MATCH(164,ERP导入清单!$X$5:$X$204,0)+4,"")))</f>
        <v/>
      </c>
      <c r="K168" s="37" t="str">
        <f>IF(COUNTIF(ERP导入清单!$X$5:$X$204,164)=0,"",INDEX(ERP导入清单!K:K,IFERROR(MATCH(164,ERP导入清单!$X$5:$X$204,0)+4,"")))</f>
        <v/>
      </c>
      <c r="L168" s="37" t="str">
        <f>IF(COUNTIF(ERP导入清单!$X$5:$X$204,164)=0,"",INDEX(ERP导入清单!L:L,IFERROR(MATCH(164,ERP导入清单!$X$5:$X$204,0)+4,"")))</f>
        <v/>
      </c>
      <c r="M168" s="37" t="str">
        <f>IF(COUNTIF(ERP导入清单!$X$5:$X$204,164)=0,"",INDEX(ERP导入清单!M:M,IFERROR(MATCH(164,ERP导入清单!$X$5:$X$204,0)+4,"")))</f>
        <v/>
      </c>
      <c r="N168" s="37" t="str">
        <f>IF(COUNTIF(ERP导入清单!$X$5:$X$204,164)=0,"",INDEX(ERP导入清单!N:N,IFERROR(MATCH(164,ERP导入清单!$X$5:$X$204,0)+4,"")))</f>
        <v/>
      </c>
      <c r="O168" s="37" t="str">
        <f>IF(COUNTIF(ERP导入清单!$X$5:$X$204,164)=0,"",INDEX(ERP导入清单!O:O,IFERROR(MATCH(164,ERP导入清单!$X$5:$X$204,0)+4,"")))</f>
        <v/>
      </c>
      <c r="P168" s="39" t="str">
        <f>IF(COUNTIF(ERP导入清单!$X$5:$X$204,164)=0,"",INDEX(ERP导入清单!P:P,IFERROR(MATCH(164,ERP导入清单!$X$5:$X$204,0)+4,"")))</f>
        <v/>
      </c>
      <c r="Q168" s="39" t="str">
        <f>IF(COUNTIF(ERP导入清单!$X$5:$X$204,164)=0,"",INDEX(ERP导入清单!Q:Q,IFERROR(MATCH(164,ERP导入清单!$X$5:$X$204,0)+4,"")))</f>
        <v/>
      </c>
      <c r="R168" s="59" t="str">
        <f>IF(COUNTIF(ERP导入清单!$X$5:$X$204,164)=0,"",INDEX(ERP导入清单!R:R,IFERROR(MATCH(164,ERP导入清单!$X$5:$X$204,0)+4,"")))</f>
        <v/>
      </c>
      <c r="S168" s="37" t="str">
        <f>IF(COUNTIF(ERP导入清单!$X$5:$X$204,164)=0,"",INDEX(ERP导入清单!S:S,IFERROR(MATCH(164,ERP导入清单!$X$5:$X$204,0)+4,"")))</f>
        <v/>
      </c>
      <c r="T168" s="37" t="str">
        <f>IF(COUNTIF(ERP导入清单!$X$5:$X$204,164)=0,"",INDEX(ERP导入清单!T:T,IFERROR(MATCH(164,ERP导入清单!$X$5:$X$204,0)+4,"")))</f>
        <v/>
      </c>
      <c r="U168" s="37" t="str">
        <f>IF(COUNTIF(ERP导入清单!$X$5:$X$204,164)=0,"",INDEX(ERP导入清单!U:U,IFERROR(MATCH(164,ERP导入清单!$X$5:$X$204,0)+4,"")))</f>
        <v/>
      </c>
      <c r="V168" s="38" t="str">
        <f>IF(COUNTIF(ERP导入清单!$X$5:$X$204,164)=0,"",INDEX(ERP导入清单!V:V,IFERROR(MATCH(164,ERP导入清单!$X$5:$X$204,0)+4,"")))</f>
        <v/>
      </c>
      <c r="W168" s="50" t="str">
        <f>IF(COUNTIF(ERP导入清单!$X$5:$X$204,164)=0,"",INDEX(ERP导入清单!W:W,IFERROR(MATCH(164,ERP导入清单!$X$5:$X$204,0)+4,"")))</f>
        <v/>
      </c>
    </row>
    <row r="169" spans="1:23" ht="24" customHeight="1">
      <c r="A169" s="55" t="str">
        <f>IF(COUNTIF(ERP导入清单!$X$5:$X$204,165)=0,"",INDEX(ERP导入清单!A:A,IFERROR(MATCH(165,ERP导入清单!$X$5:$X$204,0)+4,"")))</f>
        <v/>
      </c>
      <c r="B169" s="37" t="str">
        <f>IF(COUNTIF(ERP导入清单!$X$5:$X$204,165)=0,"",INDEX(ERP导入清单!B:B,IFERROR(MATCH(165,ERP导入清单!$X$5:$X$204,0)+4,"")))</f>
        <v/>
      </c>
      <c r="C169" s="38" t="str">
        <f>IF(COUNTIF(ERP导入清单!$X$5:$X$204,165)=0,"",INDEX(ERP导入清单!C:C,IFERROR(MATCH(165,ERP导入清单!$X$5:$X$204,0)+4,"")))</f>
        <v/>
      </c>
      <c r="D169" s="37" t="str">
        <f>IF(COUNTIF(ERP导入清单!$X$5:$X$204,165)=0,"",INDEX(ERP导入清单!D:D,IFERROR(MATCH(165,ERP导入清单!$X$5:$X$204,0)+4,"")))</f>
        <v/>
      </c>
      <c r="E169" s="37" t="str">
        <f>IF(COUNTIF(ERP导入清单!$X$5:$X$204,165)=0,"",INDEX(ERP导入清单!E:E,IFERROR(MATCH(165,ERP导入清单!$X$5:$X$204,0)+4,"")))</f>
        <v/>
      </c>
      <c r="F169" s="37" t="str">
        <f>IF(COUNTIF(ERP导入清单!$X$5:$X$204,165)=0,"",INDEX(ERP导入清单!F:F,IFERROR(MATCH(165,ERP导入清单!$X$5:$X$204,0)+4,"")))</f>
        <v/>
      </c>
      <c r="G169" s="57" t="str">
        <f>IF(COUNTIF(ERP导入清单!$X$5:$X$204,165)=0,"",INDEX(ERP导入清单!G:G,IFERROR(MATCH(165,ERP导入清单!$X$5:$X$204,0)+4,"")))</f>
        <v/>
      </c>
      <c r="H169" s="37" t="str">
        <f>IF(COUNTIF(ERP导入清单!$X$5:$X$204,165)=0,"",INDEX(ERP导入清单!H:H,IFERROR(MATCH(165,ERP导入清单!$X$5:$X$204,0)+4,"")))</f>
        <v/>
      </c>
      <c r="I169" s="57" t="str">
        <f>IF(COUNTIF(ERP导入清单!$X$5:$X$204,165)=0,"",INDEX(ERP导入清单!I:I,IFERROR(MATCH(165,ERP导入清单!$X$5:$X$204,0)+4,"")))</f>
        <v/>
      </c>
      <c r="J169" s="57" t="str">
        <f>IF(COUNTIF(ERP导入清单!$X$5:$X$204,165)=0,"",INDEX(ERP导入清单!J:J,IFERROR(MATCH(165,ERP导入清单!$X$5:$X$204,0)+4,"")))</f>
        <v/>
      </c>
      <c r="K169" s="37" t="str">
        <f>IF(COUNTIF(ERP导入清单!$X$5:$X$204,165)=0,"",INDEX(ERP导入清单!K:K,IFERROR(MATCH(165,ERP导入清单!$X$5:$X$204,0)+4,"")))</f>
        <v/>
      </c>
      <c r="L169" s="37" t="str">
        <f>IF(COUNTIF(ERP导入清单!$X$5:$X$204,165)=0,"",INDEX(ERP导入清单!L:L,IFERROR(MATCH(165,ERP导入清单!$X$5:$X$204,0)+4,"")))</f>
        <v/>
      </c>
      <c r="M169" s="37" t="str">
        <f>IF(COUNTIF(ERP导入清单!$X$5:$X$204,165)=0,"",INDEX(ERP导入清单!M:M,IFERROR(MATCH(165,ERP导入清单!$X$5:$X$204,0)+4,"")))</f>
        <v/>
      </c>
      <c r="N169" s="37" t="str">
        <f>IF(COUNTIF(ERP导入清单!$X$5:$X$204,165)=0,"",INDEX(ERP导入清单!N:N,IFERROR(MATCH(165,ERP导入清单!$X$5:$X$204,0)+4,"")))</f>
        <v/>
      </c>
      <c r="O169" s="37" t="str">
        <f>IF(COUNTIF(ERP导入清单!$X$5:$X$204,165)=0,"",INDEX(ERP导入清单!O:O,IFERROR(MATCH(165,ERP导入清单!$X$5:$X$204,0)+4,"")))</f>
        <v/>
      </c>
      <c r="P169" s="39" t="str">
        <f>IF(COUNTIF(ERP导入清单!$X$5:$X$204,165)=0,"",INDEX(ERP导入清单!P:P,IFERROR(MATCH(165,ERP导入清单!$X$5:$X$204,0)+4,"")))</f>
        <v/>
      </c>
      <c r="Q169" s="39" t="str">
        <f>IF(COUNTIF(ERP导入清单!$X$5:$X$204,165)=0,"",INDEX(ERP导入清单!Q:Q,IFERROR(MATCH(165,ERP导入清单!$X$5:$X$204,0)+4,"")))</f>
        <v/>
      </c>
      <c r="R169" s="59" t="str">
        <f>IF(COUNTIF(ERP导入清单!$X$5:$X$204,165)=0,"",INDEX(ERP导入清单!R:R,IFERROR(MATCH(165,ERP导入清单!$X$5:$X$204,0)+4,"")))</f>
        <v/>
      </c>
      <c r="S169" s="37" t="str">
        <f>IF(COUNTIF(ERP导入清单!$X$5:$X$204,165)=0,"",INDEX(ERP导入清单!S:S,IFERROR(MATCH(165,ERP导入清单!$X$5:$X$204,0)+4,"")))</f>
        <v/>
      </c>
      <c r="T169" s="37" t="str">
        <f>IF(COUNTIF(ERP导入清单!$X$5:$X$204,165)=0,"",INDEX(ERP导入清单!T:T,IFERROR(MATCH(165,ERP导入清单!$X$5:$X$204,0)+4,"")))</f>
        <v/>
      </c>
      <c r="U169" s="37" t="str">
        <f>IF(COUNTIF(ERP导入清单!$X$5:$X$204,165)=0,"",INDEX(ERP导入清单!U:U,IFERROR(MATCH(165,ERP导入清单!$X$5:$X$204,0)+4,"")))</f>
        <v/>
      </c>
      <c r="V169" s="38" t="str">
        <f>IF(COUNTIF(ERP导入清单!$X$5:$X$204,165)=0,"",INDEX(ERP导入清单!V:V,IFERROR(MATCH(165,ERP导入清单!$X$5:$X$204,0)+4,"")))</f>
        <v/>
      </c>
      <c r="W169" s="50" t="str">
        <f>IF(COUNTIF(ERP导入清单!$X$5:$X$204,165)=0,"",INDEX(ERP导入清单!W:W,IFERROR(MATCH(165,ERP导入清单!$X$5:$X$204,0)+4,"")))</f>
        <v/>
      </c>
    </row>
    <row r="170" spans="1:23" ht="24" customHeight="1">
      <c r="A170" s="55" t="str">
        <f>IF(COUNTIF(ERP导入清单!$X$5:$X$204,166)=0,"",INDEX(ERP导入清单!A:A,IFERROR(MATCH(166,ERP导入清单!$X$5:$X$204,0)+4,"")))</f>
        <v/>
      </c>
      <c r="B170" s="37" t="str">
        <f>IF(COUNTIF(ERP导入清单!$X$5:$X$204,166)=0,"",INDEX(ERP导入清单!B:B,IFERROR(MATCH(166,ERP导入清单!$X$5:$X$204,0)+4,"")))</f>
        <v/>
      </c>
      <c r="C170" s="38" t="str">
        <f>IF(COUNTIF(ERP导入清单!$X$5:$X$204,166)=0,"",INDEX(ERP导入清单!C:C,IFERROR(MATCH(166,ERP导入清单!$X$5:$X$204,0)+4,"")))</f>
        <v/>
      </c>
      <c r="D170" s="37" t="str">
        <f>IF(COUNTIF(ERP导入清单!$X$5:$X$204,166)=0,"",INDEX(ERP导入清单!D:D,IFERROR(MATCH(166,ERP导入清单!$X$5:$X$204,0)+4,"")))</f>
        <v/>
      </c>
      <c r="E170" s="37" t="str">
        <f>IF(COUNTIF(ERP导入清单!$X$5:$X$204,166)=0,"",INDEX(ERP导入清单!E:E,IFERROR(MATCH(166,ERP导入清单!$X$5:$X$204,0)+4,"")))</f>
        <v/>
      </c>
      <c r="F170" s="37" t="str">
        <f>IF(COUNTIF(ERP导入清单!$X$5:$X$204,166)=0,"",INDEX(ERP导入清单!F:F,IFERROR(MATCH(166,ERP导入清单!$X$5:$X$204,0)+4,"")))</f>
        <v/>
      </c>
      <c r="G170" s="57" t="str">
        <f>IF(COUNTIF(ERP导入清单!$X$5:$X$204,166)=0,"",INDEX(ERP导入清单!G:G,IFERROR(MATCH(166,ERP导入清单!$X$5:$X$204,0)+4,"")))</f>
        <v/>
      </c>
      <c r="H170" s="37" t="str">
        <f>IF(COUNTIF(ERP导入清单!$X$5:$X$204,166)=0,"",INDEX(ERP导入清单!H:H,IFERROR(MATCH(166,ERP导入清单!$X$5:$X$204,0)+4,"")))</f>
        <v/>
      </c>
      <c r="I170" s="57" t="str">
        <f>IF(COUNTIF(ERP导入清单!$X$5:$X$204,166)=0,"",INDEX(ERP导入清单!I:I,IFERROR(MATCH(166,ERP导入清单!$X$5:$X$204,0)+4,"")))</f>
        <v/>
      </c>
      <c r="J170" s="57" t="str">
        <f>IF(COUNTIF(ERP导入清单!$X$5:$X$204,166)=0,"",INDEX(ERP导入清单!J:J,IFERROR(MATCH(166,ERP导入清单!$X$5:$X$204,0)+4,"")))</f>
        <v/>
      </c>
      <c r="K170" s="37" t="str">
        <f>IF(COUNTIF(ERP导入清单!$X$5:$X$204,166)=0,"",INDEX(ERP导入清单!K:K,IFERROR(MATCH(166,ERP导入清单!$X$5:$X$204,0)+4,"")))</f>
        <v/>
      </c>
      <c r="L170" s="37" t="str">
        <f>IF(COUNTIF(ERP导入清单!$X$5:$X$204,166)=0,"",INDEX(ERP导入清单!L:L,IFERROR(MATCH(166,ERP导入清单!$X$5:$X$204,0)+4,"")))</f>
        <v/>
      </c>
      <c r="M170" s="37" t="str">
        <f>IF(COUNTIF(ERP导入清单!$X$5:$X$204,166)=0,"",INDEX(ERP导入清单!M:M,IFERROR(MATCH(166,ERP导入清单!$X$5:$X$204,0)+4,"")))</f>
        <v/>
      </c>
      <c r="N170" s="37" t="str">
        <f>IF(COUNTIF(ERP导入清单!$X$5:$X$204,166)=0,"",INDEX(ERP导入清单!N:N,IFERROR(MATCH(166,ERP导入清单!$X$5:$X$204,0)+4,"")))</f>
        <v/>
      </c>
      <c r="O170" s="37" t="str">
        <f>IF(COUNTIF(ERP导入清单!$X$5:$X$204,166)=0,"",INDEX(ERP导入清单!O:O,IFERROR(MATCH(166,ERP导入清单!$X$5:$X$204,0)+4,"")))</f>
        <v/>
      </c>
      <c r="P170" s="39" t="str">
        <f>IF(COUNTIF(ERP导入清单!$X$5:$X$204,166)=0,"",INDEX(ERP导入清单!P:P,IFERROR(MATCH(166,ERP导入清单!$X$5:$X$204,0)+4,"")))</f>
        <v/>
      </c>
      <c r="Q170" s="39" t="str">
        <f>IF(COUNTIF(ERP导入清单!$X$5:$X$204,166)=0,"",INDEX(ERP导入清单!Q:Q,IFERROR(MATCH(166,ERP导入清单!$X$5:$X$204,0)+4,"")))</f>
        <v/>
      </c>
      <c r="R170" s="59" t="str">
        <f>IF(COUNTIF(ERP导入清单!$X$5:$X$204,166)=0,"",INDEX(ERP导入清单!R:R,IFERROR(MATCH(166,ERP导入清单!$X$5:$X$204,0)+4,"")))</f>
        <v/>
      </c>
      <c r="S170" s="37" t="str">
        <f>IF(COUNTIF(ERP导入清单!$X$5:$X$204,166)=0,"",INDEX(ERP导入清单!S:S,IFERROR(MATCH(166,ERP导入清单!$X$5:$X$204,0)+4,"")))</f>
        <v/>
      </c>
      <c r="T170" s="37" t="str">
        <f>IF(COUNTIF(ERP导入清单!$X$5:$X$204,166)=0,"",INDEX(ERP导入清单!T:T,IFERROR(MATCH(166,ERP导入清单!$X$5:$X$204,0)+4,"")))</f>
        <v/>
      </c>
      <c r="U170" s="37" t="str">
        <f>IF(COUNTIF(ERP导入清单!$X$5:$X$204,166)=0,"",INDEX(ERP导入清单!U:U,IFERROR(MATCH(166,ERP导入清单!$X$5:$X$204,0)+4,"")))</f>
        <v/>
      </c>
      <c r="V170" s="38" t="str">
        <f>IF(COUNTIF(ERP导入清单!$X$5:$X$204,166)=0,"",INDEX(ERP导入清单!V:V,IFERROR(MATCH(166,ERP导入清单!$X$5:$X$204,0)+4,"")))</f>
        <v/>
      </c>
      <c r="W170" s="50" t="str">
        <f>IF(COUNTIF(ERP导入清单!$X$5:$X$204,166)=0,"",INDEX(ERP导入清单!W:W,IFERROR(MATCH(166,ERP导入清单!$X$5:$X$204,0)+4,"")))</f>
        <v/>
      </c>
    </row>
    <row r="171" spans="1:23" ht="24" customHeight="1">
      <c r="A171" s="55" t="str">
        <f>IF(COUNTIF(ERP导入清单!$X$5:$X$204,167)=0,"",INDEX(ERP导入清单!A:A,IFERROR(MATCH(167,ERP导入清单!$X$5:$X$204,0)+4,"")))</f>
        <v/>
      </c>
      <c r="B171" s="37" t="str">
        <f>IF(COUNTIF(ERP导入清单!$X$5:$X$204,167)=0,"",INDEX(ERP导入清单!B:B,IFERROR(MATCH(167,ERP导入清单!$X$5:$X$204,0)+4,"")))</f>
        <v/>
      </c>
      <c r="C171" s="38" t="str">
        <f>IF(COUNTIF(ERP导入清单!$X$5:$X$204,167)=0,"",INDEX(ERP导入清单!C:C,IFERROR(MATCH(167,ERP导入清单!$X$5:$X$204,0)+4,"")))</f>
        <v/>
      </c>
      <c r="D171" s="37" t="str">
        <f>IF(COUNTIF(ERP导入清单!$X$5:$X$204,167)=0,"",INDEX(ERP导入清单!D:D,IFERROR(MATCH(167,ERP导入清单!$X$5:$X$204,0)+4,"")))</f>
        <v/>
      </c>
      <c r="E171" s="37" t="str">
        <f>IF(COUNTIF(ERP导入清单!$X$5:$X$204,167)=0,"",INDEX(ERP导入清单!E:E,IFERROR(MATCH(167,ERP导入清单!$X$5:$X$204,0)+4,"")))</f>
        <v/>
      </c>
      <c r="F171" s="37" t="str">
        <f>IF(COUNTIF(ERP导入清单!$X$5:$X$204,167)=0,"",INDEX(ERP导入清单!F:F,IFERROR(MATCH(167,ERP导入清单!$X$5:$X$204,0)+4,"")))</f>
        <v/>
      </c>
      <c r="G171" s="57" t="str">
        <f>IF(COUNTIF(ERP导入清单!$X$5:$X$204,167)=0,"",INDEX(ERP导入清单!G:G,IFERROR(MATCH(167,ERP导入清单!$X$5:$X$204,0)+4,"")))</f>
        <v/>
      </c>
      <c r="H171" s="37" t="str">
        <f>IF(COUNTIF(ERP导入清单!$X$5:$X$204,167)=0,"",INDEX(ERP导入清单!H:H,IFERROR(MATCH(167,ERP导入清单!$X$5:$X$204,0)+4,"")))</f>
        <v/>
      </c>
      <c r="I171" s="57" t="str">
        <f>IF(COUNTIF(ERP导入清单!$X$5:$X$204,167)=0,"",INDEX(ERP导入清单!I:I,IFERROR(MATCH(167,ERP导入清单!$X$5:$X$204,0)+4,"")))</f>
        <v/>
      </c>
      <c r="J171" s="57" t="str">
        <f>IF(COUNTIF(ERP导入清单!$X$5:$X$204,167)=0,"",INDEX(ERP导入清单!J:J,IFERROR(MATCH(167,ERP导入清单!$X$5:$X$204,0)+4,"")))</f>
        <v/>
      </c>
      <c r="K171" s="37" t="str">
        <f>IF(COUNTIF(ERP导入清单!$X$5:$X$204,167)=0,"",INDEX(ERP导入清单!K:K,IFERROR(MATCH(167,ERP导入清单!$X$5:$X$204,0)+4,"")))</f>
        <v/>
      </c>
      <c r="L171" s="37" t="str">
        <f>IF(COUNTIF(ERP导入清单!$X$5:$X$204,167)=0,"",INDEX(ERP导入清单!L:L,IFERROR(MATCH(167,ERP导入清单!$X$5:$X$204,0)+4,"")))</f>
        <v/>
      </c>
      <c r="M171" s="37" t="str">
        <f>IF(COUNTIF(ERP导入清单!$X$5:$X$204,167)=0,"",INDEX(ERP导入清单!M:M,IFERROR(MATCH(167,ERP导入清单!$X$5:$X$204,0)+4,"")))</f>
        <v/>
      </c>
      <c r="N171" s="37" t="str">
        <f>IF(COUNTIF(ERP导入清单!$X$5:$X$204,167)=0,"",INDEX(ERP导入清单!N:N,IFERROR(MATCH(167,ERP导入清单!$X$5:$X$204,0)+4,"")))</f>
        <v/>
      </c>
      <c r="O171" s="37" t="str">
        <f>IF(COUNTIF(ERP导入清单!$X$5:$X$204,167)=0,"",INDEX(ERP导入清单!O:O,IFERROR(MATCH(167,ERP导入清单!$X$5:$X$204,0)+4,"")))</f>
        <v/>
      </c>
      <c r="P171" s="39" t="str">
        <f>IF(COUNTIF(ERP导入清单!$X$5:$X$204,167)=0,"",INDEX(ERP导入清单!P:P,IFERROR(MATCH(167,ERP导入清单!$X$5:$X$204,0)+4,"")))</f>
        <v/>
      </c>
      <c r="Q171" s="39" t="str">
        <f>IF(COUNTIF(ERP导入清单!$X$5:$X$204,167)=0,"",INDEX(ERP导入清单!Q:Q,IFERROR(MATCH(167,ERP导入清单!$X$5:$X$204,0)+4,"")))</f>
        <v/>
      </c>
      <c r="R171" s="59" t="str">
        <f>IF(COUNTIF(ERP导入清单!$X$5:$X$204,167)=0,"",INDEX(ERP导入清单!R:R,IFERROR(MATCH(167,ERP导入清单!$X$5:$X$204,0)+4,"")))</f>
        <v/>
      </c>
      <c r="S171" s="37" t="str">
        <f>IF(COUNTIF(ERP导入清单!$X$5:$X$204,167)=0,"",INDEX(ERP导入清单!S:S,IFERROR(MATCH(167,ERP导入清单!$X$5:$X$204,0)+4,"")))</f>
        <v/>
      </c>
      <c r="T171" s="37" t="str">
        <f>IF(COUNTIF(ERP导入清单!$X$5:$X$204,167)=0,"",INDEX(ERP导入清单!T:T,IFERROR(MATCH(167,ERP导入清单!$X$5:$X$204,0)+4,"")))</f>
        <v/>
      </c>
      <c r="U171" s="37" t="str">
        <f>IF(COUNTIF(ERP导入清单!$X$5:$X$204,167)=0,"",INDEX(ERP导入清单!U:U,IFERROR(MATCH(167,ERP导入清单!$X$5:$X$204,0)+4,"")))</f>
        <v/>
      </c>
      <c r="V171" s="38" t="str">
        <f>IF(COUNTIF(ERP导入清单!$X$5:$X$204,167)=0,"",INDEX(ERP导入清单!V:V,IFERROR(MATCH(167,ERP导入清单!$X$5:$X$204,0)+4,"")))</f>
        <v/>
      </c>
      <c r="W171" s="50" t="str">
        <f>IF(COUNTIF(ERP导入清单!$X$5:$X$204,167)=0,"",INDEX(ERP导入清单!W:W,IFERROR(MATCH(167,ERP导入清单!$X$5:$X$204,0)+4,"")))</f>
        <v/>
      </c>
    </row>
    <row r="172" spans="1:23" ht="24" customHeight="1">
      <c r="A172" s="55" t="str">
        <f>IF(COUNTIF(ERP导入清单!$X$5:$X$204,168)=0,"",INDEX(ERP导入清单!A:A,IFERROR(MATCH(168,ERP导入清单!$X$5:$X$204,0)+4,"")))</f>
        <v/>
      </c>
      <c r="B172" s="37" t="str">
        <f>IF(COUNTIF(ERP导入清单!$X$5:$X$204,168)=0,"",INDEX(ERP导入清单!B:B,IFERROR(MATCH(168,ERP导入清单!$X$5:$X$204,0)+4,"")))</f>
        <v/>
      </c>
      <c r="C172" s="38" t="str">
        <f>IF(COUNTIF(ERP导入清单!$X$5:$X$204,168)=0,"",INDEX(ERP导入清单!C:C,IFERROR(MATCH(168,ERP导入清单!$X$5:$X$204,0)+4,"")))</f>
        <v/>
      </c>
      <c r="D172" s="37" t="str">
        <f>IF(COUNTIF(ERP导入清单!$X$5:$X$204,168)=0,"",INDEX(ERP导入清单!D:D,IFERROR(MATCH(168,ERP导入清单!$X$5:$X$204,0)+4,"")))</f>
        <v/>
      </c>
      <c r="E172" s="37" t="str">
        <f>IF(COUNTIF(ERP导入清单!$X$5:$X$204,168)=0,"",INDEX(ERP导入清单!E:E,IFERROR(MATCH(168,ERP导入清单!$X$5:$X$204,0)+4,"")))</f>
        <v/>
      </c>
      <c r="F172" s="37" t="str">
        <f>IF(COUNTIF(ERP导入清单!$X$5:$X$204,168)=0,"",INDEX(ERP导入清单!F:F,IFERROR(MATCH(168,ERP导入清单!$X$5:$X$204,0)+4,"")))</f>
        <v/>
      </c>
      <c r="G172" s="57" t="str">
        <f>IF(COUNTIF(ERP导入清单!$X$5:$X$204,168)=0,"",INDEX(ERP导入清单!G:G,IFERROR(MATCH(168,ERP导入清单!$X$5:$X$204,0)+4,"")))</f>
        <v/>
      </c>
      <c r="H172" s="37" t="str">
        <f>IF(COUNTIF(ERP导入清单!$X$5:$X$204,168)=0,"",INDEX(ERP导入清单!H:H,IFERROR(MATCH(168,ERP导入清单!$X$5:$X$204,0)+4,"")))</f>
        <v/>
      </c>
      <c r="I172" s="57" t="str">
        <f>IF(COUNTIF(ERP导入清单!$X$5:$X$204,168)=0,"",INDEX(ERP导入清单!I:I,IFERROR(MATCH(168,ERP导入清单!$X$5:$X$204,0)+4,"")))</f>
        <v/>
      </c>
      <c r="J172" s="57" t="str">
        <f>IF(COUNTIF(ERP导入清单!$X$5:$X$204,168)=0,"",INDEX(ERP导入清单!J:J,IFERROR(MATCH(168,ERP导入清单!$X$5:$X$204,0)+4,"")))</f>
        <v/>
      </c>
      <c r="K172" s="37" t="str">
        <f>IF(COUNTIF(ERP导入清单!$X$5:$X$204,168)=0,"",INDEX(ERP导入清单!K:K,IFERROR(MATCH(168,ERP导入清单!$X$5:$X$204,0)+4,"")))</f>
        <v/>
      </c>
      <c r="L172" s="37" t="str">
        <f>IF(COUNTIF(ERP导入清单!$X$5:$X$204,168)=0,"",INDEX(ERP导入清单!L:L,IFERROR(MATCH(168,ERP导入清单!$X$5:$X$204,0)+4,"")))</f>
        <v/>
      </c>
      <c r="M172" s="37" t="str">
        <f>IF(COUNTIF(ERP导入清单!$X$5:$X$204,168)=0,"",INDEX(ERP导入清单!M:M,IFERROR(MATCH(168,ERP导入清单!$X$5:$X$204,0)+4,"")))</f>
        <v/>
      </c>
      <c r="N172" s="37" t="str">
        <f>IF(COUNTIF(ERP导入清单!$X$5:$X$204,168)=0,"",INDEX(ERP导入清单!N:N,IFERROR(MATCH(168,ERP导入清单!$X$5:$X$204,0)+4,"")))</f>
        <v/>
      </c>
      <c r="O172" s="37" t="str">
        <f>IF(COUNTIF(ERP导入清单!$X$5:$X$204,168)=0,"",INDEX(ERP导入清单!O:O,IFERROR(MATCH(168,ERP导入清单!$X$5:$X$204,0)+4,"")))</f>
        <v/>
      </c>
      <c r="P172" s="39" t="str">
        <f>IF(COUNTIF(ERP导入清单!$X$5:$X$204,168)=0,"",INDEX(ERP导入清单!P:P,IFERROR(MATCH(168,ERP导入清单!$X$5:$X$204,0)+4,"")))</f>
        <v/>
      </c>
      <c r="Q172" s="39" t="str">
        <f>IF(COUNTIF(ERP导入清单!$X$5:$X$204,168)=0,"",INDEX(ERP导入清单!Q:Q,IFERROR(MATCH(168,ERP导入清单!$X$5:$X$204,0)+4,"")))</f>
        <v/>
      </c>
      <c r="R172" s="59" t="str">
        <f>IF(COUNTIF(ERP导入清单!$X$5:$X$204,168)=0,"",INDEX(ERP导入清单!R:R,IFERROR(MATCH(168,ERP导入清单!$X$5:$X$204,0)+4,"")))</f>
        <v/>
      </c>
      <c r="S172" s="37" t="str">
        <f>IF(COUNTIF(ERP导入清单!$X$5:$X$204,168)=0,"",INDEX(ERP导入清单!S:S,IFERROR(MATCH(168,ERP导入清单!$X$5:$X$204,0)+4,"")))</f>
        <v/>
      </c>
      <c r="T172" s="37" t="str">
        <f>IF(COUNTIF(ERP导入清单!$X$5:$X$204,168)=0,"",INDEX(ERP导入清单!T:T,IFERROR(MATCH(168,ERP导入清单!$X$5:$X$204,0)+4,"")))</f>
        <v/>
      </c>
      <c r="U172" s="37" t="str">
        <f>IF(COUNTIF(ERP导入清单!$X$5:$X$204,168)=0,"",INDEX(ERP导入清单!U:U,IFERROR(MATCH(168,ERP导入清单!$X$5:$X$204,0)+4,"")))</f>
        <v/>
      </c>
      <c r="V172" s="38" t="str">
        <f>IF(COUNTIF(ERP导入清单!$X$5:$X$204,168)=0,"",INDEX(ERP导入清单!V:V,IFERROR(MATCH(168,ERP导入清单!$X$5:$X$204,0)+4,"")))</f>
        <v/>
      </c>
      <c r="W172" s="50" t="str">
        <f>IF(COUNTIF(ERP导入清单!$X$5:$X$204,168)=0,"",INDEX(ERP导入清单!W:W,IFERROR(MATCH(168,ERP导入清单!$X$5:$X$204,0)+4,"")))</f>
        <v/>
      </c>
    </row>
    <row r="173" spans="1:23" ht="24" customHeight="1">
      <c r="A173" s="55" t="str">
        <f>IF(COUNTIF(ERP导入清单!$X$5:$X$204,169)=0,"",INDEX(ERP导入清单!A:A,IFERROR(MATCH(169,ERP导入清单!$X$5:$X$204,0)+4,"")))</f>
        <v/>
      </c>
      <c r="B173" s="37" t="str">
        <f>IF(COUNTIF(ERP导入清单!$X$5:$X$204,169)=0,"",INDEX(ERP导入清单!B:B,IFERROR(MATCH(169,ERP导入清单!$X$5:$X$204,0)+4,"")))</f>
        <v/>
      </c>
      <c r="C173" s="38" t="str">
        <f>IF(COUNTIF(ERP导入清单!$X$5:$X$204,169)=0,"",INDEX(ERP导入清单!C:C,IFERROR(MATCH(169,ERP导入清单!$X$5:$X$204,0)+4,"")))</f>
        <v/>
      </c>
      <c r="D173" s="37" t="str">
        <f>IF(COUNTIF(ERP导入清单!$X$5:$X$204,169)=0,"",INDEX(ERP导入清单!D:D,IFERROR(MATCH(169,ERP导入清单!$X$5:$X$204,0)+4,"")))</f>
        <v/>
      </c>
      <c r="E173" s="37" t="str">
        <f>IF(COUNTIF(ERP导入清单!$X$5:$X$204,169)=0,"",INDEX(ERP导入清单!E:E,IFERROR(MATCH(169,ERP导入清单!$X$5:$X$204,0)+4,"")))</f>
        <v/>
      </c>
      <c r="F173" s="37" t="str">
        <f>IF(COUNTIF(ERP导入清单!$X$5:$X$204,169)=0,"",INDEX(ERP导入清单!F:F,IFERROR(MATCH(169,ERP导入清单!$X$5:$X$204,0)+4,"")))</f>
        <v/>
      </c>
      <c r="G173" s="57" t="str">
        <f>IF(COUNTIF(ERP导入清单!$X$5:$X$204,169)=0,"",INDEX(ERP导入清单!G:G,IFERROR(MATCH(169,ERP导入清单!$X$5:$X$204,0)+4,"")))</f>
        <v/>
      </c>
      <c r="H173" s="37" t="str">
        <f>IF(COUNTIF(ERP导入清单!$X$5:$X$204,169)=0,"",INDEX(ERP导入清单!H:H,IFERROR(MATCH(169,ERP导入清单!$X$5:$X$204,0)+4,"")))</f>
        <v/>
      </c>
      <c r="I173" s="57" t="str">
        <f>IF(COUNTIF(ERP导入清单!$X$5:$X$204,169)=0,"",INDEX(ERP导入清单!I:I,IFERROR(MATCH(169,ERP导入清单!$X$5:$X$204,0)+4,"")))</f>
        <v/>
      </c>
      <c r="J173" s="57" t="str">
        <f>IF(COUNTIF(ERP导入清单!$X$5:$X$204,169)=0,"",INDEX(ERP导入清单!J:J,IFERROR(MATCH(169,ERP导入清单!$X$5:$X$204,0)+4,"")))</f>
        <v/>
      </c>
      <c r="K173" s="37" t="str">
        <f>IF(COUNTIF(ERP导入清单!$X$5:$X$204,169)=0,"",INDEX(ERP导入清单!K:K,IFERROR(MATCH(169,ERP导入清单!$X$5:$X$204,0)+4,"")))</f>
        <v/>
      </c>
      <c r="L173" s="37" t="str">
        <f>IF(COUNTIF(ERP导入清单!$X$5:$X$204,169)=0,"",INDEX(ERP导入清单!L:L,IFERROR(MATCH(169,ERP导入清单!$X$5:$X$204,0)+4,"")))</f>
        <v/>
      </c>
      <c r="M173" s="37" t="str">
        <f>IF(COUNTIF(ERP导入清单!$X$5:$X$204,169)=0,"",INDEX(ERP导入清单!M:M,IFERROR(MATCH(169,ERP导入清单!$X$5:$X$204,0)+4,"")))</f>
        <v/>
      </c>
      <c r="N173" s="37" t="str">
        <f>IF(COUNTIF(ERP导入清单!$X$5:$X$204,169)=0,"",INDEX(ERP导入清单!N:N,IFERROR(MATCH(169,ERP导入清单!$X$5:$X$204,0)+4,"")))</f>
        <v/>
      </c>
      <c r="O173" s="37" t="str">
        <f>IF(COUNTIF(ERP导入清单!$X$5:$X$204,169)=0,"",INDEX(ERP导入清单!O:O,IFERROR(MATCH(169,ERP导入清单!$X$5:$X$204,0)+4,"")))</f>
        <v/>
      </c>
      <c r="P173" s="39" t="str">
        <f>IF(COUNTIF(ERP导入清单!$X$5:$X$204,169)=0,"",INDEX(ERP导入清单!P:P,IFERROR(MATCH(169,ERP导入清单!$X$5:$X$204,0)+4,"")))</f>
        <v/>
      </c>
      <c r="Q173" s="39" t="str">
        <f>IF(COUNTIF(ERP导入清单!$X$5:$X$204,169)=0,"",INDEX(ERP导入清单!Q:Q,IFERROR(MATCH(169,ERP导入清单!$X$5:$X$204,0)+4,"")))</f>
        <v/>
      </c>
      <c r="R173" s="59" t="str">
        <f>IF(COUNTIF(ERP导入清单!$X$5:$X$204,169)=0,"",INDEX(ERP导入清单!R:R,IFERROR(MATCH(169,ERP导入清单!$X$5:$X$204,0)+4,"")))</f>
        <v/>
      </c>
      <c r="S173" s="37" t="str">
        <f>IF(COUNTIF(ERP导入清单!$X$5:$X$204,169)=0,"",INDEX(ERP导入清单!S:S,IFERROR(MATCH(169,ERP导入清单!$X$5:$X$204,0)+4,"")))</f>
        <v/>
      </c>
      <c r="T173" s="37" t="str">
        <f>IF(COUNTIF(ERP导入清单!$X$5:$X$204,169)=0,"",INDEX(ERP导入清单!T:T,IFERROR(MATCH(169,ERP导入清单!$X$5:$X$204,0)+4,"")))</f>
        <v/>
      </c>
      <c r="U173" s="37" t="str">
        <f>IF(COUNTIF(ERP导入清单!$X$5:$X$204,169)=0,"",INDEX(ERP导入清单!U:U,IFERROR(MATCH(169,ERP导入清单!$X$5:$X$204,0)+4,"")))</f>
        <v/>
      </c>
      <c r="V173" s="38" t="str">
        <f>IF(COUNTIF(ERP导入清单!$X$5:$X$204,169)=0,"",INDEX(ERP导入清单!V:V,IFERROR(MATCH(169,ERP导入清单!$X$5:$X$204,0)+4,"")))</f>
        <v/>
      </c>
      <c r="W173" s="50" t="str">
        <f>IF(COUNTIF(ERP导入清单!$X$5:$X$204,169)=0,"",INDEX(ERP导入清单!W:W,IFERROR(MATCH(169,ERP导入清单!$X$5:$X$204,0)+4,"")))</f>
        <v/>
      </c>
    </row>
    <row r="174" spans="1:23" ht="24" customHeight="1">
      <c r="A174" s="55" t="str">
        <f>IF(COUNTIF(ERP导入清单!$X$5:$X$204,170)=0,"",INDEX(ERP导入清单!A:A,IFERROR(MATCH(170,ERP导入清单!$X$5:$X$204,0)+4,"")))</f>
        <v/>
      </c>
      <c r="B174" s="37" t="str">
        <f>IF(COUNTIF(ERP导入清单!$X$5:$X$204,170)=0,"",INDEX(ERP导入清单!B:B,IFERROR(MATCH(170,ERP导入清单!$X$5:$X$204,0)+4,"")))</f>
        <v/>
      </c>
      <c r="C174" s="38" t="str">
        <f>IF(COUNTIF(ERP导入清单!$X$5:$X$204,170)=0,"",INDEX(ERP导入清单!C:C,IFERROR(MATCH(170,ERP导入清单!$X$5:$X$204,0)+4,"")))</f>
        <v/>
      </c>
      <c r="D174" s="37" t="str">
        <f>IF(COUNTIF(ERP导入清单!$X$5:$X$204,170)=0,"",INDEX(ERP导入清单!D:D,IFERROR(MATCH(170,ERP导入清单!$X$5:$X$204,0)+4,"")))</f>
        <v/>
      </c>
      <c r="E174" s="37" t="str">
        <f>IF(COUNTIF(ERP导入清单!$X$5:$X$204,170)=0,"",INDEX(ERP导入清单!E:E,IFERROR(MATCH(170,ERP导入清单!$X$5:$X$204,0)+4,"")))</f>
        <v/>
      </c>
      <c r="F174" s="37" t="str">
        <f>IF(COUNTIF(ERP导入清单!$X$5:$X$204,170)=0,"",INDEX(ERP导入清单!F:F,IFERROR(MATCH(170,ERP导入清单!$X$5:$X$204,0)+4,"")))</f>
        <v/>
      </c>
      <c r="G174" s="57" t="str">
        <f>IF(COUNTIF(ERP导入清单!$X$5:$X$204,170)=0,"",INDEX(ERP导入清单!G:G,IFERROR(MATCH(170,ERP导入清单!$X$5:$X$204,0)+4,"")))</f>
        <v/>
      </c>
      <c r="H174" s="37" t="str">
        <f>IF(COUNTIF(ERP导入清单!$X$5:$X$204,170)=0,"",INDEX(ERP导入清单!H:H,IFERROR(MATCH(170,ERP导入清单!$X$5:$X$204,0)+4,"")))</f>
        <v/>
      </c>
      <c r="I174" s="57" t="str">
        <f>IF(COUNTIF(ERP导入清单!$X$5:$X$204,170)=0,"",INDEX(ERP导入清单!I:I,IFERROR(MATCH(170,ERP导入清单!$X$5:$X$204,0)+4,"")))</f>
        <v/>
      </c>
      <c r="J174" s="57" t="str">
        <f>IF(COUNTIF(ERP导入清单!$X$5:$X$204,170)=0,"",INDEX(ERP导入清单!J:J,IFERROR(MATCH(170,ERP导入清单!$X$5:$X$204,0)+4,"")))</f>
        <v/>
      </c>
      <c r="K174" s="37" t="str">
        <f>IF(COUNTIF(ERP导入清单!$X$5:$X$204,170)=0,"",INDEX(ERP导入清单!K:K,IFERROR(MATCH(170,ERP导入清单!$X$5:$X$204,0)+4,"")))</f>
        <v/>
      </c>
      <c r="L174" s="37" t="str">
        <f>IF(COUNTIF(ERP导入清单!$X$5:$X$204,170)=0,"",INDEX(ERP导入清单!L:L,IFERROR(MATCH(170,ERP导入清单!$X$5:$X$204,0)+4,"")))</f>
        <v/>
      </c>
      <c r="M174" s="37" t="str">
        <f>IF(COUNTIF(ERP导入清单!$X$5:$X$204,170)=0,"",INDEX(ERP导入清单!M:M,IFERROR(MATCH(170,ERP导入清单!$X$5:$X$204,0)+4,"")))</f>
        <v/>
      </c>
      <c r="N174" s="37" t="str">
        <f>IF(COUNTIF(ERP导入清单!$X$5:$X$204,170)=0,"",INDEX(ERP导入清单!N:N,IFERROR(MATCH(170,ERP导入清单!$X$5:$X$204,0)+4,"")))</f>
        <v/>
      </c>
      <c r="O174" s="37" t="str">
        <f>IF(COUNTIF(ERP导入清单!$X$5:$X$204,170)=0,"",INDEX(ERP导入清单!O:O,IFERROR(MATCH(170,ERP导入清单!$X$5:$X$204,0)+4,"")))</f>
        <v/>
      </c>
      <c r="P174" s="39" t="str">
        <f>IF(COUNTIF(ERP导入清单!$X$5:$X$204,170)=0,"",INDEX(ERP导入清单!P:P,IFERROR(MATCH(170,ERP导入清单!$X$5:$X$204,0)+4,"")))</f>
        <v/>
      </c>
      <c r="Q174" s="39" t="str">
        <f>IF(COUNTIF(ERP导入清单!$X$5:$X$204,170)=0,"",INDEX(ERP导入清单!Q:Q,IFERROR(MATCH(170,ERP导入清单!$X$5:$X$204,0)+4,"")))</f>
        <v/>
      </c>
      <c r="R174" s="59" t="str">
        <f>IF(COUNTIF(ERP导入清单!$X$5:$X$204,170)=0,"",INDEX(ERP导入清单!R:R,IFERROR(MATCH(170,ERP导入清单!$X$5:$X$204,0)+4,"")))</f>
        <v/>
      </c>
      <c r="S174" s="37" t="str">
        <f>IF(COUNTIF(ERP导入清单!$X$5:$X$204,170)=0,"",INDEX(ERP导入清单!S:S,IFERROR(MATCH(170,ERP导入清单!$X$5:$X$204,0)+4,"")))</f>
        <v/>
      </c>
      <c r="T174" s="37" t="str">
        <f>IF(COUNTIF(ERP导入清单!$X$5:$X$204,170)=0,"",INDEX(ERP导入清单!T:T,IFERROR(MATCH(170,ERP导入清单!$X$5:$X$204,0)+4,"")))</f>
        <v/>
      </c>
      <c r="U174" s="37" t="str">
        <f>IF(COUNTIF(ERP导入清单!$X$5:$X$204,170)=0,"",INDEX(ERP导入清单!U:U,IFERROR(MATCH(170,ERP导入清单!$X$5:$X$204,0)+4,"")))</f>
        <v/>
      </c>
      <c r="V174" s="38" t="str">
        <f>IF(COUNTIF(ERP导入清单!$X$5:$X$204,170)=0,"",INDEX(ERP导入清单!V:V,IFERROR(MATCH(170,ERP导入清单!$X$5:$X$204,0)+4,"")))</f>
        <v/>
      </c>
      <c r="W174" s="50" t="str">
        <f>IF(COUNTIF(ERP导入清单!$X$5:$X$204,170)=0,"",INDEX(ERP导入清单!W:W,IFERROR(MATCH(170,ERP导入清单!$X$5:$X$204,0)+4,"")))</f>
        <v/>
      </c>
    </row>
    <row r="175" spans="1:23" ht="24" customHeight="1">
      <c r="A175" s="55" t="str">
        <f>IF(COUNTIF(ERP导入清单!$X$5:$X$204,171)=0,"",INDEX(ERP导入清单!A:A,IFERROR(MATCH(171,ERP导入清单!$X$5:$X$204,0)+4,"")))</f>
        <v/>
      </c>
      <c r="B175" s="37" t="str">
        <f>IF(COUNTIF(ERP导入清单!$X$5:$X$204,171)=0,"",INDEX(ERP导入清单!B:B,IFERROR(MATCH(171,ERP导入清单!$X$5:$X$204,0)+4,"")))</f>
        <v/>
      </c>
      <c r="C175" s="38" t="str">
        <f>IF(COUNTIF(ERP导入清单!$X$5:$X$204,171)=0,"",INDEX(ERP导入清单!C:C,IFERROR(MATCH(171,ERP导入清单!$X$5:$X$204,0)+4,"")))</f>
        <v/>
      </c>
      <c r="D175" s="37" t="str">
        <f>IF(COUNTIF(ERP导入清单!$X$5:$X$204,171)=0,"",INDEX(ERP导入清单!D:D,IFERROR(MATCH(171,ERP导入清单!$X$5:$X$204,0)+4,"")))</f>
        <v/>
      </c>
      <c r="E175" s="37" t="str">
        <f>IF(COUNTIF(ERP导入清单!$X$5:$X$204,171)=0,"",INDEX(ERP导入清单!E:E,IFERROR(MATCH(171,ERP导入清单!$X$5:$X$204,0)+4,"")))</f>
        <v/>
      </c>
      <c r="F175" s="37" t="str">
        <f>IF(COUNTIF(ERP导入清单!$X$5:$X$204,171)=0,"",INDEX(ERP导入清单!F:F,IFERROR(MATCH(171,ERP导入清单!$X$5:$X$204,0)+4,"")))</f>
        <v/>
      </c>
      <c r="G175" s="57" t="str">
        <f>IF(COUNTIF(ERP导入清单!$X$5:$X$204,171)=0,"",INDEX(ERP导入清单!G:G,IFERROR(MATCH(171,ERP导入清单!$X$5:$X$204,0)+4,"")))</f>
        <v/>
      </c>
      <c r="H175" s="37" t="str">
        <f>IF(COUNTIF(ERP导入清单!$X$5:$X$204,171)=0,"",INDEX(ERP导入清单!H:H,IFERROR(MATCH(171,ERP导入清单!$X$5:$X$204,0)+4,"")))</f>
        <v/>
      </c>
      <c r="I175" s="57" t="str">
        <f>IF(COUNTIF(ERP导入清单!$X$5:$X$204,171)=0,"",INDEX(ERP导入清单!I:I,IFERROR(MATCH(171,ERP导入清单!$X$5:$X$204,0)+4,"")))</f>
        <v/>
      </c>
      <c r="J175" s="57" t="str">
        <f>IF(COUNTIF(ERP导入清单!$X$5:$X$204,171)=0,"",INDEX(ERP导入清单!J:J,IFERROR(MATCH(171,ERP导入清单!$X$5:$X$204,0)+4,"")))</f>
        <v/>
      </c>
      <c r="K175" s="37" t="str">
        <f>IF(COUNTIF(ERP导入清单!$X$5:$X$204,171)=0,"",INDEX(ERP导入清单!K:K,IFERROR(MATCH(171,ERP导入清单!$X$5:$X$204,0)+4,"")))</f>
        <v/>
      </c>
      <c r="L175" s="37" t="str">
        <f>IF(COUNTIF(ERP导入清单!$X$5:$X$204,171)=0,"",INDEX(ERP导入清单!L:L,IFERROR(MATCH(171,ERP导入清单!$X$5:$X$204,0)+4,"")))</f>
        <v/>
      </c>
      <c r="M175" s="37" t="str">
        <f>IF(COUNTIF(ERP导入清单!$X$5:$X$204,171)=0,"",INDEX(ERP导入清单!M:M,IFERROR(MATCH(171,ERP导入清单!$X$5:$X$204,0)+4,"")))</f>
        <v/>
      </c>
      <c r="N175" s="37" t="str">
        <f>IF(COUNTIF(ERP导入清单!$X$5:$X$204,171)=0,"",INDEX(ERP导入清单!N:N,IFERROR(MATCH(171,ERP导入清单!$X$5:$X$204,0)+4,"")))</f>
        <v/>
      </c>
      <c r="O175" s="37" t="str">
        <f>IF(COUNTIF(ERP导入清单!$X$5:$X$204,171)=0,"",INDEX(ERP导入清单!O:O,IFERROR(MATCH(171,ERP导入清单!$X$5:$X$204,0)+4,"")))</f>
        <v/>
      </c>
      <c r="P175" s="39" t="str">
        <f>IF(COUNTIF(ERP导入清单!$X$5:$X$204,171)=0,"",INDEX(ERP导入清单!P:P,IFERROR(MATCH(171,ERP导入清单!$X$5:$X$204,0)+4,"")))</f>
        <v/>
      </c>
      <c r="Q175" s="39" t="str">
        <f>IF(COUNTIF(ERP导入清单!$X$5:$X$204,171)=0,"",INDEX(ERP导入清单!Q:Q,IFERROR(MATCH(171,ERP导入清单!$X$5:$X$204,0)+4,"")))</f>
        <v/>
      </c>
      <c r="R175" s="59" t="str">
        <f>IF(COUNTIF(ERP导入清单!$X$5:$X$204,171)=0,"",INDEX(ERP导入清单!R:R,IFERROR(MATCH(171,ERP导入清单!$X$5:$X$204,0)+4,"")))</f>
        <v/>
      </c>
      <c r="S175" s="37" t="str">
        <f>IF(COUNTIF(ERP导入清单!$X$5:$X$204,171)=0,"",INDEX(ERP导入清单!S:S,IFERROR(MATCH(171,ERP导入清单!$X$5:$X$204,0)+4,"")))</f>
        <v/>
      </c>
      <c r="T175" s="37" t="str">
        <f>IF(COUNTIF(ERP导入清单!$X$5:$X$204,171)=0,"",INDEX(ERP导入清单!T:T,IFERROR(MATCH(171,ERP导入清单!$X$5:$X$204,0)+4,"")))</f>
        <v/>
      </c>
      <c r="U175" s="37" t="str">
        <f>IF(COUNTIF(ERP导入清单!$X$5:$X$204,171)=0,"",INDEX(ERP导入清单!U:U,IFERROR(MATCH(171,ERP导入清单!$X$5:$X$204,0)+4,"")))</f>
        <v/>
      </c>
      <c r="V175" s="38" t="str">
        <f>IF(COUNTIF(ERP导入清单!$X$5:$X$204,171)=0,"",INDEX(ERP导入清单!V:V,IFERROR(MATCH(171,ERP导入清单!$X$5:$X$204,0)+4,"")))</f>
        <v/>
      </c>
      <c r="W175" s="50" t="str">
        <f>IF(COUNTIF(ERP导入清单!$X$5:$X$204,171)=0,"",INDEX(ERP导入清单!W:W,IFERROR(MATCH(171,ERP导入清单!$X$5:$X$204,0)+4,"")))</f>
        <v/>
      </c>
    </row>
    <row r="176" spans="1:23" ht="24" customHeight="1">
      <c r="A176" s="55" t="str">
        <f>IF(COUNTIF(ERP导入清单!$X$5:$X$204,172)=0,"",INDEX(ERP导入清单!A:A,IFERROR(MATCH(172,ERP导入清单!$X$5:$X$204,0)+4,"")))</f>
        <v/>
      </c>
      <c r="B176" s="37" t="str">
        <f>IF(COUNTIF(ERP导入清单!$X$5:$X$204,172)=0,"",INDEX(ERP导入清单!B:B,IFERROR(MATCH(172,ERP导入清单!$X$5:$X$204,0)+4,"")))</f>
        <v/>
      </c>
      <c r="C176" s="38" t="str">
        <f>IF(COUNTIF(ERP导入清单!$X$5:$X$204,172)=0,"",INDEX(ERP导入清单!C:C,IFERROR(MATCH(172,ERP导入清单!$X$5:$X$204,0)+4,"")))</f>
        <v/>
      </c>
      <c r="D176" s="37" t="str">
        <f>IF(COUNTIF(ERP导入清单!$X$5:$X$204,172)=0,"",INDEX(ERP导入清单!D:D,IFERROR(MATCH(172,ERP导入清单!$X$5:$X$204,0)+4,"")))</f>
        <v/>
      </c>
      <c r="E176" s="37" t="str">
        <f>IF(COUNTIF(ERP导入清单!$X$5:$X$204,172)=0,"",INDEX(ERP导入清单!E:E,IFERROR(MATCH(172,ERP导入清单!$X$5:$X$204,0)+4,"")))</f>
        <v/>
      </c>
      <c r="F176" s="37" t="str">
        <f>IF(COUNTIF(ERP导入清单!$X$5:$X$204,172)=0,"",INDEX(ERP导入清单!F:F,IFERROR(MATCH(172,ERP导入清单!$X$5:$X$204,0)+4,"")))</f>
        <v/>
      </c>
      <c r="G176" s="57" t="str">
        <f>IF(COUNTIF(ERP导入清单!$X$5:$X$204,172)=0,"",INDEX(ERP导入清单!G:G,IFERROR(MATCH(172,ERP导入清单!$X$5:$X$204,0)+4,"")))</f>
        <v/>
      </c>
      <c r="H176" s="37" t="str">
        <f>IF(COUNTIF(ERP导入清单!$X$5:$X$204,172)=0,"",INDEX(ERP导入清单!H:H,IFERROR(MATCH(172,ERP导入清单!$X$5:$X$204,0)+4,"")))</f>
        <v/>
      </c>
      <c r="I176" s="57" t="str">
        <f>IF(COUNTIF(ERP导入清单!$X$5:$X$204,172)=0,"",INDEX(ERP导入清单!I:I,IFERROR(MATCH(172,ERP导入清单!$X$5:$X$204,0)+4,"")))</f>
        <v/>
      </c>
      <c r="J176" s="57" t="str">
        <f>IF(COUNTIF(ERP导入清单!$X$5:$X$204,172)=0,"",INDEX(ERP导入清单!J:J,IFERROR(MATCH(172,ERP导入清单!$X$5:$X$204,0)+4,"")))</f>
        <v/>
      </c>
      <c r="K176" s="37" t="str">
        <f>IF(COUNTIF(ERP导入清单!$X$5:$X$204,172)=0,"",INDEX(ERP导入清单!K:K,IFERROR(MATCH(172,ERP导入清单!$X$5:$X$204,0)+4,"")))</f>
        <v/>
      </c>
      <c r="L176" s="37" t="str">
        <f>IF(COUNTIF(ERP导入清单!$X$5:$X$204,172)=0,"",INDEX(ERP导入清单!L:L,IFERROR(MATCH(172,ERP导入清单!$X$5:$X$204,0)+4,"")))</f>
        <v/>
      </c>
      <c r="M176" s="37" t="str">
        <f>IF(COUNTIF(ERP导入清单!$X$5:$X$204,172)=0,"",INDEX(ERP导入清单!M:M,IFERROR(MATCH(172,ERP导入清单!$X$5:$X$204,0)+4,"")))</f>
        <v/>
      </c>
      <c r="N176" s="37" t="str">
        <f>IF(COUNTIF(ERP导入清单!$X$5:$X$204,172)=0,"",INDEX(ERP导入清单!N:N,IFERROR(MATCH(172,ERP导入清单!$X$5:$X$204,0)+4,"")))</f>
        <v/>
      </c>
      <c r="O176" s="37" t="str">
        <f>IF(COUNTIF(ERP导入清单!$X$5:$X$204,172)=0,"",INDEX(ERP导入清单!O:O,IFERROR(MATCH(172,ERP导入清单!$X$5:$X$204,0)+4,"")))</f>
        <v/>
      </c>
      <c r="P176" s="39" t="str">
        <f>IF(COUNTIF(ERP导入清单!$X$5:$X$204,172)=0,"",INDEX(ERP导入清单!P:P,IFERROR(MATCH(172,ERP导入清单!$X$5:$X$204,0)+4,"")))</f>
        <v/>
      </c>
      <c r="Q176" s="39" t="str">
        <f>IF(COUNTIF(ERP导入清单!$X$5:$X$204,172)=0,"",INDEX(ERP导入清单!Q:Q,IFERROR(MATCH(172,ERP导入清单!$X$5:$X$204,0)+4,"")))</f>
        <v/>
      </c>
      <c r="R176" s="59" t="str">
        <f>IF(COUNTIF(ERP导入清单!$X$5:$X$204,172)=0,"",INDEX(ERP导入清单!R:R,IFERROR(MATCH(172,ERP导入清单!$X$5:$X$204,0)+4,"")))</f>
        <v/>
      </c>
      <c r="S176" s="37" t="str">
        <f>IF(COUNTIF(ERP导入清单!$X$5:$X$204,172)=0,"",INDEX(ERP导入清单!S:S,IFERROR(MATCH(172,ERP导入清单!$X$5:$X$204,0)+4,"")))</f>
        <v/>
      </c>
      <c r="T176" s="37" t="str">
        <f>IF(COUNTIF(ERP导入清单!$X$5:$X$204,172)=0,"",INDEX(ERP导入清单!T:T,IFERROR(MATCH(172,ERP导入清单!$X$5:$X$204,0)+4,"")))</f>
        <v/>
      </c>
      <c r="U176" s="37" t="str">
        <f>IF(COUNTIF(ERP导入清单!$X$5:$X$204,172)=0,"",INDEX(ERP导入清单!U:U,IFERROR(MATCH(172,ERP导入清单!$X$5:$X$204,0)+4,"")))</f>
        <v/>
      </c>
      <c r="V176" s="38" t="str">
        <f>IF(COUNTIF(ERP导入清单!$X$5:$X$204,172)=0,"",INDEX(ERP导入清单!V:V,IFERROR(MATCH(172,ERP导入清单!$X$5:$X$204,0)+4,"")))</f>
        <v/>
      </c>
      <c r="W176" s="50" t="str">
        <f>IF(COUNTIF(ERP导入清单!$X$5:$X$204,172)=0,"",INDEX(ERP导入清单!W:W,IFERROR(MATCH(172,ERP导入清单!$X$5:$X$204,0)+4,"")))</f>
        <v/>
      </c>
    </row>
    <row r="177" spans="1:23" ht="24" customHeight="1">
      <c r="A177" s="55" t="str">
        <f>IF(COUNTIF(ERP导入清单!$X$5:$X$204,173)=0,"",INDEX(ERP导入清单!A:A,IFERROR(MATCH(173,ERP导入清单!$X$5:$X$204,0)+4,"")))</f>
        <v/>
      </c>
      <c r="B177" s="37" t="str">
        <f>IF(COUNTIF(ERP导入清单!$X$5:$X$204,173)=0,"",INDEX(ERP导入清单!B:B,IFERROR(MATCH(173,ERP导入清单!$X$5:$X$204,0)+4,"")))</f>
        <v/>
      </c>
      <c r="C177" s="38" t="str">
        <f>IF(COUNTIF(ERP导入清单!$X$5:$X$204,173)=0,"",INDEX(ERP导入清单!C:C,IFERROR(MATCH(173,ERP导入清单!$X$5:$X$204,0)+4,"")))</f>
        <v/>
      </c>
      <c r="D177" s="37" t="str">
        <f>IF(COUNTIF(ERP导入清单!$X$5:$X$204,173)=0,"",INDEX(ERP导入清单!D:D,IFERROR(MATCH(173,ERP导入清单!$X$5:$X$204,0)+4,"")))</f>
        <v/>
      </c>
      <c r="E177" s="37" t="str">
        <f>IF(COUNTIF(ERP导入清单!$X$5:$X$204,173)=0,"",INDEX(ERP导入清单!E:E,IFERROR(MATCH(173,ERP导入清单!$X$5:$X$204,0)+4,"")))</f>
        <v/>
      </c>
      <c r="F177" s="37" t="str">
        <f>IF(COUNTIF(ERP导入清单!$X$5:$X$204,173)=0,"",INDEX(ERP导入清单!F:F,IFERROR(MATCH(173,ERP导入清单!$X$5:$X$204,0)+4,"")))</f>
        <v/>
      </c>
      <c r="G177" s="57" t="str">
        <f>IF(COUNTIF(ERP导入清单!$X$5:$X$204,173)=0,"",INDEX(ERP导入清单!G:G,IFERROR(MATCH(173,ERP导入清单!$X$5:$X$204,0)+4,"")))</f>
        <v/>
      </c>
      <c r="H177" s="37" t="str">
        <f>IF(COUNTIF(ERP导入清单!$X$5:$X$204,173)=0,"",INDEX(ERP导入清单!H:H,IFERROR(MATCH(173,ERP导入清单!$X$5:$X$204,0)+4,"")))</f>
        <v/>
      </c>
      <c r="I177" s="57" t="str">
        <f>IF(COUNTIF(ERP导入清单!$X$5:$X$204,173)=0,"",INDEX(ERP导入清单!I:I,IFERROR(MATCH(173,ERP导入清单!$X$5:$X$204,0)+4,"")))</f>
        <v/>
      </c>
      <c r="J177" s="57" t="str">
        <f>IF(COUNTIF(ERP导入清单!$X$5:$X$204,173)=0,"",INDEX(ERP导入清单!J:J,IFERROR(MATCH(173,ERP导入清单!$X$5:$X$204,0)+4,"")))</f>
        <v/>
      </c>
      <c r="K177" s="37" t="str">
        <f>IF(COUNTIF(ERP导入清单!$X$5:$X$204,173)=0,"",INDEX(ERP导入清单!K:K,IFERROR(MATCH(173,ERP导入清单!$X$5:$X$204,0)+4,"")))</f>
        <v/>
      </c>
      <c r="L177" s="37" t="str">
        <f>IF(COUNTIF(ERP导入清单!$X$5:$X$204,173)=0,"",INDEX(ERP导入清单!L:L,IFERROR(MATCH(173,ERP导入清单!$X$5:$X$204,0)+4,"")))</f>
        <v/>
      </c>
      <c r="M177" s="37" t="str">
        <f>IF(COUNTIF(ERP导入清单!$X$5:$X$204,173)=0,"",INDEX(ERP导入清单!M:M,IFERROR(MATCH(173,ERP导入清单!$X$5:$X$204,0)+4,"")))</f>
        <v/>
      </c>
      <c r="N177" s="37" t="str">
        <f>IF(COUNTIF(ERP导入清单!$X$5:$X$204,173)=0,"",INDEX(ERP导入清单!N:N,IFERROR(MATCH(173,ERP导入清单!$X$5:$X$204,0)+4,"")))</f>
        <v/>
      </c>
      <c r="O177" s="37" t="str">
        <f>IF(COUNTIF(ERP导入清单!$X$5:$X$204,173)=0,"",INDEX(ERP导入清单!O:O,IFERROR(MATCH(173,ERP导入清单!$X$5:$X$204,0)+4,"")))</f>
        <v/>
      </c>
      <c r="P177" s="39" t="str">
        <f>IF(COUNTIF(ERP导入清单!$X$5:$X$204,173)=0,"",INDEX(ERP导入清单!P:P,IFERROR(MATCH(173,ERP导入清单!$X$5:$X$204,0)+4,"")))</f>
        <v/>
      </c>
      <c r="Q177" s="39" t="str">
        <f>IF(COUNTIF(ERP导入清单!$X$5:$X$204,173)=0,"",INDEX(ERP导入清单!Q:Q,IFERROR(MATCH(173,ERP导入清单!$X$5:$X$204,0)+4,"")))</f>
        <v/>
      </c>
      <c r="R177" s="59" t="str">
        <f>IF(COUNTIF(ERP导入清单!$X$5:$X$204,173)=0,"",INDEX(ERP导入清单!R:R,IFERROR(MATCH(173,ERP导入清单!$X$5:$X$204,0)+4,"")))</f>
        <v/>
      </c>
      <c r="S177" s="37" t="str">
        <f>IF(COUNTIF(ERP导入清单!$X$5:$X$204,173)=0,"",INDEX(ERP导入清单!S:S,IFERROR(MATCH(173,ERP导入清单!$X$5:$X$204,0)+4,"")))</f>
        <v/>
      </c>
      <c r="T177" s="37" t="str">
        <f>IF(COUNTIF(ERP导入清单!$X$5:$X$204,173)=0,"",INDEX(ERP导入清单!T:T,IFERROR(MATCH(173,ERP导入清单!$X$5:$X$204,0)+4,"")))</f>
        <v/>
      </c>
      <c r="U177" s="37" t="str">
        <f>IF(COUNTIF(ERP导入清单!$X$5:$X$204,173)=0,"",INDEX(ERP导入清单!U:U,IFERROR(MATCH(173,ERP导入清单!$X$5:$X$204,0)+4,"")))</f>
        <v/>
      </c>
      <c r="V177" s="38" t="str">
        <f>IF(COUNTIF(ERP导入清单!$X$5:$X$204,173)=0,"",INDEX(ERP导入清单!V:V,IFERROR(MATCH(173,ERP导入清单!$X$5:$X$204,0)+4,"")))</f>
        <v/>
      </c>
      <c r="W177" s="50" t="str">
        <f>IF(COUNTIF(ERP导入清单!$X$5:$X$204,173)=0,"",INDEX(ERP导入清单!W:W,IFERROR(MATCH(173,ERP导入清单!$X$5:$X$204,0)+4,"")))</f>
        <v/>
      </c>
    </row>
    <row r="178" spans="1:23" ht="24" customHeight="1">
      <c r="A178" s="55" t="str">
        <f>IF(COUNTIF(ERP导入清单!$X$5:$X$204,174)=0,"",INDEX(ERP导入清单!A:A,IFERROR(MATCH(174,ERP导入清单!$X$5:$X$204,0)+4,"")))</f>
        <v/>
      </c>
      <c r="B178" s="37" t="str">
        <f>IF(COUNTIF(ERP导入清单!$X$5:$X$204,174)=0,"",INDEX(ERP导入清单!B:B,IFERROR(MATCH(174,ERP导入清单!$X$5:$X$204,0)+4,"")))</f>
        <v/>
      </c>
      <c r="C178" s="38" t="str">
        <f>IF(COUNTIF(ERP导入清单!$X$5:$X$204,174)=0,"",INDEX(ERP导入清单!C:C,IFERROR(MATCH(174,ERP导入清单!$X$5:$X$204,0)+4,"")))</f>
        <v/>
      </c>
      <c r="D178" s="37" t="str">
        <f>IF(COUNTIF(ERP导入清单!$X$5:$X$204,174)=0,"",INDEX(ERP导入清单!D:D,IFERROR(MATCH(174,ERP导入清单!$X$5:$X$204,0)+4,"")))</f>
        <v/>
      </c>
      <c r="E178" s="37" t="str">
        <f>IF(COUNTIF(ERP导入清单!$X$5:$X$204,174)=0,"",INDEX(ERP导入清单!E:E,IFERROR(MATCH(174,ERP导入清单!$X$5:$X$204,0)+4,"")))</f>
        <v/>
      </c>
      <c r="F178" s="37" t="str">
        <f>IF(COUNTIF(ERP导入清单!$X$5:$X$204,174)=0,"",INDEX(ERP导入清单!F:F,IFERROR(MATCH(174,ERP导入清单!$X$5:$X$204,0)+4,"")))</f>
        <v/>
      </c>
      <c r="G178" s="57" t="str">
        <f>IF(COUNTIF(ERP导入清单!$X$5:$X$204,174)=0,"",INDEX(ERP导入清单!G:G,IFERROR(MATCH(174,ERP导入清单!$X$5:$X$204,0)+4,"")))</f>
        <v/>
      </c>
      <c r="H178" s="37" t="str">
        <f>IF(COUNTIF(ERP导入清单!$X$5:$X$204,174)=0,"",INDEX(ERP导入清单!H:H,IFERROR(MATCH(174,ERP导入清单!$X$5:$X$204,0)+4,"")))</f>
        <v/>
      </c>
      <c r="I178" s="57" t="str">
        <f>IF(COUNTIF(ERP导入清单!$X$5:$X$204,174)=0,"",INDEX(ERP导入清单!I:I,IFERROR(MATCH(174,ERP导入清单!$X$5:$X$204,0)+4,"")))</f>
        <v/>
      </c>
      <c r="J178" s="57" t="str">
        <f>IF(COUNTIF(ERP导入清单!$X$5:$X$204,174)=0,"",INDEX(ERP导入清单!J:J,IFERROR(MATCH(174,ERP导入清单!$X$5:$X$204,0)+4,"")))</f>
        <v/>
      </c>
      <c r="K178" s="37" t="str">
        <f>IF(COUNTIF(ERP导入清单!$X$5:$X$204,174)=0,"",INDEX(ERP导入清单!K:K,IFERROR(MATCH(174,ERP导入清单!$X$5:$X$204,0)+4,"")))</f>
        <v/>
      </c>
      <c r="L178" s="37" t="str">
        <f>IF(COUNTIF(ERP导入清单!$X$5:$X$204,174)=0,"",INDEX(ERP导入清单!L:L,IFERROR(MATCH(174,ERP导入清单!$X$5:$X$204,0)+4,"")))</f>
        <v/>
      </c>
      <c r="M178" s="37" t="str">
        <f>IF(COUNTIF(ERP导入清单!$X$5:$X$204,174)=0,"",INDEX(ERP导入清单!M:M,IFERROR(MATCH(174,ERP导入清单!$X$5:$X$204,0)+4,"")))</f>
        <v/>
      </c>
      <c r="N178" s="37" t="str">
        <f>IF(COUNTIF(ERP导入清单!$X$5:$X$204,174)=0,"",INDEX(ERP导入清单!N:N,IFERROR(MATCH(174,ERP导入清单!$X$5:$X$204,0)+4,"")))</f>
        <v/>
      </c>
      <c r="O178" s="37" t="str">
        <f>IF(COUNTIF(ERP导入清单!$X$5:$X$204,174)=0,"",INDEX(ERP导入清单!O:O,IFERROR(MATCH(174,ERP导入清单!$X$5:$X$204,0)+4,"")))</f>
        <v/>
      </c>
      <c r="P178" s="39" t="str">
        <f>IF(COUNTIF(ERP导入清单!$X$5:$X$204,174)=0,"",INDEX(ERP导入清单!P:P,IFERROR(MATCH(174,ERP导入清单!$X$5:$X$204,0)+4,"")))</f>
        <v/>
      </c>
      <c r="Q178" s="39" t="str">
        <f>IF(COUNTIF(ERP导入清单!$X$5:$X$204,174)=0,"",INDEX(ERP导入清单!Q:Q,IFERROR(MATCH(174,ERP导入清单!$X$5:$X$204,0)+4,"")))</f>
        <v/>
      </c>
      <c r="R178" s="59" t="str">
        <f>IF(COUNTIF(ERP导入清单!$X$5:$X$204,174)=0,"",INDEX(ERP导入清单!R:R,IFERROR(MATCH(174,ERP导入清单!$X$5:$X$204,0)+4,"")))</f>
        <v/>
      </c>
      <c r="S178" s="37" t="str">
        <f>IF(COUNTIF(ERP导入清单!$X$5:$X$204,174)=0,"",INDEX(ERP导入清单!S:S,IFERROR(MATCH(174,ERP导入清单!$X$5:$X$204,0)+4,"")))</f>
        <v/>
      </c>
      <c r="T178" s="37" t="str">
        <f>IF(COUNTIF(ERP导入清单!$X$5:$X$204,174)=0,"",INDEX(ERP导入清单!T:T,IFERROR(MATCH(174,ERP导入清单!$X$5:$X$204,0)+4,"")))</f>
        <v/>
      </c>
      <c r="U178" s="37" t="str">
        <f>IF(COUNTIF(ERP导入清单!$X$5:$X$204,174)=0,"",INDEX(ERP导入清单!U:U,IFERROR(MATCH(174,ERP导入清单!$X$5:$X$204,0)+4,"")))</f>
        <v/>
      </c>
      <c r="V178" s="38" t="str">
        <f>IF(COUNTIF(ERP导入清单!$X$5:$X$204,174)=0,"",INDEX(ERP导入清单!V:V,IFERROR(MATCH(174,ERP导入清单!$X$5:$X$204,0)+4,"")))</f>
        <v/>
      </c>
      <c r="W178" s="50" t="str">
        <f>IF(COUNTIF(ERP导入清单!$X$5:$X$204,174)=0,"",INDEX(ERP导入清单!W:W,IFERROR(MATCH(174,ERP导入清单!$X$5:$X$204,0)+4,"")))</f>
        <v/>
      </c>
    </row>
    <row r="179" spans="1:23" ht="24" customHeight="1">
      <c r="A179" s="55" t="str">
        <f>IF(COUNTIF(ERP导入清单!$X$5:$X$204,175)=0,"",INDEX(ERP导入清单!A:A,IFERROR(MATCH(175,ERP导入清单!$X$5:$X$204,0)+4,"")))</f>
        <v/>
      </c>
      <c r="B179" s="37" t="str">
        <f>IF(COUNTIF(ERP导入清单!$X$5:$X$204,175)=0,"",INDEX(ERP导入清单!B:B,IFERROR(MATCH(175,ERP导入清单!$X$5:$X$204,0)+4,"")))</f>
        <v/>
      </c>
      <c r="C179" s="38" t="str">
        <f>IF(COUNTIF(ERP导入清单!$X$5:$X$204,175)=0,"",INDEX(ERP导入清单!C:C,IFERROR(MATCH(175,ERP导入清单!$X$5:$X$204,0)+4,"")))</f>
        <v/>
      </c>
      <c r="D179" s="37" t="str">
        <f>IF(COUNTIF(ERP导入清单!$X$5:$X$204,175)=0,"",INDEX(ERP导入清单!D:D,IFERROR(MATCH(175,ERP导入清单!$X$5:$X$204,0)+4,"")))</f>
        <v/>
      </c>
      <c r="E179" s="37" t="str">
        <f>IF(COUNTIF(ERP导入清单!$X$5:$X$204,175)=0,"",INDEX(ERP导入清单!E:E,IFERROR(MATCH(175,ERP导入清单!$X$5:$X$204,0)+4,"")))</f>
        <v/>
      </c>
      <c r="F179" s="37" t="str">
        <f>IF(COUNTIF(ERP导入清单!$X$5:$X$204,175)=0,"",INDEX(ERP导入清单!F:F,IFERROR(MATCH(175,ERP导入清单!$X$5:$X$204,0)+4,"")))</f>
        <v/>
      </c>
      <c r="G179" s="57" t="str">
        <f>IF(COUNTIF(ERP导入清单!$X$5:$X$204,175)=0,"",INDEX(ERP导入清单!G:G,IFERROR(MATCH(175,ERP导入清单!$X$5:$X$204,0)+4,"")))</f>
        <v/>
      </c>
      <c r="H179" s="37" t="str">
        <f>IF(COUNTIF(ERP导入清单!$X$5:$X$204,175)=0,"",INDEX(ERP导入清单!H:H,IFERROR(MATCH(175,ERP导入清单!$X$5:$X$204,0)+4,"")))</f>
        <v/>
      </c>
      <c r="I179" s="57" t="str">
        <f>IF(COUNTIF(ERP导入清单!$X$5:$X$204,175)=0,"",INDEX(ERP导入清单!I:I,IFERROR(MATCH(175,ERP导入清单!$X$5:$X$204,0)+4,"")))</f>
        <v/>
      </c>
      <c r="J179" s="57" t="str">
        <f>IF(COUNTIF(ERP导入清单!$X$5:$X$204,175)=0,"",INDEX(ERP导入清单!J:J,IFERROR(MATCH(175,ERP导入清单!$X$5:$X$204,0)+4,"")))</f>
        <v/>
      </c>
      <c r="K179" s="37" t="str">
        <f>IF(COUNTIF(ERP导入清单!$X$5:$X$204,175)=0,"",INDEX(ERP导入清单!K:K,IFERROR(MATCH(175,ERP导入清单!$X$5:$X$204,0)+4,"")))</f>
        <v/>
      </c>
      <c r="L179" s="37" t="str">
        <f>IF(COUNTIF(ERP导入清单!$X$5:$X$204,175)=0,"",INDEX(ERP导入清单!L:L,IFERROR(MATCH(175,ERP导入清单!$X$5:$X$204,0)+4,"")))</f>
        <v/>
      </c>
      <c r="M179" s="37" t="str">
        <f>IF(COUNTIF(ERP导入清单!$X$5:$X$204,175)=0,"",INDEX(ERP导入清单!M:M,IFERROR(MATCH(175,ERP导入清单!$X$5:$X$204,0)+4,"")))</f>
        <v/>
      </c>
      <c r="N179" s="37" t="str">
        <f>IF(COUNTIF(ERP导入清单!$X$5:$X$204,175)=0,"",INDEX(ERP导入清单!N:N,IFERROR(MATCH(175,ERP导入清单!$X$5:$X$204,0)+4,"")))</f>
        <v/>
      </c>
      <c r="O179" s="37" t="str">
        <f>IF(COUNTIF(ERP导入清单!$X$5:$X$204,175)=0,"",INDEX(ERP导入清单!O:O,IFERROR(MATCH(175,ERP导入清单!$X$5:$X$204,0)+4,"")))</f>
        <v/>
      </c>
      <c r="P179" s="39" t="str">
        <f>IF(COUNTIF(ERP导入清单!$X$5:$X$204,175)=0,"",INDEX(ERP导入清单!P:P,IFERROR(MATCH(175,ERP导入清单!$X$5:$X$204,0)+4,"")))</f>
        <v/>
      </c>
      <c r="Q179" s="39" t="str">
        <f>IF(COUNTIF(ERP导入清单!$X$5:$X$204,175)=0,"",INDEX(ERP导入清单!Q:Q,IFERROR(MATCH(175,ERP导入清单!$X$5:$X$204,0)+4,"")))</f>
        <v/>
      </c>
      <c r="R179" s="59" t="str">
        <f>IF(COUNTIF(ERP导入清单!$X$5:$X$204,175)=0,"",INDEX(ERP导入清单!R:R,IFERROR(MATCH(175,ERP导入清单!$X$5:$X$204,0)+4,"")))</f>
        <v/>
      </c>
      <c r="S179" s="37" t="str">
        <f>IF(COUNTIF(ERP导入清单!$X$5:$X$204,175)=0,"",INDEX(ERP导入清单!S:S,IFERROR(MATCH(175,ERP导入清单!$X$5:$X$204,0)+4,"")))</f>
        <v/>
      </c>
      <c r="T179" s="37" t="str">
        <f>IF(COUNTIF(ERP导入清单!$X$5:$X$204,175)=0,"",INDEX(ERP导入清单!T:T,IFERROR(MATCH(175,ERP导入清单!$X$5:$X$204,0)+4,"")))</f>
        <v/>
      </c>
      <c r="U179" s="37" t="str">
        <f>IF(COUNTIF(ERP导入清单!$X$5:$X$204,175)=0,"",INDEX(ERP导入清单!U:U,IFERROR(MATCH(175,ERP导入清单!$X$5:$X$204,0)+4,"")))</f>
        <v/>
      </c>
      <c r="V179" s="38" t="str">
        <f>IF(COUNTIF(ERP导入清单!$X$5:$X$204,175)=0,"",INDEX(ERP导入清单!V:V,IFERROR(MATCH(175,ERP导入清单!$X$5:$X$204,0)+4,"")))</f>
        <v/>
      </c>
      <c r="W179" s="50" t="str">
        <f>IF(COUNTIF(ERP导入清单!$X$5:$X$204,175)=0,"",INDEX(ERP导入清单!W:W,IFERROR(MATCH(175,ERP导入清单!$X$5:$X$204,0)+4,"")))</f>
        <v/>
      </c>
    </row>
    <row r="180" spans="1:23" ht="24" customHeight="1">
      <c r="A180" s="55" t="str">
        <f>IF(COUNTIF(ERP导入清单!$X$5:$X$204,176)=0,"",INDEX(ERP导入清单!A:A,IFERROR(MATCH(176,ERP导入清单!$X$5:$X$204,0)+4,"")))</f>
        <v/>
      </c>
      <c r="B180" s="37" t="str">
        <f>IF(COUNTIF(ERP导入清单!$X$5:$X$204,176)=0,"",INDEX(ERP导入清单!B:B,IFERROR(MATCH(176,ERP导入清单!$X$5:$X$204,0)+4,"")))</f>
        <v/>
      </c>
      <c r="C180" s="38" t="str">
        <f>IF(COUNTIF(ERP导入清单!$X$5:$X$204,176)=0,"",INDEX(ERP导入清单!C:C,IFERROR(MATCH(176,ERP导入清单!$X$5:$X$204,0)+4,"")))</f>
        <v/>
      </c>
      <c r="D180" s="37" t="str">
        <f>IF(COUNTIF(ERP导入清单!$X$5:$X$204,176)=0,"",INDEX(ERP导入清单!D:D,IFERROR(MATCH(176,ERP导入清单!$X$5:$X$204,0)+4,"")))</f>
        <v/>
      </c>
      <c r="E180" s="37" t="str">
        <f>IF(COUNTIF(ERP导入清单!$X$5:$X$204,176)=0,"",INDEX(ERP导入清单!E:E,IFERROR(MATCH(176,ERP导入清单!$X$5:$X$204,0)+4,"")))</f>
        <v/>
      </c>
      <c r="F180" s="37" t="str">
        <f>IF(COUNTIF(ERP导入清单!$X$5:$X$204,176)=0,"",INDEX(ERP导入清单!F:F,IFERROR(MATCH(176,ERP导入清单!$X$5:$X$204,0)+4,"")))</f>
        <v/>
      </c>
      <c r="G180" s="57" t="str">
        <f>IF(COUNTIF(ERP导入清单!$X$5:$X$204,176)=0,"",INDEX(ERP导入清单!G:G,IFERROR(MATCH(176,ERP导入清单!$X$5:$X$204,0)+4,"")))</f>
        <v/>
      </c>
      <c r="H180" s="37" t="str">
        <f>IF(COUNTIF(ERP导入清单!$X$5:$X$204,176)=0,"",INDEX(ERP导入清单!H:H,IFERROR(MATCH(176,ERP导入清单!$X$5:$X$204,0)+4,"")))</f>
        <v/>
      </c>
      <c r="I180" s="57" t="str">
        <f>IF(COUNTIF(ERP导入清单!$X$5:$X$204,176)=0,"",INDEX(ERP导入清单!I:I,IFERROR(MATCH(176,ERP导入清单!$X$5:$X$204,0)+4,"")))</f>
        <v/>
      </c>
      <c r="J180" s="57" t="str">
        <f>IF(COUNTIF(ERP导入清单!$X$5:$X$204,176)=0,"",INDEX(ERP导入清单!J:J,IFERROR(MATCH(176,ERP导入清单!$X$5:$X$204,0)+4,"")))</f>
        <v/>
      </c>
      <c r="K180" s="37" t="str">
        <f>IF(COUNTIF(ERP导入清单!$X$5:$X$204,176)=0,"",INDEX(ERP导入清单!K:K,IFERROR(MATCH(176,ERP导入清单!$X$5:$X$204,0)+4,"")))</f>
        <v/>
      </c>
      <c r="L180" s="37" t="str">
        <f>IF(COUNTIF(ERP导入清单!$X$5:$X$204,176)=0,"",INDEX(ERP导入清单!L:L,IFERROR(MATCH(176,ERP导入清单!$X$5:$X$204,0)+4,"")))</f>
        <v/>
      </c>
      <c r="M180" s="37" t="str">
        <f>IF(COUNTIF(ERP导入清单!$X$5:$X$204,176)=0,"",INDEX(ERP导入清单!M:M,IFERROR(MATCH(176,ERP导入清单!$X$5:$X$204,0)+4,"")))</f>
        <v/>
      </c>
      <c r="N180" s="37" t="str">
        <f>IF(COUNTIF(ERP导入清单!$X$5:$X$204,176)=0,"",INDEX(ERP导入清单!N:N,IFERROR(MATCH(176,ERP导入清单!$X$5:$X$204,0)+4,"")))</f>
        <v/>
      </c>
      <c r="O180" s="37" t="str">
        <f>IF(COUNTIF(ERP导入清单!$X$5:$X$204,176)=0,"",INDEX(ERP导入清单!O:O,IFERROR(MATCH(176,ERP导入清单!$X$5:$X$204,0)+4,"")))</f>
        <v/>
      </c>
      <c r="P180" s="39" t="str">
        <f>IF(COUNTIF(ERP导入清单!$X$5:$X$204,176)=0,"",INDEX(ERP导入清单!P:P,IFERROR(MATCH(176,ERP导入清单!$X$5:$X$204,0)+4,"")))</f>
        <v/>
      </c>
      <c r="Q180" s="39" t="str">
        <f>IF(COUNTIF(ERP导入清单!$X$5:$X$204,176)=0,"",INDEX(ERP导入清单!Q:Q,IFERROR(MATCH(176,ERP导入清单!$X$5:$X$204,0)+4,"")))</f>
        <v/>
      </c>
      <c r="R180" s="59" t="str">
        <f>IF(COUNTIF(ERP导入清单!$X$5:$X$204,176)=0,"",INDEX(ERP导入清单!R:R,IFERROR(MATCH(176,ERP导入清单!$X$5:$X$204,0)+4,"")))</f>
        <v/>
      </c>
      <c r="S180" s="37" t="str">
        <f>IF(COUNTIF(ERP导入清单!$X$5:$X$204,176)=0,"",INDEX(ERP导入清单!S:S,IFERROR(MATCH(176,ERP导入清单!$X$5:$X$204,0)+4,"")))</f>
        <v/>
      </c>
      <c r="T180" s="37" t="str">
        <f>IF(COUNTIF(ERP导入清单!$X$5:$X$204,176)=0,"",INDEX(ERP导入清单!T:T,IFERROR(MATCH(176,ERP导入清单!$X$5:$X$204,0)+4,"")))</f>
        <v/>
      </c>
      <c r="U180" s="37" t="str">
        <f>IF(COUNTIF(ERP导入清单!$X$5:$X$204,176)=0,"",INDEX(ERP导入清单!U:U,IFERROR(MATCH(176,ERP导入清单!$X$5:$X$204,0)+4,"")))</f>
        <v/>
      </c>
      <c r="V180" s="38" t="str">
        <f>IF(COUNTIF(ERP导入清单!$X$5:$X$204,176)=0,"",INDEX(ERP导入清单!V:V,IFERROR(MATCH(176,ERP导入清单!$X$5:$X$204,0)+4,"")))</f>
        <v/>
      </c>
      <c r="W180" s="50" t="str">
        <f>IF(COUNTIF(ERP导入清单!$X$5:$X$204,176)=0,"",INDEX(ERP导入清单!W:W,IFERROR(MATCH(176,ERP导入清单!$X$5:$X$204,0)+4,"")))</f>
        <v/>
      </c>
    </row>
    <row r="181" spans="1:23" ht="24" customHeight="1">
      <c r="A181" s="55" t="str">
        <f>IF(COUNTIF(ERP导入清单!$X$5:$X$204,177)=0,"",INDEX(ERP导入清单!A:A,IFERROR(MATCH(177,ERP导入清单!$X$5:$X$204,0)+4,"")))</f>
        <v/>
      </c>
      <c r="B181" s="37" t="str">
        <f>IF(COUNTIF(ERP导入清单!$X$5:$X$204,177)=0,"",INDEX(ERP导入清单!B:B,IFERROR(MATCH(177,ERP导入清单!$X$5:$X$204,0)+4,"")))</f>
        <v/>
      </c>
      <c r="C181" s="38" t="str">
        <f>IF(COUNTIF(ERP导入清单!$X$5:$X$204,177)=0,"",INDEX(ERP导入清单!C:C,IFERROR(MATCH(177,ERP导入清单!$X$5:$X$204,0)+4,"")))</f>
        <v/>
      </c>
      <c r="D181" s="37" t="str">
        <f>IF(COUNTIF(ERP导入清单!$X$5:$X$204,177)=0,"",INDEX(ERP导入清单!D:D,IFERROR(MATCH(177,ERP导入清单!$X$5:$X$204,0)+4,"")))</f>
        <v/>
      </c>
      <c r="E181" s="37" t="str">
        <f>IF(COUNTIF(ERP导入清单!$X$5:$X$204,177)=0,"",INDEX(ERP导入清单!E:E,IFERROR(MATCH(177,ERP导入清单!$X$5:$X$204,0)+4,"")))</f>
        <v/>
      </c>
      <c r="F181" s="37" t="str">
        <f>IF(COUNTIF(ERP导入清单!$X$5:$X$204,177)=0,"",INDEX(ERP导入清单!F:F,IFERROR(MATCH(177,ERP导入清单!$X$5:$X$204,0)+4,"")))</f>
        <v/>
      </c>
      <c r="G181" s="57" t="str">
        <f>IF(COUNTIF(ERP导入清单!$X$5:$X$204,177)=0,"",INDEX(ERP导入清单!G:G,IFERROR(MATCH(177,ERP导入清单!$X$5:$X$204,0)+4,"")))</f>
        <v/>
      </c>
      <c r="H181" s="37" t="str">
        <f>IF(COUNTIF(ERP导入清单!$X$5:$X$204,177)=0,"",INDEX(ERP导入清单!H:H,IFERROR(MATCH(177,ERP导入清单!$X$5:$X$204,0)+4,"")))</f>
        <v/>
      </c>
      <c r="I181" s="57" t="str">
        <f>IF(COUNTIF(ERP导入清单!$X$5:$X$204,177)=0,"",INDEX(ERP导入清单!I:I,IFERROR(MATCH(177,ERP导入清单!$X$5:$X$204,0)+4,"")))</f>
        <v/>
      </c>
      <c r="J181" s="57" t="str">
        <f>IF(COUNTIF(ERP导入清单!$X$5:$X$204,177)=0,"",INDEX(ERP导入清单!J:J,IFERROR(MATCH(177,ERP导入清单!$X$5:$X$204,0)+4,"")))</f>
        <v/>
      </c>
      <c r="K181" s="37" t="str">
        <f>IF(COUNTIF(ERP导入清单!$X$5:$X$204,177)=0,"",INDEX(ERP导入清单!K:K,IFERROR(MATCH(177,ERP导入清单!$X$5:$X$204,0)+4,"")))</f>
        <v/>
      </c>
      <c r="L181" s="37" t="str">
        <f>IF(COUNTIF(ERP导入清单!$X$5:$X$204,177)=0,"",INDEX(ERP导入清单!L:L,IFERROR(MATCH(177,ERP导入清单!$X$5:$X$204,0)+4,"")))</f>
        <v/>
      </c>
      <c r="M181" s="37" t="str">
        <f>IF(COUNTIF(ERP导入清单!$X$5:$X$204,177)=0,"",INDEX(ERP导入清单!M:M,IFERROR(MATCH(177,ERP导入清单!$X$5:$X$204,0)+4,"")))</f>
        <v/>
      </c>
      <c r="N181" s="37" t="str">
        <f>IF(COUNTIF(ERP导入清单!$X$5:$X$204,177)=0,"",INDEX(ERP导入清单!N:N,IFERROR(MATCH(177,ERP导入清单!$X$5:$X$204,0)+4,"")))</f>
        <v/>
      </c>
      <c r="O181" s="37" t="str">
        <f>IF(COUNTIF(ERP导入清单!$X$5:$X$204,177)=0,"",INDEX(ERP导入清单!O:O,IFERROR(MATCH(177,ERP导入清单!$X$5:$X$204,0)+4,"")))</f>
        <v/>
      </c>
      <c r="P181" s="39" t="str">
        <f>IF(COUNTIF(ERP导入清单!$X$5:$X$204,177)=0,"",INDEX(ERP导入清单!P:P,IFERROR(MATCH(177,ERP导入清单!$X$5:$X$204,0)+4,"")))</f>
        <v/>
      </c>
      <c r="Q181" s="39" t="str">
        <f>IF(COUNTIF(ERP导入清单!$X$5:$X$204,177)=0,"",INDEX(ERP导入清单!Q:Q,IFERROR(MATCH(177,ERP导入清单!$X$5:$X$204,0)+4,"")))</f>
        <v/>
      </c>
      <c r="R181" s="59" t="str">
        <f>IF(COUNTIF(ERP导入清单!$X$5:$X$204,177)=0,"",INDEX(ERP导入清单!R:R,IFERROR(MATCH(177,ERP导入清单!$X$5:$X$204,0)+4,"")))</f>
        <v/>
      </c>
      <c r="S181" s="37" t="str">
        <f>IF(COUNTIF(ERP导入清单!$X$5:$X$204,177)=0,"",INDEX(ERP导入清单!S:S,IFERROR(MATCH(177,ERP导入清单!$X$5:$X$204,0)+4,"")))</f>
        <v/>
      </c>
      <c r="T181" s="37" t="str">
        <f>IF(COUNTIF(ERP导入清单!$X$5:$X$204,177)=0,"",INDEX(ERP导入清单!T:T,IFERROR(MATCH(177,ERP导入清单!$X$5:$X$204,0)+4,"")))</f>
        <v/>
      </c>
      <c r="U181" s="37" t="str">
        <f>IF(COUNTIF(ERP导入清单!$X$5:$X$204,177)=0,"",INDEX(ERP导入清单!U:U,IFERROR(MATCH(177,ERP导入清单!$X$5:$X$204,0)+4,"")))</f>
        <v/>
      </c>
      <c r="V181" s="38" t="str">
        <f>IF(COUNTIF(ERP导入清单!$X$5:$X$204,177)=0,"",INDEX(ERP导入清单!V:V,IFERROR(MATCH(177,ERP导入清单!$X$5:$X$204,0)+4,"")))</f>
        <v/>
      </c>
      <c r="W181" s="50" t="str">
        <f>IF(COUNTIF(ERP导入清单!$X$5:$X$204,177)=0,"",INDEX(ERP导入清单!W:W,IFERROR(MATCH(177,ERP导入清单!$X$5:$X$204,0)+4,"")))</f>
        <v/>
      </c>
    </row>
    <row r="182" spans="1:23" ht="24" customHeight="1">
      <c r="A182" s="55" t="str">
        <f>IF(COUNTIF(ERP导入清单!$X$5:$X$204,178)=0,"",INDEX(ERP导入清单!A:A,IFERROR(MATCH(178,ERP导入清单!$X$5:$X$204,0)+4,"")))</f>
        <v/>
      </c>
      <c r="B182" s="37" t="str">
        <f>IF(COUNTIF(ERP导入清单!$X$5:$X$204,178)=0,"",INDEX(ERP导入清单!B:B,IFERROR(MATCH(178,ERP导入清单!$X$5:$X$204,0)+4,"")))</f>
        <v/>
      </c>
      <c r="C182" s="38" t="str">
        <f>IF(COUNTIF(ERP导入清单!$X$5:$X$204,178)=0,"",INDEX(ERP导入清单!C:C,IFERROR(MATCH(178,ERP导入清单!$X$5:$X$204,0)+4,"")))</f>
        <v/>
      </c>
      <c r="D182" s="37" t="str">
        <f>IF(COUNTIF(ERP导入清单!$X$5:$X$204,178)=0,"",INDEX(ERP导入清单!D:D,IFERROR(MATCH(178,ERP导入清单!$X$5:$X$204,0)+4,"")))</f>
        <v/>
      </c>
      <c r="E182" s="37" t="str">
        <f>IF(COUNTIF(ERP导入清单!$X$5:$X$204,178)=0,"",INDEX(ERP导入清单!E:E,IFERROR(MATCH(178,ERP导入清单!$X$5:$X$204,0)+4,"")))</f>
        <v/>
      </c>
      <c r="F182" s="37" t="str">
        <f>IF(COUNTIF(ERP导入清单!$X$5:$X$204,178)=0,"",INDEX(ERP导入清单!F:F,IFERROR(MATCH(178,ERP导入清单!$X$5:$X$204,0)+4,"")))</f>
        <v/>
      </c>
      <c r="G182" s="57" t="str">
        <f>IF(COUNTIF(ERP导入清单!$X$5:$X$204,178)=0,"",INDEX(ERP导入清单!G:G,IFERROR(MATCH(178,ERP导入清单!$X$5:$X$204,0)+4,"")))</f>
        <v/>
      </c>
      <c r="H182" s="37" t="str">
        <f>IF(COUNTIF(ERP导入清单!$X$5:$X$204,178)=0,"",INDEX(ERP导入清单!H:H,IFERROR(MATCH(178,ERP导入清单!$X$5:$X$204,0)+4,"")))</f>
        <v/>
      </c>
      <c r="I182" s="57" t="str">
        <f>IF(COUNTIF(ERP导入清单!$X$5:$X$204,178)=0,"",INDEX(ERP导入清单!I:I,IFERROR(MATCH(178,ERP导入清单!$X$5:$X$204,0)+4,"")))</f>
        <v/>
      </c>
      <c r="J182" s="57" t="str">
        <f>IF(COUNTIF(ERP导入清单!$X$5:$X$204,178)=0,"",INDEX(ERP导入清单!J:J,IFERROR(MATCH(178,ERP导入清单!$X$5:$X$204,0)+4,"")))</f>
        <v/>
      </c>
      <c r="K182" s="37" t="str">
        <f>IF(COUNTIF(ERP导入清单!$X$5:$X$204,178)=0,"",INDEX(ERP导入清单!K:K,IFERROR(MATCH(178,ERP导入清单!$X$5:$X$204,0)+4,"")))</f>
        <v/>
      </c>
      <c r="L182" s="37" t="str">
        <f>IF(COUNTIF(ERP导入清单!$X$5:$X$204,178)=0,"",INDEX(ERP导入清单!L:L,IFERROR(MATCH(178,ERP导入清单!$X$5:$X$204,0)+4,"")))</f>
        <v/>
      </c>
      <c r="M182" s="37" t="str">
        <f>IF(COUNTIF(ERP导入清单!$X$5:$X$204,178)=0,"",INDEX(ERP导入清单!M:M,IFERROR(MATCH(178,ERP导入清单!$X$5:$X$204,0)+4,"")))</f>
        <v/>
      </c>
      <c r="N182" s="37" t="str">
        <f>IF(COUNTIF(ERP导入清单!$X$5:$X$204,178)=0,"",INDEX(ERP导入清单!N:N,IFERROR(MATCH(178,ERP导入清单!$X$5:$X$204,0)+4,"")))</f>
        <v/>
      </c>
      <c r="O182" s="37" t="str">
        <f>IF(COUNTIF(ERP导入清单!$X$5:$X$204,178)=0,"",INDEX(ERP导入清单!O:O,IFERROR(MATCH(178,ERP导入清单!$X$5:$X$204,0)+4,"")))</f>
        <v/>
      </c>
      <c r="P182" s="39" t="str">
        <f>IF(COUNTIF(ERP导入清单!$X$5:$X$204,178)=0,"",INDEX(ERP导入清单!P:P,IFERROR(MATCH(178,ERP导入清单!$X$5:$X$204,0)+4,"")))</f>
        <v/>
      </c>
      <c r="Q182" s="39" t="str">
        <f>IF(COUNTIF(ERP导入清单!$X$5:$X$204,178)=0,"",INDEX(ERP导入清单!Q:Q,IFERROR(MATCH(178,ERP导入清单!$X$5:$X$204,0)+4,"")))</f>
        <v/>
      </c>
      <c r="R182" s="59" t="str">
        <f>IF(COUNTIF(ERP导入清单!$X$5:$X$204,178)=0,"",INDEX(ERP导入清单!R:R,IFERROR(MATCH(178,ERP导入清单!$X$5:$X$204,0)+4,"")))</f>
        <v/>
      </c>
      <c r="S182" s="37" t="str">
        <f>IF(COUNTIF(ERP导入清单!$X$5:$X$204,178)=0,"",INDEX(ERP导入清单!S:S,IFERROR(MATCH(178,ERP导入清单!$X$5:$X$204,0)+4,"")))</f>
        <v/>
      </c>
      <c r="T182" s="37" t="str">
        <f>IF(COUNTIF(ERP导入清单!$X$5:$X$204,178)=0,"",INDEX(ERP导入清单!T:T,IFERROR(MATCH(178,ERP导入清单!$X$5:$X$204,0)+4,"")))</f>
        <v/>
      </c>
      <c r="U182" s="37" t="str">
        <f>IF(COUNTIF(ERP导入清单!$X$5:$X$204,178)=0,"",INDEX(ERP导入清单!U:U,IFERROR(MATCH(178,ERP导入清单!$X$5:$X$204,0)+4,"")))</f>
        <v/>
      </c>
      <c r="V182" s="38" t="str">
        <f>IF(COUNTIF(ERP导入清单!$X$5:$X$204,178)=0,"",INDEX(ERP导入清单!V:V,IFERROR(MATCH(178,ERP导入清单!$X$5:$X$204,0)+4,"")))</f>
        <v/>
      </c>
      <c r="W182" s="50" t="str">
        <f>IF(COUNTIF(ERP导入清单!$X$5:$X$204,178)=0,"",INDEX(ERP导入清单!W:W,IFERROR(MATCH(178,ERP导入清单!$X$5:$X$204,0)+4,"")))</f>
        <v/>
      </c>
    </row>
    <row r="183" spans="1:23" ht="24" customHeight="1">
      <c r="A183" s="55" t="str">
        <f>IF(COUNTIF(ERP导入清单!$X$5:$X$204,179)=0,"",INDEX(ERP导入清单!A:A,IFERROR(MATCH(179,ERP导入清单!$X$5:$X$204,0)+4,"")))</f>
        <v/>
      </c>
      <c r="B183" s="37" t="str">
        <f>IF(COUNTIF(ERP导入清单!$X$5:$X$204,179)=0,"",INDEX(ERP导入清单!B:B,IFERROR(MATCH(179,ERP导入清单!$X$5:$X$204,0)+4,"")))</f>
        <v/>
      </c>
      <c r="C183" s="38" t="str">
        <f>IF(COUNTIF(ERP导入清单!$X$5:$X$204,179)=0,"",INDEX(ERP导入清单!C:C,IFERROR(MATCH(179,ERP导入清单!$X$5:$X$204,0)+4,"")))</f>
        <v/>
      </c>
      <c r="D183" s="37" t="str">
        <f>IF(COUNTIF(ERP导入清单!$X$5:$X$204,179)=0,"",INDEX(ERP导入清单!D:D,IFERROR(MATCH(179,ERP导入清单!$X$5:$X$204,0)+4,"")))</f>
        <v/>
      </c>
      <c r="E183" s="37" t="str">
        <f>IF(COUNTIF(ERP导入清单!$X$5:$X$204,179)=0,"",INDEX(ERP导入清单!E:E,IFERROR(MATCH(179,ERP导入清单!$X$5:$X$204,0)+4,"")))</f>
        <v/>
      </c>
      <c r="F183" s="37" t="str">
        <f>IF(COUNTIF(ERP导入清单!$X$5:$X$204,179)=0,"",INDEX(ERP导入清单!F:F,IFERROR(MATCH(179,ERP导入清单!$X$5:$X$204,0)+4,"")))</f>
        <v/>
      </c>
      <c r="G183" s="57" t="str">
        <f>IF(COUNTIF(ERP导入清单!$X$5:$X$204,179)=0,"",INDEX(ERP导入清单!G:G,IFERROR(MATCH(179,ERP导入清单!$X$5:$X$204,0)+4,"")))</f>
        <v/>
      </c>
      <c r="H183" s="37" t="str">
        <f>IF(COUNTIF(ERP导入清单!$X$5:$X$204,179)=0,"",INDEX(ERP导入清单!H:H,IFERROR(MATCH(179,ERP导入清单!$X$5:$X$204,0)+4,"")))</f>
        <v/>
      </c>
      <c r="I183" s="57" t="str">
        <f>IF(COUNTIF(ERP导入清单!$X$5:$X$204,179)=0,"",INDEX(ERP导入清单!I:I,IFERROR(MATCH(179,ERP导入清单!$X$5:$X$204,0)+4,"")))</f>
        <v/>
      </c>
      <c r="J183" s="57" t="str">
        <f>IF(COUNTIF(ERP导入清单!$X$5:$X$204,179)=0,"",INDEX(ERP导入清单!J:J,IFERROR(MATCH(179,ERP导入清单!$X$5:$X$204,0)+4,"")))</f>
        <v/>
      </c>
      <c r="K183" s="37" t="str">
        <f>IF(COUNTIF(ERP导入清单!$X$5:$X$204,179)=0,"",INDEX(ERP导入清单!K:K,IFERROR(MATCH(179,ERP导入清单!$X$5:$X$204,0)+4,"")))</f>
        <v/>
      </c>
      <c r="L183" s="37" t="str">
        <f>IF(COUNTIF(ERP导入清单!$X$5:$X$204,179)=0,"",INDEX(ERP导入清单!L:L,IFERROR(MATCH(179,ERP导入清单!$X$5:$X$204,0)+4,"")))</f>
        <v/>
      </c>
      <c r="M183" s="37" t="str">
        <f>IF(COUNTIF(ERP导入清单!$X$5:$X$204,179)=0,"",INDEX(ERP导入清单!M:M,IFERROR(MATCH(179,ERP导入清单!$X$5:$X$204,0)+4,"")))</f>
        <v/>
      </c>
      <c r="N183" s="37" t="str">
        <f>IF(COUNTIF(ERP导入清单!$X$5:$X$204,179)=0,"",INDEX(ERP导入清单!N:N,IFERROR(MATCH(179,ERP导入清单!$X$5:$X$204,0)+4,"")))</f>
        <v/>
      </c>
      <c r="O183" s="37" t="str">
        <f>IF(COUNTIF(ERP导入清单!$X$5:$X$204,179)=0,"",INDEX(ERP导入清单!O:O,IFERROR(MATCH(179,ERP导入清单!$X$5:$X$204,0)+4,"")))</f>
        <v/>
      </c>
      <c r="P183" s="39" t="str">
        <f>IF(COUNTIF(ERP导入清单!$X$5:$X$204,179)=0,"",INDEX(ERP导入清单!P:P,IFERROR(MATCH(179,ERP导入清单!$X$5:$X$204,0)+4,"")))</f>
        <v/>
      </c>
      <c r="Q183" s="39" t="str">
        <f>IF(COUNTIF(ERP导入清单!$X$5:$X$204,179)=0,"",INDEX(ERP导入清单!Q:Q,IFERROR(MATCH(179,ERP导入清单!$X$5:$X$204,0)+4,"")))</f>
        <v/>
      </c>
      <c r="R183" s="59" t="str">
        <f>IF(COUNTIF(ERP导入清单!$X$5:$X$204,179)=0,"",INDEX(ERP导入清单!R:R,IFERROR(MATCH(179,ERP导入清单!$X$5:$X$204,0)+4,"")))</f>
        <v/>
      </c>
      <c r="S183" s="37" t="str">
        <f>IF(COUNTIF(ERP导入清单!$X$5:$X$204,179)=0,"",INDEX(ERP导入清单!S:S,IFERROR(MATCH(179,ERP导入清单!$X$5:$X$204,0)+4,"")))</f>
        <v/>
      </c>
      <c r="T183" s="37" t="str">
        <f>IF(COUNTIF(ERP导入清单!$X$5:$X$204,179)=0,"",INDEX(ERP导入清单!T:T,IFERROR(MATCH(179,ERP导入清单!$X$5:$X$204,0)+4,"")))</f>
        <v/>
      </c>
      <c r="U183" s="37" t="str">
        <f>IF(COUNTIF(ERP导入清单!$X$5:$X$204,179)=0,"",INDEX(ERP导入清单!U:U,IFERROR(MATCH(179,ERP导入清单!$X$5:$X$204,0)+4,"")))</f>
        <v/>
      </c>
      <c r="V183" s="38" t="str">
        <f>IF(COUNTIF(ERP导入清单!$X$5:$X$204,179)=0,"",INDEX(ERP导入清单!V:V,IFERROR(MATCH(179,ERP导入清单!$X$5:$X$204,0)+4,"")))</f>
        <v/>
      </c>
      <c r="W183" s="50" t="str">
        <f>IF(COUNTIF(ERP导入清单!$X$5:$X$204,179)=0,"",INDEX(ERP导入清单!W:W,IFERROR(MATCH(179,ERP导入清单!$X$5:$X$204,0)+4,"")))</f>
        <v/>
      </c>
    </row>
    <row r="184" spans="1:23" ht="24" customHeight="1">
      <c r="A184" s="55" t="str">
        <f>IF(COUNTIF(ERP导入清单!$X$5:$X$204,180)=0,"",INDEX(ERP导入清单!A:A,IFERROR(MATCH(180,ERP导入清单!$X$5:$X$204,0)+4,"")))</f>
        <v/>
      </c>
      <c r="B184" s="37" t="str">
        <f>IF(COUNTIF(ERP导入清单!$X$5:$X$204,180)=0,"",INDEX(ERP导入清单!B:B,IFERROR(MATCH(180,ERP导入清单!$X$5:$X$204,0)+4,"")))</f>
        <v/>
      </c>
      <c r="C184" s="38" t="str">
        <f>IF(COUNTIF(ERP导入清单!$X$5:$X$204,180)=0,"",INDEX(ERP导入清单!C:C,IFERROR(MATCH(180,ERP导入清单!$X$5:$X$204,0)+4,"")))</f>
        <v/>
      </c>
      <c r="D184" s="37" t="str">
        <f>IF(COUNTIF(ERP导入清单!$X$5:$X$204,180)=0,"",INDEX(ERP导入清单!D:D,IFERROR(MATCH(180,ERP导入清单!$X$5:$X$204,0)+4,"")))</f>
        <v/>
      </c>
      <c r="E184" s="37" t="str">
        <f>IF(COUNTIF(ERP导入清单!$X$5:$X$204,180)=0,"",INDEX(ERP导入清单!E:E,IFERROR(MATCH(180,ERP导入清单!$X$5:$X$204,0)+4,"")))</f>
        <v/>
      </c>
      <c r="F184" s="37" t="str">
        <f>IF(COUNTIF(ERP导入清单!$X$5:$X$204,180)=0,"",INDEX(ERP导入清单!F:F,IFERROR(MATCH(180,ERP导入清单!$X$5:$X$204,0)+4,"")))</f>
        <v/>
      </c>
      <c r="G184" s="57" t="str">
        <f>IF(COUNTIF(ERP导入清单!$X$5:$X$204,180)=0,"",INDEX(ERP导入清单!G:G,IFERROR(MATCH(180,ERP导入清单!$X$5:$X$204,0)+4,"")))</f>
        <v/>
      </c>
      <c r="H184" s="37" t="str">
        <f>IF(COUNTIF(ERP导入清单!$X$5:$X$204,180)=0,"",INDEX(ERP导入清单!H:H,IFERROR(MATCH(180,ERP导入清单!$X$5:$X$204,0)+4,"")))</f>
        <v/>
      </c>
      <c r="I184" s="57" t="str">
        <f>IF(COUNTIF(ERP导入清单!$X$5:$X$204,180)=0,"",INDEX(ERP导入清单!I:I,IFERROR(MATCH(180,ERP导入清单!$X$5:$X$204,0)+4,"")))</f>
        <v/>
      </c>
      <c r="J184" s="57" t="str">
        <f>IF(COUNTIF(ERP导入清单!$X$5:$X$204,180)=0,"",INDEX(ERP导入清单!J:J,IFERROR(MATCH(180,ERP导入清单!$X$5:$X$204,0)+4,"")))</f>
        <v/>
      </c>
      <c r="K184" s="37" t="str">
        <f>IF(COUNTIF(ERP导入清单!$X$5:$X$204,180)=0,"",INDEX(ERP导入清单!K:K,IFERROR(MATCH(180,ERP导入清单!$X$5:$X$204,0)+4,"")))</f>
        <v/>
      </c>
      <c r="L184" s="37" t="str">
        <f>IF(COUNTIF(ERP导入清单!$X$5:$X$204,180)=0,"",INDEX(ERP导入清单!L:L,IFERROR(MATCH(180,ERP导入清单!$X$5:$X$204,0)+4,"")))</f>
        <v/>
      </c>
      <c r="M184" s="37" t="str">
        <f>IF(COUNTIF(ERP导入清单!$X$5:$X$204,180)=0,"",INDEX(ERP导入清单!M:M,IFERROR(MATCH(180,ERP导入清单!$X$5:$X$204,0)+4,"")))</f>
        <v/>
      </c>
      <c r="N184" s="37" t="str">
        <f>IF(COUNTIF(ERP导入清单!$X$5:$X$204,180)=0,"",INDEX(ERP导入清单!N:N,IFERROR(MATCH(180,ERP导入清单!$X$5:$X$204,0)+4,"")))</f>
        <v/>
      </c>
      <c r="O184" s="37" t="str">
        <f>IF(COUNTIF(ERP导入清单!$X$5:$X$204,180)=0,"",INDEX(ERP导入清单!O:O,IFERROR(MATCH(180,ERP导入清单!$X$5:$X$204,0)+4,"")))</f>
        <v/>
      </c>
      <c r="P184" s="39" t="str">
        <f>IF(COUNTIF(ERP导入清单!$X$5:$X$204,180)=0,"",INDEX(ERP导入清单!P:P,IFERROR(MATCH(180,ERP导入清单!$X$5:$X$204,0)+4,"")))</f>
        <v/>
      </c>
      <c r="Q184" s="39" t="str">
        <f>IF(COUNTIF(ERP导入清单!$X$5:$X$204,180)=0,"",INDEX(ERP导入清单!Q:Q,IFERROR(MATCH(180,ERP导入清单!$X$5:$X$204,0)+4,"")))</f>
        <v/>
      </c>
      <c r="R184" s="59" t="str">
        <f>IF(COUNTIF(ERP导入清单!$X$5:$X$204,180)=0,"",INDEX(ERP导入清单!R:R,IFERROR(MATCH(180,ERP导入清单!$X$5:$X$204,0)+4,"")))</f>
        <v/>
      </c>
      <c r="S184" s="37" t="str">
        <f>IF(COUNTIF(ERP导入清单!$X$5:$X$204,180)=0,"",INDEX(ERP导入清单!S:S,IFERROR(MATCH(180,ERP导入清单!$X$5:$X$204,0)+4,"")))</f>
        <v/>
      </c>
      <c r="T184" s="37" t="str">
        <f>IF(COUNTIF(ERP导入清单!$X$5:$X$204,180)=0,"",INDEX(ERP导入清单!T:T,IFERROR(MATCH(180,ERP导入清单!$X$5:$X$204,0)+4,"")))</f>
        <v/>
      </c>
      <c r="U184" s="37" t="str">
        <f>IF(COUNTIF(ERP导入清单!$X$5:$X$204,180)=0,"",INDEX(ERP导入清单!U:U,IFERROR(MATCH(180,ERP导入清单!$X$5:$X$204,0)+4,"")))</f>
        <v/>
      </c>
      <c r="V184" s="38" t="str">
        <f>IF(COUNTIF(ERP导入清单!$X$5:$X$204,180)=0,"",INDEX(ERP导入清单!V:V,IFERROR(MATCH(180,ERP导入清单!$X$5:$X$204,0)+4,"")))</f>
        <v/>
      </c>
      <c r="W184" s="50" t="str">
        <f>IF(COUNTIF(ERP导入清单!$X$5:$X$204,180)=0,"",INDEX(ERP导入清单!W:W,IFERROR(MATCH(180,ERP导入清单!$X$5:$X$204,0)+4,"")))</f>
        <v/>
      </c>
    </row>
    <row r="185" spans="1:23" ht="24" customHeight="1">
      <c r="A185" s="55" t="str">
        <f>IF(COUNTIF(ERP导入清单!$X$5:$X$204,181)=0,"",INDEX(ERP导入清单!A:A,IFERROR(MATCH(181,ERP导入清单!$X$5:$X$204,0)+4,"")))</f>
        <v/>
      </c>
      <c r="B185" s="37" t="str">
        <f>IF(COUNTIF(ERP导入清单!$X$5:$X$204,181)=0,"",INDEX(ERP导入清单!B:B,IFERROR(MATCH(181,ERP导入清单!$X$5:$X$204,0)+4,"")))</f>
        <v/>
      </c>
      <c r="C185" s="38" t="str">
        <f>IF(COUNTIF(ERP导入清单!$X$5:$X$204,181)=0,"",INDEX(ERP导入清单!C:C,IFERROR(MATCH(181,ERP导入清单!$X$5:$X$204,0)+4,"")))</f>
        <v/>
      </c>
      <c r="D185" s="37" t="str">
        <f>IF(COUNTIF(ERP导入清单!$X$5:$X$204,181)=0,"",INDEX(ERP导入清单!D:D,IFERROR(MATCH(181,ERP导入清单!$X$5:$X$204,0)+4,"")))</f>
        <v/>
      </c>
      <c r="E185" s="37" t="str">
        <f>IF(COUNTIF(ERP导入清单!$X$5:$X$204,181)=0,"",INDEX(ERP导入清单!E:E,IFERROR(MATCH(181,ERP导入清单!$X$5:$X$204,0)+4,"")))</f>
        <v/>
      </c>
      <c r="F185" s="37" t="str">
        <f>IF(COUNTIF(ERP导入清单!$X$5:$X$204,181)=0,"",INDEX(ERP导入清单!F:F,IFERROR(MATCH(181,ERP导入清单!$X$5:$X$204,0)+4,"")))</f>
        <v/>
      </c>
      <c r="G185" s="57" t="str">
        <f>IF(COUNTIF(ERP导入清单!$X$5:$X$204,181)=0,"",INDEX(ERP导入清单!G:G,IFERROR(MATCH(181,ERP导入清单!$X$5:$X$204,0)+4,"")))</f>
        <v/>
      </c>
      <c r="H185" s="37" t="str">
        <f>IF(COUNTIF(ERP导入清单!$X$5:$X$204,181)=0,"",INDEX(ERP导入清单!H:H,IFERROR(MATCH(181,ERP导入清单!$X$5:$X$204,0)+4,"")))</f>
        <v/>
      </c>
      <c r="I185" s="57" t="str">
        <f>IF(COUNTIF(ERP导入清单!$X$5:$X$204,181)=0,"",INDEX(ERP导入清单!I:I,IFERROR(MATCH(181,ERP导入清单!$X$5:$X$204,0)+4,"")))</f>
        <v/>
      </c>
      <c r="J185" s="57" t="str">
        <f>IF(COUNTIF(ERP导入清单!$X$5:$X$204,181)=0,"",INDEX(ERP导入清单!J:J,IFERROR(MATCH(181,ERP导入清单!$X$5:$X$204,0)+4,"")))</f>
        <v/>
      </c>
      <c r="K185" s="37" t="str">
        <f>IF(COUNTIF(ERP导入清单!$X$5:$X$204,181)=0,"",INDEX(ERP导入清单!K:K,IFERROR(MATCH(181,ERP导入清单!$X$5:$X$204,0)+4,"")))</f>
        <v/>
      </c>
      <c r="L185" s="37" t="str">
        <f>IF(COUNTIF(ERP导入清单!$X$5:$X$204,181)=0,"",INDEX(ERP导入清单!L:L,IFERROR(MATCH(181,ERP导入清单!$X$5:$X$204,0)+4,"")))</f>
        <v/>
      </c>
      <c r="M185" s="37" t="str">
        <f>IF(COUNTIF(ERP导入清单!$X$5:$X$204,181)=0,"",INDEX(ERP导入清单!M:M,IFERROR(MATCH(181,ERP导入清单!$X$5:$X$204,0)+4,"")))</f>
        <v/>
      </c>
      <c r="N185" s="37" t="str">
        <f>IF(COUNTIF(ERP导入清单!$X$5:$X$204,181)=0,"",INDEX(ERP导入清单!N:N,IFERROR(MATCH(181,ERP导入清单!$X$5:$X$204,0)+4,"")))</f>
        <v/>
      </c>
      <c r="O185" s="37" t="str">
        <f>IF(COUNTIF(ERP导入清单!$X$5:$X$204,181)=0,"",INDEX(ERP导入清单!O:O,IFERROR(MATCH(181,ERP导入清单!$X$5:$X$204,0)+4,"")))</f>
        <v/>
      </c>
      <c r="P185" s="39" t="str">
        <f>IF(COUNTIF(ERP导入清单!$X$5:$X$204,181)=0,"",INDEX(ERP导入清单!P:P,IFERROR(MATCH(181,ERP导入清单!$X$5:$X$204,0)+4,"")))</f>
        <v/>
      </c>
      <c r="Q185" s="39" t="str">
        <f>IF(COUNTIF(ERP导入清单!$X$5:$X$204,181)=0,"",INDEX(ERP导入清单!Q:Q,IFERROR(MATCH(181,ERP导入清单!$X$5:$X$204,0)+4,"")))</f>
        <v/>
      </c>
      <c r="R185" s="59" t="str">
        <f>IF(COUNTIF(ERP导入清单!$X$5:$X$204,181)=0,"",INDEX(ERP导入清单!R:R,IFERROR(MATCH(181,ERP导入清单!$X$5:$X$204,0)+4,"")))</f>
        <v/>
      </c>
      <c r="S185" s="37" t="str">
        <f>IF(COUNTIF(ERP导入清单!$X$5:$X$204,181)=0,"",INDEX(ERP导入清单!S:S,IFERROR(MATCH(181,ERP导入清单!$X$5:$X$204,0)+4,"")))</f>
        <v/>
      </c>
      <c r="T185" s="37" t="str">
        <f>IF(COUNTIF(ERP导入清单!$X$5:$X$204,181)=0,"",INDEX(ERP导入清单!T:T,IFERROR(MATCH(181,ERP导入清单!$X$5:$X$204,0)+4,"")))</f>
        <v/>
      </c>
      <c r="U185" s="37" t="str">
        <f>IF(COUNTIF(ERP导入清单!$X$5:$X$204,181)=0,"",INDEX(ERP导入清单!U:U,IFERROR(MATCH(181,ERP导入清单!$X$5:$X$204,0)+4,"")))</f>
        <v/>
      </c>
      <c r="V185" s="38" t="str">
        <f>IF(COUNTIF(ERP导入清单!$X$5:$X$204,181)=0,"",INDEX(ERP导入清单!V:V,IFERROR(MATCH(181,ERP导入清单!$X$5:$X$204,0)+4,"")))</f>
        <v/>
      </c>
      <c r="W185" s="50" t="str">
        <f>IF(COUNTIF(ERP导入清单!$X$5:$X$204,181)=0,"",INDEX(ERP导入清单!W:W,IFERROR(MATCH(181,ERP导入清单!$X$5:$X$204,0)+4,"")))</f>
        <v/>
      </c>
    </row>
    <row r="186" spans="1:23" ht="24" customHeight="1">
      <c r="A186" s="55" t="str">
        <f>IF(COUNTIF(ERP导入清单!$X$5:$X$204,182)=0,"",INDEX(ERP导入清单!A:A,IFERROR(MATCH(182,ERP导入清单!$X$5:$X$204,0)+4,"")))</f>
        <v/>
      </c>
      <c r="B186" s="37" t="str">
        <f>IF(COUNTIF(ERP导入清单!$X$5:$X$204,182)=0,"",INDEX(ERP导入清单!B:B,IFERROR(MATCH(182,ERP导入清单!$X$5:$X$204,0)+4,"")))</f>
        <v/>
      </c>
      <c r="C186" s="38" t="str">
        <f>IF(COUNTIF(ERP导入清单!$X$5:$X$204,182)=0,"",INDEX(ERP导入清单!C:C,IFERROR(MATCH(182,ERP导入清单!$X$5:$X$204,0)+4,"")))</f>
        <v/>
      </c>
      <c r="D186" s="37" t="str">
        <f>IF(COUNTIF(ERP导入清单!$X$5:$X$204,182)=0,"",INDEX(ERP导入清单!D:D,IFERROR(MATCH(182,ERP导入清单!$X$5:$X$204,0)+4,"")))</f>
        <v/>
      </c>
      <c r="E186" s="37" t="str">
        <f>IF(COUNTIF(ERP导入清单!$X$5:$X$204,182)=0,"",INDEX(ERP导入清单!E:E,IFERROR(MATCH(182,ERP导入清单!$X$5:$X$204,0)+4,"")))</f>
        <v/>
      </c>
      <c r="F186" s="37" t="str">
        <f>IF(COUNTIF(ERP导入清单!$X$5:$X$204,182)=0,"",INDEX(ERP导入清单!F:F,IFERROR(MATCH(182,ERP导入清单!$X$5:$X$204,0)+4,"")))</f>
        <v/>
      </c>
      <c r="G186" s="57" t="str">
        <f>IF(COUNTIF(ERP导入清单!$X$5:$X$204,182)=0,"",INDEX(ERP导入清单!G:G,IFERROR(MATCH(182,ERP导入清单!$X$5:$X$204,0)+4,"")))</f>
        <v/>
      </c>
      <c r="H186" s="37" t="str">
        <f>IF(COUNTIF(ERP导入清单!$X$5:$X$204,182)=0,"",INDEX(ERP导入清单!H:H,IFERROR(MATCH(182,ERP导入清单!$X$5:$X$204,0)+4,"")))</f>
        <v/>
      </c>
      <c r="I186" s="57" t="str">
        <f>IF(COUNTIF(ERP导入清单!$X$5:$X$204,182)=0,"",INDEX(ERP导入清单!I:I,IFERROR(MATCH(182,ERP导入清单!$X$5:$X$204,0)+4,"")))</f>
        <v/>
      </c>
      <c r="J186" s="57" t="str">
        <f>IF(COUNTIF(ERP导入清单!$X$5:$X$204,182)=0,"",INDEX(ERP导入清单!J:J,IFERROR(MATCH(182,ERP导入清单!$X$5:$X$204,0)+4,"")))</f>
        <v/>
      </c>
      <c r="K186" s="37" t="str">
        <f>IF(COUNTIF(ERP导入清单!$X$5:$X$204,182)=0,"",INDEX(ERP导入清单!K:K,IFERROR(MATCH(182,ERP导入清单!$X$5:$X$204,0)+4,"")))</f>
        <v/>
      </c>
      <c r="L186" s="37" t="str">
        <f>IF(COUNTIF(ERP导入清单!$X$5:$X$204,182)=0,"",INDEX(ERP导入清单!L:L,IFERROR(MATCH(182,ERP导入清单!$X$5:$X$204,0)+4,"")))</f>
        <v/>
      </c>
      <c r="M186" s="37" t="str">
        <f>IF(COUNTIF(ERP导入清单!$X$5:$X$204,182)=0,"",INDEX(ERP导入清单!M:M,IFERROR(MATCH(182,ERP导入清单!$X$5:$X$204,0)+4,"")))</f>
        <v/>
      </c>
      <c r="N186" s="37" t="str">
        <f>IF(COUNTIF(ERP导入清单!$X$5:$X$204,182)=0,"",INDEX(ERP导入清单!N:N,IFERROR(MATCH(182,ERP导入清单!$X$5:$X$204,0)+4,"")))</f>
        <v/>
      </c>
      <c r="O186" s="37" t="str">
        <f>IF(COUNTIF(ERP导入清单!$X$5:$X$204,182)=0,"",INDEX(ERP导入清单!O:O,IFERROR(MATCH(182,ERP导入清单!$X$5:$X$204,0)+4,"")))</f>
        <v/>
      </c>
      <c r="P186" s="39" t="str">
        <f>IF(COUNTIF(ERP导入清单!$X$5:$X$204,182)=0,"",INDEX(ERP导入清单!P:P,IFERROR(MATCH(182,ERP导入清单!$X$5:$X$204,0)+4,"")))</f>
        <v/>
      </c>
      <c r="Q186" s="39" t="str">
        <f>IF(COUNTIF(ERP导入清单!$X$5:$X$204,182)=0,"",INDEX(ERP导入清单!Q:Q,IFERROR(MATCH(182,ERP导入清单!$X$5:$X$204,0)+4,"")))</f>
        <v/>
      </c>
      <c r="R186" s="59" t="str">
        <f>IF(COUNTIF(ERP导入清单!$X$5:$X$204,182)=0,"",INDEX(ERP导入清单!R:R,IFERROR(MATCH(182,ERP导入清单!$X$5:$X$204,0)+4,"")))</f>
        <v/>
      </c>
      <c r="S186" s="37" t="str">
        <f>IF(COUNTIF(ERP导入清单!$X$5:$X$204,182)=0,"",INDEX(ERP导入清单!S:S,IFERROR(MATCH(182,ERP导入清单!$X$5:$X$204,0)+4,"")))</f>
        <v/>
      </c>
      <c r="T186" s="37" t="str">
        <f>IF(COUNTIF(ERP导入清单!$X$5:$X$204,182)=0,"",INDEX(ERP导入清单!T:T,IFERROR(MATCH(182,ERP导入清单!$X$5:$X$204,0)+4,"")))</f>
        <v/>
      </c>
      <c r="U186" s="37" t="str">
        <f>IF(COUNTIF(ERP导入清单!$X$5:$X$204,182)=0,"",INDEX(ERP导入清单!U:U,IFERROR(MATCH(182,ERP导入清单!$X$5:$X$204,0)+4,"")))</f>
        <v/>
      </c>
      <c r="V186" s="38" t="str">
        <f>IF(COUNTIF(ERP导入清单!$X$5:$X$204,182)=0,"",INDEX(ERP导入清单!V:V,IFERROR(MATCH(182,ERP导入清单!$X$5:$X$204,0)+4,"")))</f>
        <v/>
      </c>
      <c r="W186" s="50" t="str">
        <f>IF(COUNTIF(ERP导入清单!$X$5:$X$204,182)=0,"",INDEX(ERP导入清单!W:W,IFERROR(MATCH(182,ERP导入清单!$X$5:$X$204,0)+4,"")))</f>
        <v/>
      </c>
    </row>
    <row r="187" spans="1:23" ht="24" customHeight="1">
      <c r="A187" s="55" t="str">
        <f>IF(COUNTIF(ERP导入清单!$X$5:$X$204,183)=0,"",INDEX(ERP导入清单!A:A,IFERROR(MATCH(183,ERP导入清单!$X$5:$X$204,0)+4,"")))</f>
        <v/>
      </c>
      <c r="B187" s="37" t="str">
        <f>IF(COUNTIF(ERP导入清单!$X$5:$X$204,183)=0,"",INDEX(ERP导入清单!B:B,IFERROR(MATCH(183,ERP导入清单!$X$5:$X$204,0)+4,"")))</f>
        <v/>
      </c>
      <c r="C187" s="38" t="str">
        <f>IF(COUNTIF(ERP导入清单!$X$5:$X$204,183)=0,"",INDEX(ERP导入清单!C:C,IFERROR(MATCH(183,ERP导入清单!$X$5:$X$204,0)+4,"")))</f>
        <v/>
      </c>
      <c r="D187" s="37" t="str">
        <f>IF(COUNTIF(ERP导入清单!$X$5:$X$204,183)=0,"",INDEX(ERP导入清单!D:D,IFERROR(MATCH(183,ERP导入清单!$X$5:$X$204,0)+4,"")))</f>
        <v/>
      </c>
      <c r="E187" s="37" t="str">
        <f>IF(COUNTIF(ERP导入清单!$X$5:$X$204,183)=0,"",INDEX(ERP导入清单!E:E,IFERROR(MATCH(183,ERP导入清单!$X$5:$X$204,0)+4,"")))</f>
        <v/>
      </c>
      <c r="F187" s="37" t="str">
        <f>IF(COUNTIF(ERP导入清单!$X$5:$X$204,183)=0,"",INDEX(ERP导入清单!F:F,IFERROR(MATCH(183,ERP导入清单!$X$5:$X$204,0)+4,"")))</f>
        <v/>
      </c>
      <c r="G187" s="57" t="str">
        <f>IF(COUNTIF(ERP导入清单!$X$5:$X$204,183)=0,"",INDEX(ERP导入清单!G:G,IFERROR(MATCH(183,ERP导入清单!$X$5:$X$204,0)+4,"")))</f>
        <v/>
      </c>
      <c r="H187" s="37" t="str">
        <f>IF(COUNTIF(ERP导入清单!$X$5:$X$204,183)=0,"",INDEX(ERP导入清单!H:H,IFERROR(MATCH(183,ERP导入清单!$X$5:$X$204,0)+4,"")))</f>
        <v/>
      </c>
      <c r="I187" s="57" t="str">
        <f>IF(COUNTIF(ERP导入清单!$X$5:$X$204,183)=0,"",INDEX(ERP导入清单!I:I,IFERROR(MATCH(183,ERP导入清单!$X$5:$X$204,0)+4,"")))</f>
        <v/>
      </c>
      <c r="J187" s="57" t="str">
        <f>IF(COUNTIF(ERP导入清单!$X$5:$X$204,183)=0,"",INDEX(ERP导入清单!J:J,IFERROR(MATCH(183,ERP导入清单!$X$5:$X$204,0)+4,"")))</f>
        <v/>
      </c>
      <c r="K187" s="37" t="str">
        <f>IF(COUNTIF(ERP导入清单!$X$5:$X$204,183)=0,"",INDEX(ERP导入清单!K:K,IFERROR(MATCH(183,ERP导入清单!$X$5:$X$204,0)+4,"")))</f>
        <v/>
      </c>
      <c r="L187" s="37" t="str">
        <f>IF(COUNTIF(ERP导入清单!$X$5:$X$204,183)=0,"",INDEX(ERP导入清单!L:L,IFERROR(MATCH(183,ERP导入清单!$X$5:$X$204,0)+4,"")))</f>
        <v/>
      </c>
      <c r="M187" s="37" t="str">
        <f>IF(COUNTIF(ERP导入清单!$X$5:$X$204,183)=0,"",INDEX(ERP导入清单!M:M,IFERROR(MATCH(183,ERP导入清单!$X$5:$X$204,0)+4,"")))</f>
        <v/>
      </c>
      <c r="N187" s="37" t="str">
        <f>IF(COUNTIF(ERP导入清单!$X$5:$X$204,183)=0,"",INDEX(ERP导入清单!N:N,IFERROR(MATCH(183,ERP导入清单!$X$5:$X$204,0)+4,"")))</f>
        <v/>
      </c>
      <c r="O187" s="37" t="str">
        <f>IF(COUNTIF(ERP导入清单!$X$5:$X$204,183)=0,"",INDEX(ERP导入清单!O:O,IFERROR(MATCH(183,ERP导入清单!$X$5:$X$204,0)+4,"")))</f>
        <v/>
      </c>
      <c r="P187" s="39" t="str">
        <f>IF(COUNTIF(ERP导入清单!$X$5:$X$204,183)=0,"",INDEX(ERP导入清单!P:P,IFERROR(MATCH(183,ERP导入清单!$X$5:$X$204,0)+4,"")))</f>
        <v/>
      </c>
      <c r="Q187" s="39" t="str">
        <f>IF(COUNTIF(ERP导入清单!$X$5:$X$204,183)=0,"",INDEX(ERP导入清单!Q:Q,IFERROR(MATCH(183,ERP导入清单!$X$5:$X$204,0)+4,"")))</f>
        <v/>
      </c>
      <c r="R187" s="59" t="str">
        <f>IF(COUNTIF(ERP导入清单!$X$5:$X$204,183)=0,"",INDEX(ERP导入清单!R:R,IFERROR(MATCH(183,ERP导入清单!$X$5:$X$204,0)+4,"")))</f>
        <v/>
      </c>
      <c r="S187" s="37" t="str">
        <f>IF(COUNTIF(ERP导入清单!$X$5:$X$204,183)=0,"",INDEX(ERP导入清单!S:S,IFERROR(MATCH(183,ERP导入清单!$X$5:$X$204,0)+4,"")))</f>
        <v/>
      </c>
      <c r="T187" s="37" t="str">
        <f>IF(COUNTIF(ERP导入清单!$X$5:$X$204,183)=0,"",INDEX(ERP导入清单!T:T,IFERROR(MATCH(183,ERP导入清单!$X$5:$X$204,0)+4,"")))</f>
        <v/>
      </c>
      <c r="U187" s="37" t="str">
        <f>IF(COUNTIF(ERP导入清单!$X$5:$X$204,183)=0,"",INDEX(ERP导入清单!U:U,IFERROR(MATCH(183,ERP导入清单!$X$5:$X$204,0)+4,"")))</f>
        <v/>
      </c>
      <c r="V187" s="38" t="str">
        <f>IF(COUNTIF(ERP导入清单!$X$5:$X$204,183)=0,"",INDEX(ERP导入清单!V:V,IFERROR(MATCH(183,ERP导入清单!$X$5:$X$204,0)+4,"")))</f>
        <v/>
      </c>
      <c r="W187" s="50" t="str">
        <f>IF(COUNTIF(ERP导入清单!$X$5:$X$204,183)=0,"",INDEX(ERP导入清单!W:W,IFERROR(MATCH(183,ERP导入清单!$X$5:$X$204,0)+4,"")))</f>
        <v/>
      </c>
    </row>
    <row r="188" spans="1:23" ht="24" customHeight="1">
      <c r="A188" s="55" t="str">
        <f>IF(COUNTIF(ERP导入清单!$X$5:$X$204,184)=0,"",INDEX(ERP导入清单!A:A,IFERROR(MATCH(184,ERP导入清单!$X$5:$X$204,0)+4,"")))</f>
        <v/>
      </c>
      <c r="B188" s="37" t="str">
        <f>IF(COUNTIF(ERP导入清单!$X$5:$X$204,184)=0,"",INDEX(ERP导入清单!B:B,IFERROR(MATCH(184,ERP导入清单!$X$5:$X$204,0)+4,"")))</f>
        <v/>
      </c>
      <c r="C188" s="38" t="str">
        <f>IF(COUNTIF(ERP导入清单!$X$5:$X$204,184)=0,"",INDEX(ERP导入清单!C:C,IFERROR(MATCH(184,ERP导入清单!$X$5:$X$204,0)+4,"")))</f>
        <v/>
      </c>
      <c r="D188" s="37" t="str">
        <f>IF(COUNTIF(ERP导入清单!$X$5:$X$204,184)=0,"",INDEX(ERP导入清单!D:D,IFERROR(MATCH(184,ERP导入清单!$X$5:$X$204,0)+4,"")))</f>
        <v/>
      </c>
      <c r="E188" s="37" t="str">
        <f>IF(COUNTIF(ERP导入清单!$X$5:$X$204,184)=0,"",INDEX(ERP导入清单!E:E,IFERROR(MATCH(184,ERP导入清单!$X$5:$X$204,0)+4,"")))</f>
        <v/>
      </c>
      <c r="F188" s="37" t="str">
        <f>IF(COUNTIF(ERP导入清单!$X$5:$X$204,184)=0,"",INDEX(ERP导入清单!F:F,IFERROR(MATCH(184,ERP导入清单!$X$5:$X$204,0)+4,"")))</f>
        <v/>
      </c>
      <c r="G188" s="57" t="str">
        <f>IF(COUNTIF(ERP导入清单!$X$5:$X$204,184)=0,"",INDEX(ERP导入清单!G:G,IFERROR(MATCH(184,ERP导入清单!$X$5:$X$204,0)+4,"")))</f>
        <v/>
      </c>
      <c r="H188" s="37" t="str">
        <f>IF(COUNTIF(ERP导入清单!$X$5:$X$204,184)=0,"",INDEX(ERP导入清单!H:H,IFERROR(MATCH(184,ERP导入清单!$X$5:$X$204,0)+4,"")))</f>
        <v/>
      </c>
      <c r="I188" s="57" t="str">
        <f>IF(COUNTIF(ERP导入清单!$X$5:$X$204,184)=0,"",INDEX(ERP导入清单!I:I,IFERROR(MATCH(184,ERP导入清单!$X$5:$X$204,0)+4,"")))</f>
        <v/>
      </c>
      <c r="J188" s="57" t="str">
        <f>IF(COUNTIF(ERP导入清单!$X$5:$X$204,184)=0,"",INDEX(ERP导入清单!J:J,IFERROR(MATCH(184,ERP导入清单!$X$5:$X$204,0)+4,"")))</f>
        <v/>
      </c>
      <c r="K188" s="37" t="str">
        <f>IF(COUNTIF(ERP导入清单!$X$5:$X$204,184)=0,"",INDEX(ERP导入清单!K:K,IFERROR(MATCH(184,ERP导入清单!$X$5:$X$204,0)+4,"")))</f>
        <v/>
      </c>
      <c r="L188" s="37" t="str">
        <f>IF(COUNTIF(ERP导入清单!$X$5:$X$204,184)=0,"",INDEX(ERP导入清单!L:L,IFERROR(MATCH(184,ERP导入清单!$X$5:$X$204,0)+4,"")))</f>
        <v/>
      </c>
      <c r="M188" s="37" t="str">
        <f>IF(COUNTIF(ERP导入清单!$X$5:$X$204,184)=0,"",INDEX(ERP导入清单!M:M,IFERROR(MATCH(184,ERP导入清单!$X$5:$X$204,0)+4,"")))</f>
        <v/>
      </c>
      <c r="N188" s="37" t="str">
        <f>IF(COUNTIF(ERP导入清单!$X$5:$X$204,184)=0,"",INDEX(ERP导入清单!N:N,IFERROR(MATCH(184,ERP导入清单!$X$5:$X$204,0)+4,"")))</f>
        <v/>
      </c>
      <c r="O188" s="37" t="str">
        <f>IF(COUNTIF(ERP导入清单!$X$5:$X$204,184)=0,"",INDEX(ERP导入清单!O:O,IFERROR(MATCH(184,ERP导入清单!$X$5:$X$204,0)+4,"")))</f>
        <v/>
      </c>
      <c r="P188" s="39" t="str">
        <f>IF(COUNTIF(ERP导入清单!$X$5:$X$204,184)=0,"",INDEX(ERP导入清单!P:P,IFERROR(MATCH(184,ERP导入清单!$X$5:$X$204,0)+4,"")))</f>
        <v/>
      </c>
      <c r="Q188" s="39" t="str">
        <f>IF(COUNTIF(ERP导入清单!$X$5:$X$204,184)=0,"",INDEX(ERP导入清单!Q:Q,IFERROR(MATCH(184,ERP导入清单!$X$5:$X$204,0)+4,"")))</f>
        <v/>
      </c>
      <c r="R188" s="59" t="str">
        <f>IF(COUNTIF(ERP导入清单!$X$5:$X$204,184)=0,"",INDEX(ERP导入清单!R:R,IFERROR(MATCH(184,ERP导入清单!$X$5:$X$204,0)+4,"")))</f>
        <v/>
      </c>
      <c r="S188" s="37" t="str">
        <f>IF(COUNTIF(ERP导入清单!$X$5:$X$204,184)=0,"",INDEX(ERP导入清单!S:S,IFERROR(MATCH(184,ERP导入清单!$X$5:$X$204,0)+4,"")))</f>
        <v/>
      </c>
      <c r="T188" s="37" t="str">
        <f>IF(COUNTIF(ERP导入清单!$X$5:$X$204,184)=0,"",INDEX(ERP导入清单!T:T,IFERROR(MATCH(184,ERP导入清单!$X$5:$X$204,0)+4,"")))</f>
        <v/>
      </c>
      <c r="U188" s="37" t="str">
        <f>IF(COUNTIF(ERP导入清单!$X$5:$X$204,184)=0,"",INDEX(ERP导入清单!U:U,IFERROR(MATCH(184,ERP导入清单!$X$5:$X$204,0)+4,"")))</f>
        <v/>
      </c>
      <c r="V188" s="38" t="str">
        <f>IF(COUNTIF(ERP导入清单!$X$5:$X$204,184)=0,"",INDEX(ERP导入清单!V:V,IFERROR(MATCH(184,ERP导入清单!$X$5:$X$204,0)+4,"")))</f>
        <v/>
      </c>
      <c r="W188" s="50" t="str">
        <f>IF(COUNTIF(ERP导入清单!$X$5:$X$204,184)=0,"",INDEX(ERP导入清单!W:W,IFERROR(MATCH(184,ERP导入清单!$X$5:$X$204,0)+4,"")))</f>
        <v/>
      </c>
    </row>
    <row r="189" spans="1:23" ht="24" customHeight="1">
      <c r="A189" s="55" t="str">
        <f>IF(COUNTIF(ERP导入清单!$X$5:$X$204,185)=0,"",INDEX(ERP导入清单!A:A,IFERROR(MATCH(185,ERP导入清单!$X$5:$X$204,0)+4,"")))</f>
        <v/>
      </c>
      <c r="B189" s="37" t="str">
        <f>IF(COUNTIF(ERP导入清单!$X$5:$X$204,185)=0,"",INDEX(ERP导入清单!B:B,IFERROR(MATCH(185,ERP导入清单!$X$5:$X$204,0)+4,"")))</f>
        <v/>
      </c>
      <c r="C189" s="38" t="str">
        <f>IF(COUNTIF(ERP导入清单!$X$5:$X$204,185)=0,"",INDEX(ERP导入清单!C:C,IFERROR(MATCH(185,ERP导入清单!$X$5:$X$204,0)+4,"")))</f>
        <v/>
      </c>
      <c r="D189" s="37" t="str">
        <f>IF(COUNTIF(ERP导入清单!$X$5:$X$204,185)=0,"",INDEX(ERP导入清单!D:D,IFERROR(MATCH(185,ERP导入清单!$X$5:$X$204,0)+4,"")))</f>
        <v/>
      </c>
      <c r="E189" s="37" t="str">
        <f>IF(COUNTIF(ERP导入清单!$X$5:$X$204,185)=0,"",INDEX(ERP导入清单!E:E,IFERROR(MATCH(185,ERP导入清单!$X$5:$X$204,0)+4,"")))</f>
        <v/>
      </c>
      <c r="F189" s="37" t="str">
        <f>IF(COUNTIF(ERP导入清单!$X$5:$X$204,185)=0,"",INDEX(ERP导入清单!F:F,IFERROR(MATCH(185,ERP导入清单!$X$5:$X$204,0)+4,"")))</f>
        <v/>
      </c>
      <c r="G189" s="57" t="str">
        <f>IF(COUNTIF(ERP导入清单!$X$5:$X$204,185)=0,"",INDEX(ERP导入清单!G:G,IFERROR(MATCH(185,ERP导入清单!$X$5:$X$204,0)+4,"")))</f>
        <v/>
      </c>
      <c r="H189" s="37" t="str">
        <f>IF(COUNTIF(ERP导入清单!$X$5:$X$204,185)=0,"",INDEX(ERP导入清单!H:H,IFERROR(MATCH(185,ERP导入清单!$X$5:$X$204,0)+4,"")))</f>
        <v/>
      </c>
      <c r="I189" s="57" t="str">
        <f>IF(COUNTIF(ERP导入清单!$X$5:$X$204,185)=0,"",INDEX(ERP导入清单!I:I,IFERROR(MATCH(185,ERP导入清单!$X$5:$X$204,0)+4,"")))</f>
        <v/>
      </c>
      <c r="J189" s="57" t="str">
        <f>IF(COUNTIF(ERP导入清单!$X$5:$X$204,185)=0,"",INDEX(ERP导入清单!J:J,IFERROR(MATCH(185,ERP导入清单!$X$5:$X$204,0)+4,"")))</f>
        <v/>
      </c>
      <c r="K189" s="37" t="str">
        <f>IF(COUNTIF(ERP导入清单!$X$5:$X$204,185)=0,"",INDEX(ERP导入清单!K:K,IFERROR(MATCH(185,ERP导入清单!$X$5:$X$204,0)+4,"")))</f>
        <v/>
      </c>
      <c r="L189" s="37" t="str">
        <f>IF(COUNTIF(ERP导入清单!$X$5:$X$204,185)=0,"",INDEX(ERP导入清单!L:L,IFERROR(MATCH(185,ERP导入清单!$X$5:$X$204,0)+4,"")))</f>
        <v/>
      </c>
      <c r="M189" s="37" t="str">
        <f>IF(COUNTIF(ERP导入清单!$X$5:$X$204,185)=0,"",INDEX(ERP导入清单!M:M,IFERROR(MATCH(185,ERP导入清单!$X$5:$X$204,0)+4,"")))</f>
        <v/>
      </c>
      <c r="N189" s="37" t="str">
        <f>IF(COUNTIF(ERP导入清单!$X$5:$X$204,185)=0,"",INDEX(ERP导入清单!N:N,IFERROR(MATCH(185,ERP导入清单!$X$5:$X$204,0)+4,"")))</f>
        <v/>
      </c>
      <c r="O189" s="37" t="str">
        <f>IF(COUNTIF(ERP导入清单!$X$5:$X$204,185)=0,"",INDEX(ERP导入清单!O:O,IFERROR(MATCH(185,ERP导入清单!$X$5:$X$204,0)+4,"")))</f>
        <v/>
      </c>
      <c r="P189" s="39" t="str">
        <f>IF(COUNTIF(ERP导入清单!$X$5:$X$204,185)=0,"",INDEX(ERP导入清单!P:P,IFERROR(MATCH(185,ERP导入清单!$X$5:$X$204,0)+4,"")))</f>
        <v/>
      </c>
      <c r="Q189" s="39" t="str">
        <f>IF(COUNTIF(ERP导入清单!$X$5:$X$204,185)=0,"",INDEX(ERP导入清单!Q:Q,IFERROR(MATCH(185,ERP导入清单!$X$5:$X$204,0)+4,"")))</f>
        <v/>
      </c>
      <c r="R189" s="59" t="str">
        <f>IF(COUNTIF(ERP导入清单!$X$5:$X$204,185)=0,"",INDEX(ERP导入清单!R:R,IFERROR(MATCH(185,ERP导入清单!$X$5:$X$204,0)+4,"")))</f>
        <v/>
      </c>
      <c r="S189" s="37" t="str">
        <f>IF(COUNTIF(ERP导入清单!$X$5:$X$204,185)=0,"",INDEX(ERP导入清单!S:S,IFERROR(MATCH(185,ERP导入清单!$X$5:$X$204,0)+4,"")))</f>
        <v/>
      </c>
      <c r="T189" s="37" t="str">
        <f>IF(COUNTIF(ERP导入清单!$X$5:$X$204,185)=0,"",INDEX(ERP导入清单!T:T,IFERROR(MATCH(185,ERP导入清单!$X$5:$X$204,0)+4,"")))</f>
        <v/>
      </c>
      <c r="U189" s="37" t="str">
        <f>IF(COUNTIF(ERP导入清单!$X$5:$X$204,185)=0,"",INDEX(ERP导入清单!U:U,IFERROR(MATCH(185,ERP导入清单!$X$5:$X$204,0)+4,"")))</f>
        <v/>
      </c>
      <c r="V189" s="38" t="str">
        <f>IF(COUNTIF(ERP导入清单!$X$5:$X$204,185)=0,"",INDEX(ERP导入清单!V:V,IFERROR(MATCH(185,ERP导入清单!$X$5:$X$204,0)+4,"")))</f>
        <v/>
      </c>
      <c r="W189" s="50" t="str">
        <f>IF(COUNTIF(ERP导入清单!$X$5:$X$204,185)=0,"",INDEX(ERP导入清单!W:W,IFERROR(MATCH(185,ERP导入清单!$X$5:$X$204,0)+4,"")))</f>
        <v/>
      </c>
    </row>
    <row r="190" spans="1:23" ht="24" customHeight="1">
      <c r="A190" s="55" t="str">
        <f>IF(COUNTIF(ERP导入清单!$X$5:$X$204,186)=0,"",INDEX(ERP导入清单!A:A,IFERROR(MATCH(186,ERP导入清单!$X$5:$X$204,0)+4,"")))</f>
        <v/>
      </c>
      <c r="B190" s="37" t="str">
        <f>IF(COUNTIF(ERP导入清单!$X$5:$X$204,186)=0,"",INDEX(ERP导入清单!B:B,IFERROR(MATCH(186,ERP导入清单!$X$5:$X$204,0)+4,"")))</f>
        <v/>
      </c>
      <c r="C190" s="38" t="str">
        <f>IF(COUNTIF(ERP导入清单!$X$5:$X$204,186)=0,"",INDEX(ERP导入清单!C:C,IFERROR(MATCH(186,ERP导入清单!$X$5:$X$204,0)+4,"")))</f>
        <v/>
      </c>
      <c r="D190" s="37" t="str">
        <f>IF(COUNTIF(ERP导入清单!$X$5:$X$204,186)=0,"",INDEX(ERP导入清单!D:D,IFERROR(MATCH(186,ERP导入清单!$X$5:$X$204,0)+4,"")))</f>
        <v/>
      </c>
      <c r="E190" s="37" t="str">
        <f>IF(COUNTIF(ERP导入清单!$X$5:$X$204,186)=0,"",INDEX(ERP导入清单!E:E,IFERROR(MATCH(186,ERP导入清单!$X$5:$X$204,0)+4,"")))</f>
        <v/>
      </c>
      <c r="F190" s="37" t="str">
        <f>IF(COUNTIF(ERP导入清单!$X$5:$X$204,186)=0,"",INDEX(ERP导入清单!F:F,IFERROR(MATCH(186,ERP导入清单!$X$5:$X$204,0)+4,"")))</f>
        <v/>
      </c>
      <c r="G190" s="57" t="str">
        <f>IF(COUNTIF(ERP导入清单!$X$5:$X$204,186)=0,"",INDEX(ERP导入清单!G:G,IFERROR(MATCH(186,ERP导入清单!$X$5:$X$204,0)+4,"")))</f>
        <v/>
      </c>
      <c r="H190" s="37" t="str">
        <f>IF(COUNTIF(ERP导入清单!$X$5:$X$204,186)=0,"",INDEX(ERP导入清单!H:H,IFERROR(MATCH(186,ERP导入清单!$X$5:$X$204,0)+4,"")))</f>
        <v/>
      </c>
      <c r="I190" s="57" t="str">
        <f>IF(COUNTIF(ERP导入清单!$X$5:$X$204,186)=0,"",INDEX(ERP导入清单!I:I,IFERROR(MATCH(186,ERP导入清单!$X$5:$X$204,0)+4,"")))</f>
        <v/>
      </c>
      <c r="J190" s="57" t="str">
        <f>IF(COUNTIF(ERP导入清单!$X$5:$X$204,186)=0,"",INDEX(ERP导入清单!J:J,IFERROR(MATCH(186,ERP导入清单!$X$5:$X$204,0)+4,"")))</f>
        <v/>
      </c>
      <c r="K190" s="37" t="str">
        <f>IF(COUNTIF(ERP导入清单!$X$5:$X$204,186)=0,"",INDEX(ERP导入清单!K:K,IFERROR(MATCH(186,ERP导入清单!$X$5:$X$204,0)+4,"")))</f>
        <v/>
      </c>
      <c r="L190" s="37" t="str">
        <f>IF(COUNTIF(ERP导入清单!$X$5:$X$204,186)=0,"",INDEX(ERP导入清单!L:L,IFERROR(MATCH(186,ERP导入清单!$X$5:$X$204,0)+4,"")))</f>
        <v/>
      </c>
      <c r="M190" s="37" t="str">
        <f>IF(COUNTIF(ERP导入清单!$X$5:$X$204,186)=0,"",INDEX(ERP导入清单!M:M,IFERROR(MATCH(186,ERP导入清单!$X$5:$X$204,0)+4,"")))</f>
        <v/>
      </c>
      <c r="N190" s="37" t="str">
        <f>IF(COUNTIF(ERP导入清单!$X$5:$X$204,186)=0,"",INDEX(ERP导入清单!N:N,IFERROR(MATCH(186,ERP导入清单!$X$5:$X$204,0)+4,"")))</f>
        <v/>
      </c>
      <c r="O190" s="37" t="str">
        <f>IF(COUNTIF(ERP导入清单!$X$5:$X$204,186)=0,"",INDEX(ERP导入清单!O:O,IFERROR(MATCH(186,ERP导入清单!$X$5:$X$204,0)+4,"")))</f>
        <v/>
      </c>
      <c r="P190" s="39" t="str">
        <f>IF(COUNTIF(ERP导入清单!$X$5:$X$204,186)=0,"",INDEX(ERP导入清单!P:P,IFERROR(MATCH(186,ERP导入清单!$X$5:$X$204,0)+4,"")))</f>
        <v/>
      </c>
      <c r="Q190" s="39" t="str">
        <f>IF(COUNTIF(ERP导入清单!$X$5:$X$204,186)=0,"",INDEX(ERP导入清单!Q:Q,IFERROR(MATCH(186,ERP导入清单!$X$5:$X$204,0)+4,"")))</f>
        <v/>
      </c>
      <c r="R190" s="59" t="str">
        <f>IF(COUNTIF(ERP导入清单!$X$5:$X$204,186)=0,"",INDEX(ERP导入清单!R:R,IFERROR(MATCH(186,ERP导入清单!$X$5:$X$204,0)+4,"")))</f>
        <v/>
      </c>
      <c r="S190" s="37" t="str">
        <f>IF(COUNTIF(ERP导入清单!$X$5:$X$204,186)=0,"",INDEX(ERP导入清单!S:S,IFERROR(MATCH(186,ERP导入清单!$X$5:$X$204,0)+4,"")))</f>
        <v/>
      </c>
      <c r="T190" s="37" t="str">
        <f>IF(COUNTIF(ERP导入清单!$X$5:$X$204,186)=0,"",INDEX(ERP导入清单!T:T,IFERROR(MATCH(186,ERP导入清单!$X$5:$X$204,0)+4,"")))</f>
        <v/>
      </c>
      <c r="U190" s="37" t="str">
        <f>IF(COUNTIF(ERP导入清单!$X$5:$X$204,186)=0,"",INDEX(ERP导入清单!U:U,IFERROR(MATCH(186,ERP导入清单!$X$5:$X$204,0)+4,"")))</f>
        <v/>
      </c>
      <c r="V190" s="38" t="str">
        <f>IF(COUNTIF(ERP导入清单!$X$5:$X$204,186)=0,"",INDEX(ERP导入清单!V:V,IFERROR(MATCH(186,ERP导入清单!$X$5:$X$204,0)+4,"")))</f>
        <v/>
      </c>
      <c r="W190" s="50" t="str">
        <f>IF(COUNTIF(ERP导入清单!$X$5:$X$204,186)=0,"",INDEX(ERP导入清单!W:W,IFERROR(MATCH(186,ERP导入清单!$X$5:$X$204,0)+4,"")))</f>
        <v/>
      </c>
    </row>
    <row r="191" spans="1:23" ht="24" customHeight="1">
      <c r="A191" s="55" t="str">
        <f>IF(COUNTIF(ERP导入清单!$X$5:$X$204,187)=0,"",INDEX(ERP导入清单!A:A,IFERROR(MATCH(187,ERP导入清单!$X$5:$X$204,0)+4,"")))</f>
        <v/>
      </c>
      <c r="B191" s="37" t="str">
        <f>IF(COUNTIF(ERP导入清单!$X$5:$X$204,187)=0,"",INDEX(ERP导入清单!B:B,IFERROR(MATCH(187,ERP导入清单!$X$5:$X$204,0)+4,"")))</f>
        <v/>
      </c>
      <c r="C191" s="38" t="str">
        <f>IF(COUNTIF(ERP导入清单!$X$5:$X$204,187)=0,"",INDEX(ERP导入清单!C:C,IFERROR(MATCH(187,ERP导入清单!$X$5:$X$204,0)+4,"")))</f>
        <v/>
      </c>
      <c r="D191" s="37" t="str">
        <f>IF(COUNTIF(ERP导入清单!$X$5:$X$204,187)=0,"",INDEX(ERP导入清单!D:D,IFERROR(MATCH(187,ERP导入清单!$X$5:$X$204,0)+4,"")))</f>
        <v/>
      </c>
      <c r="E191" s="37" t="str">
        <f>IF(COUNTIF(ERP导入清单!$X$5:$X$204,187)=0,"",INDEX(ERP导入清单!E:E,IFERROR(MATCH(187,ERP导入清单!$X$5:$X$204,0)+4,"")))</f>
        <v/>
      </c>
      <c r="F191" s="37" t="str">
        <f>IF(COUNTIF(ERP导入清单!$X$5:$X$204,187)=0,"",INDEX(ERP导入清单!F:F,IFERROR(MATCH(187,ERP导入清单!$X$5:$X$204,0)+4,"")))</f>
        <v/>
      </c>
      <c r="G191" s="57" t="str">
        <f>IF(COUNTIF(ERP导入清单!$X$5:$X$204,187)=0,"",INDEX(ERP导入清单!G:G,IFERROR(MATCH(187,ERP导入清单!$X$5:$X$204,0)+4,"")))</f>
        <v/>
      </c>
      <c r="H191" s="37" t="str">
        <f>IF(COUNTIF(ERP导入清单!$X$5:$X$204,187)=0,"",INDEX(ERP导入清单!H:H,IFERROR(MATCH(187,ERP导入清单!$X$5:$X$204,0)+4,"")))</f>
        <v/>
      </c>
      <c r="I191" s="57" t="str">
        <f>IF(COUNTIF(ERP导入清单!$X$5:$X$204,187)=0,"",INDEX(ERP导入清单!I:I,IFERROR(MATCH(187,ERP导入清单!$X$5:$X$204,0)+4,"")))</f>
        <v/>
      </c>
      <c r="J191" s="57" t="str">
        <f>IF(COUNTIF(ERP导入清单!$X$5:$X$204,187)=0,"",INDEX(ERP导入清单!J:J,IFERROR(MATCH(187,ERP导入清单!$X$5:$X$204,0)+4,"")))</f>
        <v/>
      </c>
      <c r="K191" s="37" t="str">
        <f>IF(COUNTIF(ERP导入清单!$X$5:$X$204,187)=0,"",INDEX(ERP导入清单!K:K,IFERROR(MATCH(187,ERP导入清单!$X$5:$X$204,0)+4,"")))</f>
        <v/>
      </c>
      <c r="L191" s="37" t="str">
        <f>IF(COUNTIF(ERP导入清单!$X$5:$X$204,187)=0,"",INDEX(ERP导入清单!L:L,IFERROR(MATCH(187,ERP导入清单!$X$5:$X$204,0)+4,"")))</f>
        <v/>
      </c>
      <c r="M191" s="37" t="str">
        <f>IF(COUNTIF(ERP导入清单!$X$5:$X$204,187)=0,"",INDEX(ERP导入清单!M:M,IFERROR(MATCH(187,ERP导入清单!$X$5:$X$204,0)+4,"")))</f>
        <v/>
      </c>
      <c r="N191" s="37" t="str">
        <f>IF(COUNTIF(ERP导入清单!$X$5:$X$204,187)=0,"",INDEX(ERP导入清单!N:N,IFERROR(MATCH(187,ERP导入清单!$X$5:$X$204,0)+4,"")))</f>
        <v/>
      </c>
      <c r="O191" s="37" t="str">
        <f>IF(COUNTIF(ERP导入清单!$X$5:$X$204,187)=0,"",INDEX(ERP导入清单!O:O,IFERROR(MATCH(187,ERP导入清单!$X$5:$X$204,0)+4,"")))</f>
        <v/>
      </c>
      <c r="P191" s="39" t="str">
        <f>IF(COUNTIF(ERP导入清单!$X$5:$X$204,187)=0,"",INDEX(ERP导入清单!P:P,IFERROR(MATCH(187,ERP导入清单!$X$5:$X$204,0)+4,"")))</f>
        <v/>
      </c>
      <c r="Q191" s="39" t="str">
        <f>IF(COUNTIF(ERP导入清单!$X$5:$X$204,187)=0,"",INDEX(ERP导入清单!Q:Q,IFERROR(MATCH(187,ERP导入清单!$X$5:$X$204,0)+4,"")))</f>
        <v/>
      </c>
      <c r="R191" s="59" t="str">
        <f>IF(COUNTIF(ERP导入清单!$X$5:$X$204,187)=0,"",INDEX(ERP导入清单!R:R,IFERROR(MATCH(187,ERP导入清单!$X$5:$X$204,0)+4,"")))</f>
        <v/>
      </c>
      <c r="S191" s="37" t="str">
        <f>IF(COUNTIF(ERP导入清单!$X$5:$X$204,187)=0,"",INDEX(ERP导入清单!S:S,IFERROR(MATCH(187,ERP导入清单!$X$5:$X$204,0)+4,"")))</f>
        <v/>
      </c>
      <c r="T191" s="37" t="str">
        <f>IF(COUNTIF(ERP导入清单!$X$5:$X$204,187)=0,"",INDEX(ERP导入清单!T:T,IFERROR(MATCH(187,ERP导入清单!$X$5:$X$204,0)+4,"")))</f>
        <v/>
      </c>
      <c r="U191" s="37" t="str">
        <f>IF(COUNTIF(ERP导入清单!$X$5:$X$204,187)=0,"",INDEX(ERP导入清单!U:U,IFERROR(MATCH(187,ERP导入清单!$X$5:$X$204,0)+4,"")))</f>
        <v/>
      </c>
      <c r="V191" s="38" t="str">
        <f>IF(COUNTIF(ERP导入清单!$X$5:$X$204,187)=0,"",INDEX(ERP导入清单!V:V,IFERROR(MATCH(187,ERP导入清单!$X$5:$X$204,0)+4,"")))</f>
        <v/>
      </c>
      <c r="W191" s="50" t="str">
        <f>IF(COUNTIF(ERP导入清单!$X$5:$X$204,187)=0,"",INDEX(ERP导入清单!W:W,IFERROR(MATCH(187,ERP导入清单!$X$5:$X$204,0)+4,"")))</f>
        <v/>
      </c>
    </row>
    <row r="192" spans="1:23" ht="24" customHeight="1">
      <c r="A192" s="55" t="str">
        <f>IF(COUNTIF(ERP导入清单!$X$5:$X$204,188)=0,"",INDEX(ERP导入清单!A:A,IFERROR(MATCH(188,ERP导入清单!$X$5:$X$204,0)+4,"")))</f>
        <v/>
      </c>
      <c r="B192" s="37" t="str">
        <f>IF(COUNTIF(ERP导入清单!$X$5:$X$204,188)=0,"",INDEX(ERP导入清单!B:B,IFERROR(MATCH(188,ERP导入清单!$X$5:$X$204,0)+4,"")))</f>
        <v/>
      </c>
      <c r="C192" s="38" t="str">
        <f>IF(COUNTIF(ERP导入清单!$X$5:$X$204,188)=0,"",INDEX(ERP导入清单!C:C,IFERROR(MATCH(188,ERP导入清单!$X$5:$X$204,0)+4,"")))</f>
        <v/>
      </c>
      <c r="D192" s="37" t="str">
        <f>IF(COUNTIF(ERP导入清单!$X$5:$X$204,188)=0,"",INDEX(ERP导入清单!D:D,IFERROR(MATCH(188,ERP导入清单!$X$5:$X$204,0)+4,"")))</f>
        <v/>
      </c>
      <c r="E192" s="37" t="str">
        <f>IF(COUNTIF(ERP导入清单!$X$5:$X$204,188)=0,"",INDEX(ERP导入清单!E:E,IFERROR(MATCH(188,ERP导入清单!$X$5:$X$204,0)+4,"")))</f>
        <v/>
      </c>
      <c r="F192" s="37" t="str">
        <f>IF(COUNTIF(ERP导入清单!$X$5:$X$204,188)=0,"",INDEX(ERP导入清单!F:F,IFERROR(MATCH(188,ERP导入清单!$X$5:$X$204,0)+4,"")))</f>
        <v/>
      </c>
      <c r="G192" s="57" t="str">
        <f>IF(COUNTIF(ERP导入清单!$X$5:$X$204,188)=0,"",INDEX(ERP导入清单!G:G,IFERROR(MATCH(188,ERP导入清单!$X$5:$X$204,0)+4,"")))</f>
        <v/>
      </c>
      <c r="H192" s="37" t="str">
        <f>IF(COUNTIF(ERP导入清单!$X$5:$X$204,188)=0,"",INDEX(ERP导入清单!H:H,IFERROR(MATCH(188,ERP导入清单!$X$5:$X$204,0)+4,"")))</f>
        <v/>
      </c>
      <c r="I192" s="57" t="str">
        <f>IF(COUNTIF(ERP导入清单!$X$5:$X$204,188)=0,"",INDEX(ERP导入清单!I:I,IFERROR(MATCH(188,ERP导入清单!$X$5:$X$204,0)+4,"")))</f>
        <v/>
      </c>
      <c r="J192" s="57" t="str">
        <f>IF(COUNTIF(ERP导入清单!$X$5:$X$204,188)=0,"",INDEX(ERP导入清单!J:J,IFERROR(MATCH(188,ERP导入清单!$X$5:$X$204,0)+4,"")))</f>
        <v/>
      </c>
      <c r="K192" s="37" t="str">
        <f>IF(COUNTIF(ERP导入清单!$X$5:$X$204,188)=0,"",INDEX(ERP导入清单!K:K,IFERROR(MATCH(188,ERP导入清单!$X$5:$X$204,0)+4,"")))</f>
        <v/>
      </c>
      <c r="L192" s="37" t="str">
        <f>IF(COUNTIF(ERP导入清单!$X$5:$X$204,188)=0,"",INDEX(ERP导入清单!L:L,IFERROR(MATCH(188,ERP导入清单!$X$5:$X$204,0)+4,"")))</f>
        <v/>
      </c>
      <c r="M192" s="37" t="str">
        <f>IF(COUNTIF(ERP导入清单!$X$5:$X$204,188)=0,"",INDEX(ERP导入清单!M:M,IFERROR(MATCH(188,ERP导入清单!$X$5:$X$204,0)+4,"")))</f>
        <v/>
      </c>
      <c r="N192" s="37" t="str">
        <f>IF(COUNTIF(ERP导入清单!$X$5:$X$204,188)=0,"",INDEX(ERP导入清单!N:N,IFERROR(MATCH(188,ERP导入清单!$X$5:$X$204,0)+4,"")))</f>
        <v/>
      </c>
      <c r="O192" s="37" t="str">
        <f>IF(COUNTIF(ERP导入清单!$X$5:$X$204,188)=0,"",INDEX(ERP导入清单!O:O,IFERROR(MATCH(188,ERP导入清单!$X$5:$X$204,0)+4,"")))</f>
        <v/>
      </c>
      <c r="P192" s="39" t="str">
        <f>IF(COUNTIF(ERP导入清单!$X$5:$X$204,188)=0,"",INDEX(ERP导入清单!P:P,IFERROR(MATCH(188,ERP导入清单!$X$5:$X$204,0)+4,"")))</f>
        <v/>
      </c>
      <c r="Q192" s="39" t="str">
        <f>IF(COUNTIF(ERP导入清单!$X$5:$X$204,188)=0,"",INDEX(ERP导入清单!Q:Q,IFERROR(MATCH(188,ERP导入清单!$X$5:$X$204,0)+4,"")))</f>
        <v/>
      </c>
      <c r="R192" s="59" t="str">
        <f>IF(COUNTIF(ERP导入清单!$X$5:$X$204,188)=0,"",INDEX(ERP导入清单!R:R,IFERROR(MATCH(188,ERP导入清单!$X$5:$X$204,0)+4,"")))</f>
        <v/>
      </c>
      <c r="S192" s="37" t="str">
        <f>IF(COUNTIF(ERP导入清单!$X$5:$X$204,188)=0,"",INDEX(ERP导入清单!S:S,IFERROR(MATCH(188,ERP导入清单!$X$5:$X$204,0)+4,"")))</f>
        <v/>
      </c>
      <c r="T192" s="37" t="str">
        <f>IF(COUNTIF(ERP导入清单!$X$5:$X$204,188)=0,"",INDEX(ERP导入清单!T:T,IFERROR(MATCH(188,ERP导入清单!$X$5:$X$204,0)+4,"")))</f>
        <v/>
      </c>
      <c r="U192" s="37" t="str">
        <f>IF(COUNTIF(ERP导入清单!$X$5:$X$204,188)=0,"",INDEX(ERP导入清单!U:U,IFERROR(MATCH(188,ERP导入清单!$X$5:$X$204,0)+4,"")))</f>
        <v/>
      </c>
      <c r="V192" s="38" t="str">
        <f>IF(COUNTIF(ERP导入清单!$X$5:$X$204,188)=0,"",INDEX(ERP导入清单!V:V,IFERROR(MATCH(188,ERP导入清单!$X$5:$X$204,0)+4,"")))</f>
        <v/>
      </c>
      <c r="W192" s="50" t="str">
        <f>IF(COUNTIF(ERP导入清单!$X$5:$X$204,188)=0,"",INDEX(ERP导入清单!W:W,IFERROR(MATCH(188,ERP导入清单!$X$5:$X$204,0)+4,"")))</f>
        <v/>
      </c>
    </row>
    <row r="193" spans="1:23" ht="24" customHeight="1">
      <c r="A193" s="55" t="str">
        <f>IF(COUNTIF(ERP导入清单!$X$5:$X$204,189)=0,"",INDEX(ERP导入清单!A:A,IFERROR(MATCH(189,ERP导入清单!$X$5:$X$204,0)+4,"")))</f>
        <v/>
      </c>
      <c r="B193" s="37" t="str">
        <f>IF(COUNTIF(ERP导入清单!$X$5:$X$204,189)=0,"",INDEX(ERP导入清单!B:B,IFERROR(MATCH(189,ERP导入清单!$X$5:$X$204,0)+4,"")))</f>
        <v/>
      </c>
      <c r="C193" s="38" t="str">
        <f>IF(COUNTIF(ERP导入清单!$X$5:$X$204,189)=0,"",INDEX(ERP导入清单!C:C,IFERROR(MATCH(189,ERP导入清单!$X$5:$X$204,0)+4,"")))</f>
        <v/>
      </c>
      <c r="D193" s="37" t="str">
        <f>IF(COUNTIF(ERP导入清单!$X$5:$X$204,189)=0,"",INDEX(ERP导入清单!D:D,IFERROR(MATCH(189,ERP导入清单!$X$5:$X$204,0)+4,"")))</f>
        <v/>
      </c>
      <c r="E193" s="37" t="str">
        <f>IF(COUNTIF(ERP导入清单!$X$5:$X$204,189)=0,"",INDEX(ERP导入清单!E:E,IFERROR(MATCH(189,ERP导入清单!$X$5:$X$204,0)+4,"")))</f>
        <v/>
      </c>
      <c r="F193" s="37" t="str">
        <f>IF(COUNTIF(ERP导入清单!$X$5:$X$204,189)=0,"",INDEX(ERP导入清单!F:F,IFERROR(MATCH(189,ERP导入清单!$X$5:$X$204,0)+4,"")))</f>
        <v/>
      </c>
      <c r="G193" s="57" t="str">
        <f>IF(COUNTIF(ERP导入清单!$X$5:$X$204,189)=0,"",INDEX(ERP导入清单!G:G,IFERROR(MATCH(189,ERP导入清单!$X$5:$X$204,0)+4,"")))</f>
        <v/>
      </c>
      <c r="H193" s="37" t="str">
        <f>IF(COUNTIF(ERP导入清单!$X$5:$X$204,189)=0,"",INDEX(ERP导入清单!H:H,IFERROR(MATCH(189,ERP导入清单!$X$5:$X$204,0)+4,"")))</f>
        <v/>
      </c>
      <c r="I193" s="57" t="str">
        <f>IF(COUNTIF(ERP导入清单!$X$5:$X$204,189)=0,"",INDEX(ERP导入清单!I:I,IFERROR(MATCH(189,ERP导入清单!$X$5:$X$204,0)+4,"")))</f>
        <v/>
      </c>
      <c r="J193" s="57" t="str">
        <f>IF(COUNTIF(ERP导入清单!$X$5:$X$204,189)=0,"",INDEX(ERP导入清单!J:J,IFERROR(MATCH(189,ERP导入清单!$X$5:$X$204,0)+4,"")))</f>
        <v/>
      </c>
      <c r="K193" s="37" t="str">
        <f>IF(COUNTIF(ERP导入清单!$X$5:$X$204,189)=0,"",INDEX(ERP导入清单!K:K,IFERROR(MATCH(189,ERP导入清单!$X$5:$X$204,0)+4,"")))</f>
        <v/>
      </c>
      <c r="L193" s="37" t="str">
        <f>IF(COUNTIF(ERP导入清单!$X$5:$X$204,189)=0,"",INDEX(ERP导入清单!L:L,IFERROR(MATCH(189,ERP导入清单!$X$5:$X$204,0)+4,"")))</f>
        <v/>
      </c>
      <c r="M193" s="37" t="str">
        <f>IF(COUNTIF(ERP导入清单!$X$5:$X$204,189)=0,"",INDEX(ERP导入清单!M:M,IFERROR(MATCH(189,ERP导入清单!$X$5:$X$204,0)+4,"")))</f>
        <v/>
      </c>
      <c r="N193" s="37" t="str">
        <f>IF(COUNTIF(ERP导入清单!$X$5:$X$204,189)=0,"",INDEX(ERP导入清单!N:N,IFERROR(MATCH(189,ERP导入清单!$X$5:$X$204,0)+4,"")))</f>
        <v/>
      </c>
      <c r="O193" s="37" t="str">
        <f>IF(COUNTIF(ERP导入清单!$X$5:$X$204,189)=0,"",INDEX(ERP导入清单!O:O,IFERROR(MATCH(189,ERP导入清单!$X$5:$X$204,0)+4,"")))</f>
        <v/>
      </c>
      <c r="P193" s="39" t="str">
        <f>IF(COUNTIF(ERP导入清单!$X$5:$X$204,189)=0,"",INDEX(ERP导入清单!P:P,IFERROR(MATCH(189,ERP导入清单!$X$5:$X$204,0)+4,"")))</f>
        <v/>
      </c>
      <c r="Q193" s="39" t="str">
        <f>IF(COUNTIF(ERP导入清单!$X$5:$X$204,189)=0,"",INDEX(ERP导入清单!Q:Q,IFERROR(MATCH(189,ERP导入清单!$X$5:$X$204,0)+4,"")))</f>
        <v/>
      </c>
      <c r="R193" s="59" t="str">
        <f>IF(COUNTIF(ERP导入清单!$X$5:$X$204,189)=0,"",INDEX(ERP导入清单!R:R,IFERROR(MATCH(189,ERP导入清单!$X$5:$X$204,0)+4,"")))</f>
        <v/>
      </c>
      <c r="S193" s="37" t="str">
        <f>IF(COUNTIF(ERP导入清单!$X$5:$X$204,189)=0,"",INDEX(ERP导入清单!S:S,IFERROR(MATCH(189,ERP导入清单!$X$5:$X$204,0)+4,"")))</f>
        <v/>
      </c>
      <c r="T193" s="37" t="str">
        <f>IF(COUNTIF(ERP导入清单!$X$5:$X$204,189)=0,"",INDEX(ERP导入清单!T:T,IFERROR(MATCH(189,ERP导入清单!$X$5:$X$204,0)+4,"")))</f>
        <v/>
      </c>
      <c r="U193" s="37" t="str">
        <f>IF(COUNTIF(ERP导入清单!$X$5:$X$204,189)=0,"",INDEX(ERP导入清单!U:U,IFERROR(MATCH(189,ERP导入清单!$X$5:$X$204,0)+4,"")))</f>
        <v/>
      </c>
      <c r="V193" s="38" t="str">
        <f>IF(COUNTIF(ERP导入清单!$X$5:$X$204,189)=0,"",INDEX(ERP导入清单!V:V,IFERROR(MATCH(189,ERP导入清单!$X$5:$X$204,0)+4,"")))</f>
        <v/>
      </c>
      <c r="W193" s="50" t="str">
        <f>IF(COUNTIF(ERP导入清单!$X$5:$X$204,189)=0,"",INDEX(ERP导入清单!W:W,IFERROR(MATCH(189,ERP导入清单!$X$5:$X$204,0)+4,"")))</f>
        <v/>
      </c>
    </row>
    <row r="194" spans="1:23" ht="24" customHeight="1">
      <c r="A194" s="55" t="str">
        <f>IF(COUNTIF(ERP导入清单!$X$5:$X$204,190)=0,"",INDEX(ERP导入清单!A:A,IFERROR(MATCH(190,ERP导入清单!$X$5:$X$204,0)+4,"")))</f>
        <v/>
      </c>
      <c r="B194" s="37" t="str">
        <f>IF(COUNTIF(ERP导入清单!$X$5:$X$204,190)=0,"",INDEX(ERP导入清单!B:B,IFERROR(MATCH(190,ERP导入清单!$X$5:$X$204,0)+4,"")))</f>
        <v/>
      </c>
      <c r="C194" s="38" t="str">
        <f>IF(COUNTIF(ERP导入清单!$X$5:$X$204,190)=0,"",INDEX(ERP导入清单!C:C,IFERROR(MATCH(190,ERP导入清单!$X$5:$X$204,0)+4,"")))</f>
        <v/>
      </c>
      <c r="D194" s="37" t="str">
        <f>IF(COUNTIF(ERP导入清单!$X$5:$X$204,190)=0,"",INDEX(ERP导入清单!D:D,IFERROR(MATCH(190,ERP导入清单!$X$5:$X$204,0)+4,"")))</f>
        <v/>
      </c>
      <c r="E194" s="37" t="str">
        <f>IF(COUNTIF(ERP导入清单!$X$5:$X$204,190)=0,"",INDEX(ERP导入清单!E:E,IFERROR(MATCH(190,ERP导入清单!$X$5:$X$204,0)+4,"")))</f>
        <v/>
      </c>
      <c r="F194" s="37" t="str">
        <f>IF(COUNTIF(ERP导入清单!$X$5:$X$204,190)=0,"",INDEX(ERP导入清单!F:F,IFERROR(MATCH(190,ERP导入清单!$X$5:$X$204,0)+4,"")))</f>
        <v/>
      </c>
      <c r="G194" s="57" t="str">
        <f>IF(COUNTIF(ERP导入清单!$X$5:$X$204,190)=0,"",INDEX(ERP导入清单!G:G,IFERROR(MATCH(190,ERP导入清单!$X$5:$X$204,0)+4,"")))</f>
        <v/>
      </c>
      <c r="H194" s="37" t="str">
        <f>IF(COUNTIF(ERP导入清单!$X$5:$X$204,190)=0,"",INDEX(ERP导入清单!H:H,IFERROR(MATCH(190,ERP导入清单!$X$5:$X$204,0)+4,"")))</f>
        <v/>
      </c>
      <c r="I194" s="57" t="str">
        <f>IF(COUNTIF(ERP导入清单!$X$5:$X$204,190)=0,"",INDEX(ERP导入清单!I:I,IFERROR(MATCH(190,ERP导入清单!$X$5:$X$204,0)+4,"")))</f>
        <v/>
      </c>
      <c r="J194" s="57" t="str">
        <f>IF(COUNTIF(ERP导入清单!$X$5:$X$204,190)=0,"",INDEX(ERP导入清单!J:J,IFERROR(MATCH(190,ERP导入清单!$X$5:$X$204,0)+4,"")))</f>
        <v/>
      </c>
      <c r="K194" s="37" t="str">
        <f>IF(COUNTIF(ERP导入清单!$X$5:$X$204,190)=0,"",INDEX(ERP导入清单!K:K,IFERROR(MATCH(190,ERP导入清单!$X$5:$X$204,0)+4,"")))</f>
        <v/>
      </c>
      <c r="L194" s="37" t="str">
        <f>IF(COUNTIF(ERP导入清单!$X$5:$X$204,190)=0,"",INDEX(ERP导入清单!L:L,IFERROR(MATCH(190,ERP导入清单!$X$5:$X$204,0)+4,"")))</f>
        <v/>
      </c>
      <c r="M194" s="37" t="str">
        <f>IF(COUNTIF(ERP导入清单!$X$5:$X$204,190)=0,"",INDEX(ERP导入清单!M:M,IFERROR(MATCH(190,ERP导入清单!$X$5:$X$204,0)+4,"")))</f>
        <v/>
      </c>
      <c r="N194" s="37" t="str">
        <f>IF(COUNTIF(ERP导入清单!$X$5:$X$204,190)=0,"",INDEX(ERP导入清单!N:N,IFERROR(MATCH(190,ERP导入清单!$X$5:$X$204,0)+4,"")))</f>
        <v/>
      </c>
      <c r="O194" s="37" t="str">
        <f>IF(COUNTIF(ERP导入清单!$X$5:$X$204,190)=0,"",INDEX(ERP导入清单!O:O,IFERROR(MATCH(190,ERP导入清单!$X$5:$X$204,0)+4,"")))</f>
        <v/>
      </c>
      <c r="P194" s="39" t="str">
        <f>IF(COUNTIF(ERP导入清单!$X$5:$X$204,190)=0,"",INDEX(ERP导入清单!P:P,IFERROR(MATCH(190,ERP导入清单!$X$5:$X$204,0)+4,"")))</f>
        <v/>
      </c>
      <c r="Q194" s="39" t="str">
        <f>IF(COUNTIF(ERP导入清单!$X$5:$X$204,190)=0,"",INDEX(ERP导入清单!Q:Q,IFERROR(MATCH(190,ERP导入清单!$X$5:$X$204,0)+4,"")))</f>
        <v/>
      </c>
      <c r="R194" s="59" t="str">
        <f>IF(COUNTIF(ERP导入清单!$X$5:$X$204,190)=0,"",INDEX(ERP导入清单!R:R,IFERROR(MATCH(190,ERP导入清单!$X$5:$X$204,0)+4,"")))</f>
        <v/>
      </c>
      <c r="S194" s="37" t="str">
        <f>IF(COUNTIF(ERP导入清单!$X$5:$X$204,190)=0,"",INDEX(ERP导入清单!S:S,IFERROR(MATCH(190,ERP导入清单!$X$5:$X$204,0)+4,"")))</f>
        <v/>
      </c>
      <c r="T194" s="37" t="str">
        <f>IF(COUNTIF(ERP导入清单!$X$5:$X$204,190)=0,"",INDEX(ERP导入清单!T:T,IFERROR(MATCH(190,ERP导入清单!$X$5:$X$204,0)+4,"")))</f>
        <v/>
      </c>
      <c r="U194" s="37" t="str">
        <f>IF(COUNTIF(ERP导入清单!$X$5:$X$204,190)=0,"",INDEX(ERP导入清单!U:U,IFERROR(MATCH(190,ERP导入清单!$X$5:$X$204,0)+4,"")))</f>
        <v/>
      </c>
      <c r="V194" s="38" t="str">
        <f>IF(COUNTIF(ERP导入清单!$X$5:$X$204,190)=0,"",INDEX(ERP导入清单!V:V,IFERROR(MATCH(190,ERP导入清单!$X$5:$X$204,0)+4,"")))</f>
        <v/>
      </c>
      <c r="W194" s="50" t="str">
        <f>IF(COUNTIF(ERP导入清单!$X$5:$X$204,190)=0,"",INDEX(ERP导入清单!W:W,IFERROR(MATCH(190,ERP导入清单!$X$5:$X$204,0)+4,"")))</f>
        <v/>
      </c>
    </row>
    <row r="195" spans="1:23" ht="24" customHeight="1">
      <c r="A195" s="55" t="str">
        <f>IF(COUNTIF(ERP导入清单!$X$5:$X$204,191)=0,"",INDEX(ERP导入清单!A:A,IFERROR(MATCH(191,ERP导入清单!$X$5:$X$204,0)+4,"")))</f>
        <v/>
      </c>
      <c r="B195" s="37" t="str">
        <f>IF(COUNTIF(ERP导入清单!$X$5:$X$204,191)=0,"",INDEX(ERP导入清单!B:B,IFERROR(MATCH(191,ERP导入清单!$X$5:$X$204,0)+4,"")))</f>
        <v/>
      </c>
      <c r="C195" s="38" t="str">
        <f>IF(COUNTIF(ERP导入清单!$X$5:$X$204,191)=0,"",INDEX(ERP导入清单!C:C,IFERROR(MATCH(191,ERP导入清单!$X$5:$X$204,0)+4,"")))</f>
        <v/>
      </c>
      <c r="D195" s="37" t="str">
        <f>IF(COUNTIF(ERP导入清单!$X$5:$X$204,191)=0,"",INDEX(ERP导入清单!D:D,IFERROR(MATCH(191,ERP导入清单!$X$5:$X$204,0)+4,"")))</f>
        <v/>
      </c>
      <c r="E195" s="37" t="str">
        <f>IF(COUNTIF(ERP导入清单!$X$5:$X$204,191)=0,"",INDEX(ERP导入清单!E:E,IFERROR(MATCH(191,ERP导入清单!$X$5:$X$204,0)+4,"")))</f>
        <v/>
      </c>
      <c r="F195" s="37" t="str">
        <f>IF(COUNTIF(ERP导入清单!$X$5:$X$204,191)=0,"",INDEX(ERP导入清单!F:F,IFERROR(MATCH(191,ERP导入清单!$X$5:$X$204,0)+4,"")))</f>
        <v/>
      </c>
      <c r="G195" s="57" t="str">
        <f>IF(COUNTIF(ERP导入清单!$X$5:$X$204,191)=0,"",INDEX(ERP导入清单!G:G,IFERROR(MATCH(191,ERP导入清单!$X$5:$X$204,0)+4,"")))</f>
        <v/>
      </c>
      <c r="H195" s="37" t="str">
        <f>IF(COUNTIF(ERP导入清单!$X$5:$X$204,191)=0,"",INDEX(ERP导入清单!H:H,IFERROR(MATCH(191,ERP导入清单!$X$5:$X$204,0)+4,"")))</f>
        <v/>
      </c>
      <c r="I195" s="57" t="str">
        <f>IF(COUNTIF(ERP导入清单!$X$5:$X$204,191)=0,"",INDEX(ERP导入清单!I:I,IFERROR(MATCH(191,ERP导入清单!$X$5:$X$204,0)+4,"")))</f>
        <v/>
      </c>
      <c r="J195" s="57" t="str">
        <f>IF(COUNTIF(ERP导入清单!$X$5:$X$204,191)=0,"",INDEX(ERP导入清单!J:J,IFERROR(MATCH(191,ERP导入清单!$X$5:$X$204,0)+4,"")))</f>
        <v/>
      </c>
      <c r="K195" s="37" t="str">
        <f>IF(COUNTIF(ERP导入清单!$X$5:$X$204,191)=0,"",INDEX(ERP导入清单!K:K,IFERROR(MATCH(191,ERP导入清单!$X$5:$X$204,0)+4,"")))</f>
        <v/>
      </c>
      <c r="L195" s="37" t="str">
        <f>IF(COUNTIF(ERP导入清单!$X$5:$X$204,191)=0,"",INDEX(ERP导入清单!L:L,IFERROR(MATCH(191,ERP导入清单!$X$5:$X$204,0)+4,"")))</f>
        <v/>
      </c>
      <c r="M195" s="37" t="str">
        <f>IF(COUNTIF(ERP导入清单!$X$5:$X$204,191)=0,"",INDEX(ERP导入清单!M:M,IFERROR(MATCH(191,ERP导入清单!$X$5:$X$204,0)+4,"")))</f>
        <v/>
      </c>
      <c r="N195" s="37" t="str">
        <f>IF(COUNTIF(ERP导入清单!$X$5:$X$204,191)=0,"",INDEX(ERP导入清单!N:N,IFERROR(MATCH(191,ERP导入清单!$X$5:$X$204,0)+4,"")))</f>
        <v/>
      </c>
      <c r="O195" s="37" t="str">
        <f>IF(COUNTIF(ERP导入清单!$X$5:$X$204,191)=0,"",INDEX(ERP导入清单!O:O,IFERROR(MATCH(191,ERP导入清单!$X$5:$X$204,0)+4,"")))</f>
        <v/>
      </c>
      <c r="P195" s="39" t="str">
        <f>IF(COUNTIF(ERP导入清单!$X$5:$X$204,191)=0,"",INDEX(ERP导入清单!P:P,IFERROR(MATCH(191,ERP导入清单!$X$5:$X$204,0)+4,"")))</f>
        <v/>
      </c>
      <c r="Q195" s="39" t="str">
        <f>IF(COUNTIF(ERP导入清单!$X$5:$X$204,191)=0,"",INDEX(ERP导入清单!Q:Q,IFERROR(MATCH(191,ERP导入清单!$X$5:$X$204,0)+4,"")))</f>
        <v/>
      </c>
      <c r="R195" s="59" t="str">
        <f>IF(COUNTIF(ERP导入清单!$X$5:$X$204,191)=0,"",INDEX(ERP导入清单!R:R,IFERROR(MATCH(191,ERP导入清单!$X$5:$X$204,0)+4,"")))</f>
        <v/>
      </c>
      <c r="S195" s="37" t="str">
        <f>IF(COUNTIF(ERP导入清单!$X$5:$X$204,191)=0,"",INDEX(ERP导入清单!S:S,IFERROR(MATCH(191,ERP导入清单!$X$5:$X$204,0)+4,"")))</f>
        <v/>
      </c>
      <c r="T195" s="37" t="str">
        <f>IF(COUNTIF(ERP导入清单!$X$5:$X$204,191)=0,"",INDEX(ERP导入清单!T:T,IFERROR(MATCH(191,ERP导入清单!$X$5:$X$204,0)+4,"")))</f>
        <v/>
      </c>
      <c r="U195" s="37" t="str">
        <f>IF(COUNTIF(ERP导入清单!$X$5:$X$204,191)=0,"",INDEX(ERP导入清单!U:U,IFERROR(MATCH(191,ERP导入清单!$X$5:$X$204,0)+4,"")))</f>
        <v/>
      </c>
      <c r="V195" s="38" t="str">
        <f>IF(COUNTIF(ERP导入清单!$X$5:$X$204,191)=0,"",INDEX(ERP导入清单!V:V,IFERROR(MATCH(191,ERP导入清单!$X$5:$X$204,0)+4,"")))</f>
        <v/>
      </c>
      <c r="W195" s="50" t="str">
        <f>IF(COUNTIF(ERP导入清单!$X$5:$X$204,191)=0,"",INDEX(ERP导入清单!W:W,IFERROR(MATCH(191,ERP导入清单!$X$5:$X$204,0)+4,"")))</f>
        <v/>
      </c>
    </row>
    <row r="196" spans="1:23" ht="24" customHeight="1">
      <c r="A196" s="55" t="str">
        <f>IF(COUNTIF(ERP导入清单!$X$5:$X$204,192)=0,"",INDEX(ERP导入清单!A:A,IFERROR(MATCH(192,ERP导入清单!$X$5:$X$204,0)+4,"")))</f>
        <v/>
      </c>
      <c r="B196" s="37" t="str">
        <f>IF(COUNTIF(ERP导入清单!$X$5:$X$204,192)=0,"",INDEX(ERP导入清单!B:B,IFERROR(MATCH(192,ERP导入清单!$X$5:$X$204,0)+4,"")))</f>
        <v/>
      </c>
      <c r="C196" s="38" t="str">
        <f>IF(COUNTIF(ERP导入清单!$X$5:$X$204,192)=0,"",INDEX(ERP导入清单!C:C,IFERROR(MATCH(192,ERP导入清单!$X$5:$X$204,0)+4,"")))</f>
        <v/>
      </c>
      <c r="D196" s="37" t="str">
        <f>IF(COUNTIF(ERP导入清单!$X$5:$X$204,192)=0,"",INDEX(ERP导入清单!D:D,IFERROR(MATCH(192,ERP导入清单!$X$5:$X$204,0)+4,"")))</f>
        <v/>
      </c>
      <c r="E196" s="37" t="str">
        <f>IF(COUNTIF(ERP导入清单!$X$5:$X$204,192)=0,"",INDEX(ERP导入清单!E:E,IFERROR(MATCH(192,ERP导入清单!$X$5:$X$204,0)+4,"")))</f>
        <v/>
      </c>
      <c r="F196" s="37" t="str">
        <f>IF(COUNTIF(ERP导入清单!$X$5:$X$204,192)=0,"",INDEX(ERP导入清单!F:F,IFERROR(MATCH(192,ERP导入清单!$X$5:$X$204,0)+4,"")))</f>
        <v/>
      </c>
      <c r="G196" s="57" t="str">
        <f>IF(COUNTIF(ERP导入清单!$X$5:$X$204,192)=0,"",INDEX(ERP导入清单!G:G,IFERROR(MATCH(192,ERP导入清单!$X$5:$X$204,0)+4,"")))</f>
        <v/>
      </c>
      <c r="H196" s="37" t="str">
        <f>IF(COUNTIF(ERP导入清单!$X$5:$X$204,192)=0,"",INDEX(ERP导入清单!H:H,IFERROR(MATCH(192,ERP导入清单!$X$5:$X$204,0)+4,"")))</f>
        <v/>
      </c>
      <c r="I196" s="57" t="str">
        <f>IF(COUNTIF(ERP导入清单!$X$5:$X$204,192)=0,"",INDEX(ERP导入清单!I:I,IFERROR(MATCH(192,ERP导入清单!$X$5:$X$204,0)+4,"")))</f>
        <v/>
      </c>
      <c r="J196" s="57" t="str">
        <f>IF(COUNTIF(ERP导入清单!$X$5:$X$204,192)=0,"",INDEX(ERP导入清单!J:J,IFERROR(MATCH(192,ERP导入清单!$X$5:$X$204,0)+4,"")))</f>
        <v/>
      </c>
      <c r="K196" s="37" t="str">
        <f>IF(COUNTIF(ERP导入清单!$X$5:$X$204,192)=0,"",INDEX(ERP导入清单!K:K,IFERROR(MATCH(192,ERP导入清单!$X$5:$X$204,0)+4,"")))</f>
        <v/>
      </c>
      <c r="L196" s="37" t="str">
        <f>IF(COUNTIF(ERP导入清单!$X$5:$X$204,192)=0,"",INDEX(ERP导入清单!L:L,IFERROR(MATCH(192,ERP导入清单!$X$5:$X$204,0)+4,"")))</f>
        <v/>
      </c>
      <c r="M196" s="37" t="str">
        <f>IF(COUNTIF(ERP导入清单!$X$5:$X$204,192)=0,"",INDEX(ERP导入清单!M:M,IFERROR(MATCH(192,ERP导入清单!$X$5:$X$204,0)+4,"")))</f>
        <v/>
      </c>
      <c r="N196" s="37" t="str">
        <f>IF(COUNTIF(ERP导入清单!$X$5:$X$204,192)=0,"",INDEX(ERP导入清单!N:N,IFERROR(MATCH(192,ERP导入清单!$X$5:$X$204,0)+4,"")))</f>
        <v/>
      </c>
      <c r="O196" s="37" t="str">
        <f>IF(COUNTIF(ERP导入清单!$X$5:$X$204,192)=0,"",INDEX(ERP导入清单!O:O,IFERROR(MATCH(192,ERP导入清单!$X$5:$X$204,0)+4,"")))</f>
        <v/>
      </c>
      <c r="P196" s="39" t="str">
        <f>IF(COUNTIF(ERP导入清单!$X$5:$X$204,192)=0,"",INDEX(ERP导入清单!P:P,IFERROR(MATCH(192,ERP导入清单!$X$5:$X$204,0)+4,"")))</f>
        <v/>
      </c>
      <c r="Q196" s="39" t="str">
        <f>IF(COUNTIF(ERP导入清单!$X$5:$X$204,192)=0,"",INDEX(ERP导入清单!Q:Q,IFERROR(MATCH(192,ERP导入清单!$X$5:$X$204,0)+4,"")))</f>
        <v/>
      </c>
      <c r="R196" s="59" t="str">
        <f>IF(COUNTIF(ERP导入清单!$X$5:$X$204,192)=0,"",INDEX(ERP导入清单!R:R,IFERROR(MATCH(192,ERP导入清单!$X$5:$X$204,0)+4,"")))</f>
        <v/>
      </c>
      <c r="S196" s="37" t="str">
        <f>IF(COUNTIF(ERP导入清单!$X$5:$X$204,192)=0,"",INDEX(ERP导入清单!S:S,IFERROR(MATCH(192,ERP导入清单!$X$5:$X$204,0)+4,"")))</f>
        <v/>
      </c>
      <c r="T196" s="37" t="str">
        <f>IF(COUNTIF(ERP导入清单!$X$5:$X$204,192)=0,"",INDEX(ERP导入清单!T:T,IFERROR(MATCH(192,ERP导入清单!$X$5:$X$204,0)+4,"")))</f>
        <v/>
      </c>
      <c r="U196" s="37" t="str">
        <f>IF(COUNTIF(ERP导入清单!$X$5:$X$204,192)=0,"",INDEX(ERP导入清单!U:U,IFERROR(MATCH(192,ERP导入清单!$X$5:$X$204,0)+4,"")))</f>
        <v/>
      </c>
      <c r="V196" s="38" t="str">
        <f>IF(COUNTIF(ERP导入清单!$X$5:$X$204,192)=0,"",INDEX(ERP导入清单!V:V,IFERROR(MATCH(192,ERP导入清单!$X$5:$X$204,0)+4,"")))</f>
        <v/>
      </c>
      <c r="W196" s="50" t="str">
        <f>IF(COUNTIF(ERP导入清单!$X$5:$X$204,192)=0,"",INDEX(ERP导入清单!W:W,IFERROR(MATCH(192,ERP导入清单!$X$5:$X$204,0)+4,"")))</f>
        <v/>
      </c>
    </row>
    <row r="197" spans="1:23" ht="24" customHeight="1">
      <c r="A197" s="55" t="str">
        <f>IF(COUNTIF(ERP导入清单!$X$5:$X$204,193)=0,"",INDEX(ERP导入清单!A:A,IFERROR(MATCH(193,ERP导入清单!$X$5:$X$204,0)+4,"")))</f>
        <v/>
      </c>
      <c r="B197" s="37" t="str">
        <f>IF(COUNTIF(ERP导入清单!$X$5:$X$204,193)=0,"",INDEX(ERP导入清单!B:B,IFERROR(MATCH(193,ERP导入清单!$X$5:$X$204,0)+4,"")))</f>
        <v/>
      </c>
      <c r="C197" s="38" t="str">
        <f>IF(COUNTIF(ERP导入清单!$X$5:$X$204,193)=0,"",INDEX(ERP导入清单!C:C,IFERROR(MATCH(193,ERP导入清单!$X$5:$X$204,0)+4,"")))</f>
        <v/>
      </c>
      <c r="D197" s="37" t="str">
        <f>IF(COUNTIF(ERP导入清单!$X$5:$X$204,193)=0,"",INDEX(ERP导入清单!D:D,IFERROR(MATCH(193,ERP导入清单!$X$5:$X$204,0)+4,"")))</f>
        <v/>
      </c>
      <c r="E197" s="37" t="str">
        <f>IF(COUNTIF(ERP导入清单!$X$5:$X$204,193)=0,"",INDEX(ERP导入清单!E:E,IFERROR(MATCH(193,ERP导入清单!$X$5:$X$204,0)+4,"")))</f>
        <v/>
      </c>
      <c r="F197" s="37" t="str">
        <f>IF(COUNTIF(ERP导入清单!$X$5:$X$204,193)=0,"",INDEX(ERP导入清单!F:F,IFERROR(MATCH(193,ERP导入清单!$X$5:$X$204,0)+4,"")))</f>
        <v/>
      </c>
      <c r="G197" s="57" t="str">
        <f>IF(COUNTIF(ERP导入清单!$X$5:$X$204,193)=0,"",INDEX(ERP导入清单!G:G,IFERROR(MATCH(193,ERP导入清单!$X$5:$X$204,0)+4,"")))</f>
        <v/>
      </c>
      <c r="H197" s="37" t="str">
        <f>IF(COUNTIF(ERP导入清单!$X$5:$X$204,193)=0,"",INDEX(ERP导入清单!H:H,IFERROR(MATCH(193,ERP导入清单!$X$5:$X$204,0)+4,"")))</f>
        <v/>
      </c>
      <c r="I197" s="57" t="str">
        <f>IF(COUNTIF(ERP导入清单!$X$5:$X$204,193)=0,"",INDEX(ERP导入清单!I:I,IFERROR(MATCH(193,ERP导入清单!$X$5:$X$204,0)+4,"")))</f>
        <v/>
      </c>
      <c r="J197" s="57" t="str">
        <f>IF(COUNTIF(ERP导入清单!$X$5:$X$204,193)=0,"",INDEX(ERP导入清单!J:J,IFERROR(MATCH(193,ERP导入清单!$X$5:$X$204,0)+4,"")))</f>
        <v/>
      </c>
      <c r="K197" s="37" t="str">
        <f>IF(COUNTIF(ERP导入清单!$X$5:$X$204,193)=0,"",INDEX(ERP导入清单!K:K,IFERROR(MATCH(193,ERP导入清单!$X$5:$X$204,0)+4,"")))</f>
        <v/>
      </c>
      <c r="L197" s="37" t="str">
        <f>IF(COUNTIF(ERP导入清单!$X$5:$X$204,193)=0,"",INDEX(ERP导入清单!L:L,IFERROR(MATCH(193,ERP导入清单!$X$5:$X$204,0)+4,"")))</f>
        <v/>
      </c>
      <c r="M197" s="37" t="str">
        <f>IF(COUNTIF(ERP导入清单!$X$5:$X$204,193)=0,"",INDEX(ERP导入清单!M:M,IFERROR(MATCH(193,ERP导入清单!$X$5:$X$204,0)+4,"")))</f>
        <v/>
      </c>
      <c r="N197" s="37" t="str">
        <f>IF(COUNTIF(ERP导入清单!$X$5:$X$204,193)=0,"",INDEX(ERP导入清单!N:N,IFERROR(MATCH(193,ERP导入清单!$X$5:$X$204,0)+4,"")))</f>
        <v/>
      </c>
      <c r="O197" s="37" t="str">
        <f>IF(COUNTIF(ERP导入清单!$X$5:$X$204,193)=0,"",INDEX(ERP导入清单!O:O,IFERROR(MATCH(193,ERP导入清单!$X$5:$X$204,0)+4,"")))</f>
        <v/>
      </c>
      <c r="P197" s="39" t="str">
        <f>IF(COUNTIF(ERP导入清单!$X$5:$X$204,193)=0,"",INDEX(ERP导入清单!P:P,IFERROR(MATCH(193,ERP导入清单!$X$5:$X$204,0)+4,"")))</f>
        <v/>
      </c>
      <c r="Q197" s="39" t="str">
        <f>IF(COUNTIF(ERP导入清单!$X$5:$X$204,193)=0,"",INDEX(ERP导入清单!Q:Q,IFERROR(MATCH(193,ERP导入清单!$X$5:$X$204,0)+4,"")))</f>
        <v/>
      </c>
      <c r="R197" s="59" t="str">
        <f>IF(COUNTIF(ERP导入清单!$X$5:$X$204,193)=0,"",INDEX(ERP导入清单!R:R,IFERROR(MATCH(193,ERP导入清单!$X$5:$X$204,0)+4,"")))</f>
        <v/>
      </c>
      <c r="S197" s="37" t="str">
        <f>IF(COUNTIF(ERP导入清单!$X$5:$X$204,193)=0,"",INDEX(ERP导入清单!S:S,IFERROR(MATCH(193,ERP导入清单!$X$5:$X$204,0)+4,"")))</f>
        <v/>
      </c>
      <c r="T197" s="37" t="str">
        <f>IF(COUNTIF(ERP导入清单!$X$5:$X$204,193)=0,"",INDEX(ERP导入清单!T:T,IFERROR(MATCH(193,ERP导入清单!$X$5:$X$204,0)+4,"")))</f>
        <v/>
      </c>
      <c r="U197" s="37" t="str">
        <f>IF(COUNTIF(ERP导入清单!$X$5:$X$204,193)=0,"",INDEX(ERP导入清单!U:U,IFERROR(MATCH(193,ERP导入清单!$X$5:$X$204,0)+4,"")))</f>
        <v/>
      </c>
      <c r="V197" s="38" t="str">
        <f>IF(COUNTIF(ERP导入清单!$X$5:$X$204,193)=0,"",INDEX(ERP导入清单!V:V,IFERROR(MATCH(193,ERP导入清单!$X$5:$X$204,0)+4,"")))</f>
        <v/>
      </c>
      <c r="W197" s="50" t="str">
        <f>IF(COUNTIF(ERP导入清单!$X$5:$X$204,193)=0,"",INDEX(ERP导入清单!W:W,IFERROR(MATCH(193,ERP导入清单!$X$5:$X$204,0)+4,"")))</f>
        <v/>
      </c>
    </row>
    <row r="198" spans="1:23" ht="24" customHeight="1">
      <c r="A198" s="55" t="str">
        <f>IF(COUNTIF(ERP导入清单!$X$5:$X$204,194)=0,"",INDEX(ERP导入清单!A:A,IFERROR(MATCH(194,ERP导入清单!$X$5:$X$204,0)+4,"")))</f>
        <v/>
      </c>
      <c r="B198" s="37" t="str">
        <f>IF(COUNTIF(ERP导入清单!$X$5:$X$204,194)=0,"",INDEX(ERP导入清单!B:B,IFERROR(MATCH(194,ERP导入清单!$X$5:$X$204,0)+4,"")))</f>
        <v/>
      </c>
      <c r="C198" s="38" t="str">
        <f>IF(COUNTIF(ERP导入清单!$X$5:$X$204,194)=0,"",INDEX(ERP导入清单!C:C,IFERROR(MATCH(194,ERP导入清单!$X$5:$X$204,0)+4,"")))</f>
        <v/>
      </c>
      <c r="D198" s="37" t="str">
        <f>IF(COUNTIF(ERP导入清单!$X$5:$X$204,194)=0,"",INDEX(ERP导入清单!D:D,IFERROR(MATCH(194,ERP导入清单!$X$5:$X$204,0)+4,"")))</f>
        <v/>
      </c>
      <c r="E198" s="37" t="str">
        <f>IF(COUNTIF(ERP导入清单!$X$5:$X$204,194)=0,"",INDEX(ERP导入清单!E:E,IFERROR(MATCH(194,ERP导入清单!$X$5:$X$204,0)+4,"")))</f>
        <v/>
      </c>
      <c r="F198" s="37" t="str">
        <f>IF(COUNTIF(ERP导入清单!$X$5:$X$204,194)=0,"",INDEX(ERP导入清单!F:F,IFERROR(MATCH(194,ERP导入清单!$X$5:$X$204,0)+4,"")))</f>
        <v/>
      </c>
      <c r="G198" s="57" t="str">
        <f>IF(COUNTIF(ERP导入清单!$X$5:$X$204,194)=0,"",INDEX(ERP导入清单!G:G,IFERROR(MATCH(194,ERP导入清单!$X$5:$X$204,0)+4,"")))</f>
        <v/>
      </c>
      <c r="H198" s="37" t="str">
        <f>IF(COUNTIF(ERP导入清单!$X$5:$X$204,194)=0,"",INDEX(ERP导入清单!H:H,IFERROR(MATCH(194,ERP导入清单!$X$5:$X$204,0)+4,"")))</f>
        <v/>
      </c>
      <c r="I198" s="57" t="str">
        <f>IF(COUNTIF(ERP导入清单!$X$5:$X$204,194)=0,"",INDEX(ERP导入清单!I:I,IFERROR(MATCH(194,ERP导入清单!$X$5:$X$204,0)+4,"")))</f>
        <v/>
      </c>
      <c r="J198" s="57" t="str">
        <f>IF(COUNTIF(ERP导入清单!$X$5:$X$204,194)=0,"",INDEX(ERP导入清单!J:J,IFERROR(MATCH(194,ERP导入清单!$X$5:$X$204,0)+4,"")))</f>
        <v/>
      </c>
      <c r="K198" s="37" t="str">
        <f>IF(COUNTIF(ERP导入清单!$X$5:$X$204,194)=0,"",INDEX(ERP导入清单!K:K,IFERROR(MATCH(194,ERP导入清单!$X$5:$X$204,0)+4,"")))</f>
        <v/>
      </c>
      <c r="L198" s="37" t="str">
        <f>IF(COUNTIF(ERP导入清单!$X$5:$X$204,194)=0,"",INDEX(ERP导入清单!L:L,IFERROR(MATCH(194,ERP导入清单!$X$5:$X$204,0)+4,"")))</f>
        <v/>
      </c>
      <c r="M198" s="37" t="str">
        <f>IF(COUNTIF(ERP导入清单!$X$5:$X$204,194)=0,"",INDEX(ERP导入清单!M:M,IFERROR(MATCH(194,ERP导入清单!$X$5:$X$204,0)+4,"")))</f>
        <v/>
      </c>
      <c r="N198" s="37" t="str">
        <f>IF(COUNTIF(ERP导入清单!$X$5:$X$204,194)=0,"",INDEX(ERP导入清单!N:N,IFERROR(MATCH(194,ERP导入清单!$X$5:$X$204,0)+4,"")))</f>
        <v/>
      </c>
      <c r="O198" s="37" t="str">
        <f>IF(COUNTIF(ERP导入清单!$X$5:$X$204,194)=0,"",INDEX(ERP导入清单!O:O,IFERROR(MATCH(194,ERP导入清单!$X$5:$X$204,0)+4,"")))</f>
        <v/>
      </c>
      <c r="P198" s="39" t="str">
        <f>IF(COUNTIF(ERP导入清单!$X$5:$X$204,194)=0,"",INDEX(ERP导入清单!P:P,IFERROR(MATCH(194,ERP导入清单!$X$5:$X$204,0)+4,"")))</f>
        <v/>
      </c>
      <c r="Q198" s="39" t="str">
        <f>IF(COUNTIF(ERP导入清单!$X$5:$X$204,194)=0,"",INDEX(ERP导入清单!Q:Q,IFERROR(MATCH(194,ERP导入清单!$X$5:$X$204,0)+4,"")))</f>
        <v/>
      </c>
      <c r="R198" s="59" t="str">
        <f>IF(COUNTIF(ERP导入清单!$X$5:$X$204,194)=0,"",INDEX(ERP导入清单!R:R,IFERROR(MATCH(194,ERP导入清单!$X$5:$X$204,0)+4,"")))</f>
        <v/>
      </c>
      <c r="S198" s="37" t="str">
        <f>IF(COUNTIF(ERP导入清单!$X$5:$X$204,194)=0,"",INDEX(ERP导入清单!S:S,IFERROR(MATCH(194,ERP导入清单!$X$5:$X$204,0)+4,"")))</f>
        <v/>
      </c>
      <c r="T198" s="37" t="str">
        <f>IF(COUNTIF(ERP导入清单!$X$5:$X$204,194)=0,"",INDEX(ERP导入清单!T:T,IFERROR(MATCH(194,ERP导入清单!$X$5:$X$204,0)+4,"")))</f>
        <v/>
      </c>
      <c r="U198" s="37" t="str">
        <f>IF(COUNTIF(ERP导入清单!$X$5:$X$204,194)=0,"",INDEX(ERP导入清单!U:U,IFERROR(MATCH(194,ERP导入清单!$X$5:$X$204,0)+4,"")))</f>
        <v/>
      </c>
      <c r="V198" s="38" t="str">
        <f>IF(COUNTIF(ERP导入清单!$X$5:$X$204,194)=0,"",INDEX(ERP导入清单!V:V,IFERROR(MATCH(194,ERP导入清单!$X$5:$X$204,0)+4,"")))</f>
        <v/>
      </c>
      <c r="W198" s="50" t="str">
        <f>IF(COUNTIF(ERP导入清单!$X$5:$X$204,194)=0,"",INDEX(ERP导入清单!W:W,IFERROR(MATCH(194,ERP导入清单!$X$5:$X$204,0)+4,"")))</f>
        <v/>
      </c>
    </row>
    <row r="199" spans="1:23" ht="24" customHeight="1">
      <c r="A199" s="55" t="str">
        <f>IF(COUNTIF(ERP导入清单!$X$5:$X$204,195)=0,"",INDEX(ERP导入清单!A:A,IFERROR(MATCH(195,ERP导入清单!$X$5:$X$204,0)+4,"")))</f>
        <v/>
      </c>
      <c r="B199" s="37" t="str">
        <f>IF(COUNTIF(ERP导入清单!$X$5:$X$204,195)=0,"",INDEX(ERP导入清单!B:B,IFERROR(MATCH(195,ERP导入清单!$X$5:$X$204,0)+4,"")))</f>
        <v/>
      </c>
      <c r="C199" s="38" t="str">
        <f>IF(COUNTIF(ERP导入清单!$X$5:$X$204,195)=0,"",INDEX(ERP导入清单!C:C,IFERROR(MATCH(195,ERP导入清单!$X$5:$X$204,0)+4,"")))</f>
        <v/>
      </c>
      <c r="D199" s="37" t="str">
        <f>IF(COUNTIF(ERP导入清单!$X$5:$X$204,195)=0,"",INDEX(ERP导入清单!D:D,IFERROR(MATCH(195,ERP导入清单!$X$5:$X$204,0)+4,"")))</f>
        <v/>
      </c>
      <c r="E199" s="37" t="str">
        <f>IF(COUNTIF(ERP导入清单!$X$5:$X$204,195)=0,"",INDEX(ERP导入清单!E:E,IFERROR(MATCH(195,ERP导入清单!$X$5:$X$204,0)+4,"")))</f>
        <v/>
      </c>
      <c r="F199" s="37" t="str">
        <f>IF(COUNTIF(ERP导入清单!$X$5:$X$204,195)=0,"",INDEX(ERP导入清单!F:F,IFERROR(MATCH(195,ERP导入清单!$X$5:$X$204,0)+4,"")))</f>
        <v/>
      </c>
      <c r="G199" s="57" t="str">
        <f>IF(COUNTIF(ERP导入清单!$X$5:$X$204,195)=0,"",INDEX(ERP导入清单!G:G,IFERROR(MATCH(195,ERP导入清单!$X$5:$X$204,0)+4,"")))</f>
        <v/>
      </c>
      <c r="H199" s="37" t="str">
        <f>IF(COUNTIF(ERP导入清单!$X$5:$X$204,195)=0,"",INDEX(ERP导入清单!H:H,IFERROR(MATCH(195,ERP导入清单!$X$5:$X$204,0)+4,"")))</f>
        <v/>
      </c>
      <c r="I199" s="57" t="str">
        <f>IF(COUNTIF(ERP导入清单!$X$5:$X$204,195)=0,"",INDEX(ERP导入清单!I:I,IFERROR(MATCH(195,ERP导入清单!$X$5:$X$204,0)+4,"")))</f>
        <v/>
      </c>
      <c r="J199" s="57" t="str">
        <f>IF(COUNTIF(ERP导入清单!$X$5:$X$204,195)=0,"",INDEX(ERP导入清单!J:J,IFERROR(MATCH(195,ERP导入清单!$X$5:$X$204,0)+4,"")))</f>
        <v/>
      </c>
      <c r="K199" s="37" t="str">
        <f>IF(COUNTIF(ERP导入清单!$X$5:$X$204,195)=0,"",INDEX(ERP导入清单!K:K,IFERROR(MATCH(195,ERP导入清单!$X$5:$X$204,0)+4,"")))</f>
        <v/>
      </c>
      <c r="L199" s="37" t="str">
        <f>IF(COUNTIF(ERP导入清单!$X$5:$X$204,195)=0,"",INDEX(ERP导入清单!L:L,IFERROR(MATCH(195,ERP导入清单!$X$5:$X$204,0)+4,"")))</f>
        <v/>
      </c>
      <c r="M199" s="37" t="str">
        <f>IF(COUNTIF(ERP导入清单!$X$5:$X$204,195)=0,"",INDEX(ERP导入清单!M:M,IFERROR(MATCH(195,ERP导入清单!$X$5:$X$204,0)+4,"")))</f>
        <v/>
      </c>
      <c r="N199" s="37" t="str">
        <f>IF(COUNTIF(ERP导入清单!$X$5:$X$204,195)=0,"",INDEX(ERP导入清单!N:N,IFERROR(MATCH(195,ERP导入清单!$X$5:$X$204,0)+4,"")))</f>
        <v/>
      </c>
      <c r="O199" s="37" t="str">
        <f>IF(COUNTIF(ERP导入清单!$X$5:$X$204,195)=0,"",INDEX(ERP导入清单!O:O,IFERROR(MATCH(195,ERP导入清单!$X$5:$X$204,0)+4,"")))</f>
        <v/>
      </c>
      <c r="P199" s="39" t="str">
        <f>IF(COUNTIF(ERP导入清单!$X$5:$X$204,195)=0,"",INDEX(ERP导入清单!P:P,IFERROR(MATCH(195,ERP导入清单!$X$5:$X$204,0)+4,"")))</f>
        <v/>
      </c>
      <c r="Q199" s="39" t="str">
        <f>IF(COUNTIF(ERP导入清单!$X$5:$X$204,195)=0,"",INDEX(ERP导入清单!Q:Q,IFERROR(MATCH(195,ERP导入清单!$X$5:$X$204,0)+4,"")))</f>
        <v/>
      </c>
      <c r="R199" s="59" t="str">
        <f>IF(COUNTIF(ERP导入清单!$X$5:$X$204,195)=0,"",INDEX(ERP导入清单!R:R,IFERROR(MATCH(195,ERP导入清单!$X$5:$X$204,0)+4,"")))</f>
        <v/>
      </c>
      <c r="S199" s="37" t="str">
        <f>IF(COUNTIF(ERP导入清单!$X$5:$X$204,195)=0,"",INDEX(ERP导入清单!S:S,IFERROR(MATCH(195,ERP导入清单!$X$5:$X$204,0)+4,"")))</f>
        <v/>
      </c>
      <c r="T199" s="37" t="str">
        <f>IF(COUNTIF(ERP导入清单!$X$5:$X$204,195)=0,"",INDEX(ERP导入清单!T:T,IFERROR(MATCH(195,ERP导入清单!$X$5:$X$204,0)+4,"")))</f>
        <v/>
      </c>
      <c r="U199" s="37" t="str">
        <f>IF(COUNTIF(ERP导入清单!$X$5:$X$204,195)=0,"",INDEX(ERP导入清单!U:U,IFERROR(MATCH(195,ERP导入清单!$X$5:$X$204,0)+4,"")))</f>
        <v/>
      </c>
      <c r="V199" s="38" t="str">
        <f>IF(COUNTIF(ERP导入清单!$X$5:$X$204,195)=0,"",INDEX(ERP导入清单!V:V,IFERROR(MATCH(195,ERP导入清单!$X$5:$X$204,0)+4,"")))</f>
        <v/>
      </c>
      <c r="W199" s="50" t="str">
        <f>IF(COUNTIF(ERP导入清单!$X$5:$X$204,195)=0,"",INDEX(ERP导入清单!W:W,IFERROR(MATCH(195,ERP导入清单!$X$5:$X$204,0)+4,"")))</f>
        <v/>
      </c>
    </row>
    <row r="200" spans="1:23" ht="24" customHeight="1">
      <c r="A200" s="55" t="str">
        <f>IF(COUNTIF(ERP导入清单!$X$5:$X$204,196)=0,"",INDEX(ERP导入清单!A:A,IFERROR(MATCH(196,ERP导入清单!$X$5:$X$204,0)+4,"")))</f>
        <v/>
      </c>
      <c r="B200" s="37" t="str">
        <f>IF(COUNTIF(ERP导入清单!$X$5:$X$204,196)=0,"",INDEX(ERP导入清单!B:B,IFERROR(MATCH(196,ERP导入清单!$X$5:$X$204,0)+4,"")))</f>
        <v/>
      </c>
      <c r="C200" s="38" t="str">
        <f>IF(COUNTIF(ERP导入清单!$X$5:$X$204,196)=0,"",INDEX(ERP导入清单!C:C,IFERROR(MATCH(196,ERP导入清单!$X$5:$X$204,0)+4,"")))</f>
        <v/>
      </c>
      <c r="D200" s="37" t="str">
        <f>IF(COUNTIF(ERP导入清单!$X$5:$X$204,196)=0,"",INDEX(ERP导入清单!D:D,IFERROR(MATCH(196,ERP导入清单!$X$5:$X$204,0)+4,"")))</f>
        <v/>
      </c>
      <c r="E200" s="37" t="str">
        <f>IF(COUNTIF(ERP导入清单!$X$5:$X$204,196)=0,"",INDEX(ERP导入清单!E:E,IFERROR(MATCH(196,ERP导入清单!$X$5:$X$204,0)+4,"")))</f>
        <v/>
      </c>
      <c r="F200" s="37" t="str">
        <f>IF(COUNTIF(ERP导入清单!$X$5:$X$204,196)=0,"",INDEX(ERP导入清单!F:F,IFERROR(MATCH(196,ERP导入清单!$X$5:$X$204,0)+4,"")))</f>
        <v/>
      </c>
      <c r="G200" s="57" t="str">
        <f>IF(COUNTIF(ERP导入清单!$X$5:$X$204,196)=0,"",INDEX(ERP导入清单!G:G,IFERROR(MATCH(196,ERP导入清单!$X$5:$X$204,0)+4,"")))</f>
        <v/>
      </c>
      <c r="H200" s="37" t="str">
        <f>IF(COUNTIF(ERP导入清单!$X$5:$X$204,196)=0,"",INDEX(ERP导入清单!H:H,IFERROR(MATCH(196,ERP导入清单!$X$5:$X$204,0)+4,"")))</f>
        <v/>
      </c>
      <c r="I200" s="57" t="str">
        <f>IF(COUNTIF(ERP导入清单!$X$5:$X$204,196)=0,"",INDEX(ERP导入清单!I:I,IFERROR(MATCH(196,ERP导入清单!$X$5:$X$204,0)+4,"")))</f>
        <v/>
      </c>
      <c r="J200" s="57" t="str">
        <f>IF(COUNTIF(ERP导入清单!$X$5:$X$204,196)=0,"",INDEX(ERP导入清单!J:J,IFERROR(MATCH(196,ERP导入清单!$X$5:$X$204,0)+4,"")))</f>
        <v/>
      </c>
      <c r="K200" s="37" t="str">
        <f>IF(COUNTIF(ERP导入清单!$X$5:$X$204,196)=0,"",INDEX(ERP导入清单!K:K,IFERROR(MATCH(196,ERP导入清单!$X$5:$X$204,0)+4,"")))</f>
        <v/>
      </c>
      <c r="L200" s="37" t="str">
        <f>IF(COUNTIF(ERP导入清单!$X$5:$X$204,196)=0,"",INDEX(ERP导入清单!L:L,IFERROR(MATCH(196,ERP导入清单!$X$5:$X$204,0)+4,"")))</f>
        <v/>
      </c>
      <c r="M200" s="37" t="str">
        <f>IF(COUNTIF(ERP导入清单!$X$5:$X$204,196)=0,"",INDEX(ERP导入清单!M:M,IFERROR(MATCH(196,ERP导入清单!$X$5:$X$204,0)+4,"")))</f>
        <v/>
      </c>
      <c r="N200" s="37" t="str">
        <f>IF(COUNTIF(ERP导入清单!$X$5:$X$204,196)=0,"",INDEX(ERP导入清单!N:N,IFERROR(MATCH(196,ERP导入清单!$X$5:$X$204,0)+4,"")))</f>
        <v/>
      </c>
      <c r="O200" s="37" t="str">
        <f>IF(COUNTIF(ERP导入清单!$X$5:$X$204,196)=0,"",INDEX(ERP导入清单!O:O,IFERROR(MATCH(196,ERP导入清单!$X$5:$X$204,0)+4,"")))</f>
        <v/>
      </c>
      <c r="P200" s="39" t="str">
        <f>IF(COUNTIF(ERP导入清单!$X$5:$X$204,196)=0,"",INDEX(ERP导入清单!P:P,IFERROR(MATCH(196,ERP导入清单!$X$5:$X$204,0)+4,"")))</f>
        <v/>
      </c>
      <c r="Q200" s="39" t="str">
        <f>IF(COUNTIF(ERP导入清单!$X$5:$X$204,196)=0,"",INDEX(ERP导入清单!Q:Q,IFERROR(MATCH(196,ERP导入清单!$X$5:$X$204,0)+4,"")))</f>
        <v/>
      </c>
      <c r="R200" s="59" t="str">
        <f>IF(COUNTIF(ERP导入清单!$X$5:$X$204,196)=0,"",INDEX(ERP导入清单!R:R,IFERROR(MATCH(196,ERP导入清单!$X$5:$X$204,0)+4,"")))</f>
        <v/>
      </c>
      <c r="S200" s="37" t="str">
        <f>IF(COUNTIF(ERP导入清单!$X$5:$X$204,196)=0,"",INDEX(ERP导入清单!S:S,IFERROR(MATCH(196,ERP导入清单!$X$5:$X$204,0)+4,"")))</f>
        <v/>
      </c>
      <c r="T200" s="37" t="str">
        <f>IF(COUNTIF(ERP导入清单!$X$5:$X$204,196)=0,"",INDEX(ERP导入清单!T:T,IFERROR(MATCH(196,ERP导入清单!$X$5:$X$204,0)+4,"")))</f>
        <v/>
      </c>
      <c r="U200" s="37" t="str">
        <f>IF(COUNTIF(ERP导入清单!$X$5:$X$204,196)=0,"",INDEX(ERP导入清单!U:U,IFERROR(MATCH(196,ERP导入清单!$X$5:$X$204,0)+4,"")))</f>
        <v/>
      </c>
      <c r="V200" s="38" t="str">
        <f>IF(COUNTIF(ERP导入清单!$X$5:$X$204,196)=0,"",INDEX(ERP导入清单!V:V,IFERROR(MATCH(196,ERP导入清单!$X$5:$X$204,0)+4,"")))</f>
        <v/>
      </c>
      <c r="W200" s="50" t="str">
        <f>IF(COUNTIF(ERP导入清单!$X$5:$X$204,196)=0,"",INDEX(ERP导入清单!W:W,IFERROR(MATCH(196,ERP导入清单!$X$5:$X$204,0)+4,"")))</f>
        <v/>
      </c>
    </row>
    <row r="201" spans="1:23" ht="24" customHeight="1">
      <c r="A201" s="55" t="str">
        <f>IF(COUNTIF(ERP导入清单!$X$5:$X$204,197)=0,"",INDEX(ERP导入清单!A:A,IFERROR(MATCH(197,ERP导入清单!$X$5:$X$204,0)+4,"")))</f>
        <v/>
      </c>
      <c r="B201" s="37" t="str">
        <f>IF(COUNTIF(ERP导入清单!$X$5:$X$204,197)=0,"",INDEX(ERP导入清单!B:B,IFERROR(MATCH(197,ERP导入清单!$X$5:$X$204,0)+4,"")))</f>
        <v/>
      </c>
      <c r="C201" s="38" t="str">
        <f>IF(COUNTIF(ERP导入清单!$X$5:$X$204,197)=0,"",INDEX(ERP导入清单!C:C,IFERROR(MATCH(197,ERP导入清单!$X$5:$X$204,0)+4,"")))</f>
        <v/>
      </c>
      <c r="D201" s="37" t="str">
        <f>IF(COUNTIF(ERP导入清单!$X$5:$X$204,197)=0,"",INDEX(ERP导入清单!D:D,IFERROR(MATCH(197,ERP导入清单!$X$5:$X$204,0)+4,"")))</f>
        <v/>
      </c>
      <c r="E201" s="37" t="str">
        <f>IF(COUNTIF(ERP导入清单!$X$5:$X$204,197)=0,"",INDEX(ERP导入清单!E:E,IFERROR(MATCH(197,ERP导入清单!$X$5:$X$204,0)+4,"")))</f>
        <v/>
      </c>
      <c r="F201" s="37" t="str">
        <f>IF(COUNTIF(ERP导入清单!$X$5:$X$204,197)=0,"",INDEX(ERP导入清单!F:F,IFERROR(MATCH(197,ERP导入清单!$X$5:$X$204,0)+4,"")))</f>
        <v/>
      </c>
      <c r="G201" s="57" t="str">
        <f>IF(COUNTIF(ERP导入清单!$X$5:$X$204,197)=0,"",INDEX(ERP导入清单!G:G,IFERROR(MATCH(197,ERP导入清单!$X$5:$X$204,0)+4,"")))</f>
        <v/>
      </c>
      <c r="H201" s="37" t="str">
        <f>IF(COUNTIF(ERP导入清单!$X$5:$X$204,197)=0,"",INDEX(ERP导入清单!H:H,IFERROR(MATCH(197,ERP导入清单!$X$5:$X$204,0)+4,"")))</f>
        <v/>
      </c>
      <c r="I201" s="57" t="str">
        <f>IF(COUNTIF(ERP导入清单!$X$5:$X$204,197)=0,"",INDEX(ERP导入清单!I:I,IFERROR(MATCH(197,ERP导入清单!$X$5:$X$204,0)+4,"")))</f>
        <v/>
      </c>
      <c r="J201" s="57" t="str">
        <f>IF(COUNTIF(ERP导入清单!$X$5:$X$204,197)=0,"",INDEX(ERP导入清单!J:J,IFERROR(MATCH(197,ERP导入清单!$X$5:$X$204,0)+4,"")))</f>
        <v/>
      </c>
      <c r="K201" s="37" t="str">
        <f>IF(COUNTIF(ERP导入清单!$X$5:$X$204,197)=0,"",INDEX(ERP导入清单!K:K,IFERROR(MATCH(197,ERP导入清单!$X$5:$X$204,0)+4,"")))</f>
        <v/>
      </c>
      <c r="L201" s="37" t="str">
        <f>IF(COUNTIF(ERP导入清单!$X$5:$X$204,197)=0,"",INDEX(ERP导入清单!L:L,IFERROR(MATCH(197,ERP导入清单!$X$5:$X$204,0)+4,"")))</f>
        <v/>
      </c>
      <c r="M201" s="37" t="str">
        <f>IF(COUNTIF(ERP导入清单!$X$5:$X$204,197)=0,"",INDEX(ERP导入清单!M:M,IFERROR(MATCH(197,ERP导入清单!$X$5:$X$204,0)+4,"")))</f>
        <v/>
      </c>
      <c r="N201" s="37" t="str">
        <f>IF(COUNTIF(ERP导入清单!$X$5:$X$204,197)=0,"",INDEX(ERP导入清单!N:N,IFERROR(MATCH(197,ERP导入清单!$X$5:$X$204,0)+4,"")))</f>
        <v/>
      </c>
      <c r="O201" s="37" t="str">
        <f>IF(COUNTIF(ERP导入清单!$X$5:$X$204,197)=0,"",INDEX(ERP导入清单!O:O,IFERROR(MATCH(197,ERP导入清单!$X$5:$X$204,0)+4,"")))</f>
        <v/>
      </c>
      <c r="P201" s="39" t="str">
        <f>IF(COUNTIF(ERP导入清单!$X$5:$X$204,197)=0,"",INDEX(ERP导入清单!P:P,IFERROR(MATCH(197,ERP导入清单!$X$5:$X$204,0)+4,"")))</f>
        <v/>
      </c>
      <c r="Q201" s="39" t="str">
        <f>IF(COUNTIF(ERP导入清单!$X$5:$X$204,197)=0,"",INDEX(ERP导入清单!Q:Q,IFERROR(MATCH(197,ERP导入清单!$X$5:$X$204,0)+4,"")))</f>
        <v/>
      </c>
      <c r="R201" s="59" t="str">
        <f>IF(COUNTIF(ERP导入清单!$X$5:$X$204,197)=0,"",INDEX(ERP导入清单!R:R,IFERROR(MATCH(197,ERP导入清单!$X$5:$X$204,0)+4,"")))</f>
        <v/>
      </c>
      <c r="S201" s="37" t="str">
        <f>IF(COUNTIF(ERP导入清单!$X$5:$X$204,197)=0,"",INDEX(ERP导入清单!S:S,IFERROR(MATCH(197,ERP导入清单!$X$5:$X$204,0)+4,"")))</f>
        <v/>
      </c>
      <c r="T201" s="37" t="str">
        <f>IF(COUNTIF(ERP导入清单!$X$5:$X$204,197)=0,"",INDEX(ERP导入清单!T:T,IFERROR(MATCH(197,ERP导入清单!$X$5:$X$204,0)+4,"")))</f>
        <v/>
      </c>
      <c r="U201" s="37" t="str">
        <f>IF(COUNTIF(ERP导入清单!$X$5:$X$204,197)=0,"",INDEX(ERP导入清单!U:U,IFERROR(MATCH(197,ERP导入清单!$X$5:$X$204,0)+4,"")))</f>
        <v/>
      </c>
      <c r="V201" s="38" t="str">
        <f>IF(COUNTIF(ERP导入清单!$X$5:$X$204,197)=0,"",INDEX(ERP导入清单!V:V,IFERROR(MATCH(197,ERP导入清单!$X$5:$X$204,0)+4,"")))</f>
        <v/>
      </c>
      <c r="W201" s="50" t="str">
        <f>IF(COUNTIF(ERP导入清单!$X$5:$X$204,197)=0,"",INDEX(ERP导入清单!W:W,IFERROR(MATCH(197,ERP导入清单!$X$5:$X$204,0)+4,"")))</f>
        <v/>
      </c>
    </row>
    <row r="202" spans="1:23" ht="24" customHeight="1">
      <c r="A202" s="55" t="str">
        <f>IF(COUNTIF(ERP导入清单!$X$5:$X$204,198)=0,"",INDEX(ERP导入清单!A:A,IFERROR(MATCH(198,ERP导入清单!$X$5:$X$204,0)+4,"")))</f>
        <v/>
      </c>
      <c r="B202" s="37" t="str">
        <f>IF(COUNTIF(ERP导入清单!$X$5:$X$204,198)=0,"",INDEX(ERP导入清单!B:B,IFERROR(MATCH(198,ERP导入清单!$X$5:$X$204,0)+4,"")))</f>
        <v/>
      </c>
      <c r="C202" s="38" t="str">
        <f>IF(COUNTIF(ERP导入清单!$X$5:$X$204,198)=0,"",INDEX(ERP导入清单!C:C,IFERROR(MATCH(198,ERP导入清单!$X$5:$X$204,0)+4,"")))</f>
        <v/>
      </c>
      <c r="D202" s="37" t="str">
        <f>IF(COUNTIF(ERP导入清单!$X$5:$X$204,198)=0,"",INDEX(ERP导入清单!D:D,IFERROR(MATCH(198,ERP导入清单!$X$5:$X$204,0)+4,"")))</f>
        <v/>
      </c>
      <c r="E202" s="37" t="str">
        <f>IF(COUNTIF(ERP导入清单!$X$5:$X$204,198)=0,"",INDEX(ERP导入清单!E:E,IFERROR(MATCH(198,ERP导入清单!$X$5:$X$204,0)+4,"")))</f>
        <v/>
      </c>
      <c r="F202" s="37" t="str">
        <f>IF(COUNTIF(ERP导入清单!$X$5:$X$204,198)=0,"",INDEX(ERP导入清单!F:F,IFERROR(MATCH(198,ERP导入清单!$X$5:$X$204,0)+4,"")))</f>
        <v/>
      </c>
      <c r="G202" s="57" t="str">
        <f>IF(COUNTIF(ERP导入清单!$X$5:$X$204,198)=0,"",INDEX(ERP导入清单!G:G,IFERROR(MATCH(198,ERP导入清单!$X$5:$X$204,0)+4,"")))</f>
        <v/>
      </c>
      <c r="H202" s="37" t="str">
        <f>IF(COUNTIF(ERP导入清单!$X$5:$X$204,198)=0,"",INDEX(ERP导入清单!H:H,IFERROR(MATCH(198,ERP导入清单!$X$5:$X$204,0)+4,"")))</f>
        <v/>
      </c>
      <c r="I202" s="57" t="str">
        <f>IF(COUNTIF(ERP导入清单!$X$5:$X$204,198)=0,"",INDEX(ERP导入清单!I:I,IFERROR(MATCH(198,ERP导入清单!$X$5:$X$204,0)+4,"")))</f>
        <v/>
      </c>
      <c r="J202" s="57" t="str">
        <f>IF(COUNTIF(ERP导入清单!$X$5:$X$204,198)=0,"",INDEX(ERP导入清单!J:J,IFERROR(MATCH(198,ERP导入清单!$X$5:$X$204,0)+4,"")))</f>
        <v/>
      </c>
      <c r="K202" s="37" t="str">
        <f>IF(COUNTIF(ERP导入清单!$X$5:$X$204,198)=0,"",INDEX(ERP导入清单!K:K,IFERROR(MATCH(198,ERP导入清单!$X$5:$X$204,0)+4,"")))</f>
        <v/>
      </c>
      <c r="L202" s="37" t="str">
        <f>IF(COUNTIF(ERP导入清单!$X$5:$X$204,198)=0,"",INDEX(ERP导入清单!L:L,IFERROR(MATCH(198,ERP导入清单!$X$5:$X$204,0)+4,"")))</f>
        <v/>
      </c>
      <c r="M202" s="37" t="str">
        <f>IF(COUNTIF(ERP导入清单!$X$5:$X$204,198)=0,"",INDEX(ERP导入清单!M:M,IFERROR(MATCH(198,ERP导入清单!$X$5:$X$204,0)+4,"")))</f>
        <v/>
      </c>
      <c r="N202" s="37" t="str">
        <f>IF(COUNTIF(ERP导入清单!$X$5:$X$204,198)=0,"",INDEX(ERP导入清单!N:N,IFERROR(MATCH(198,ERP导入清单!$X$5:$X$204,0)+4,"")))</f>
        <v/>
      </c>
      <c r="O202" s="37" t="str">
        <f>IF(COUNTIF(ERP导入清单!$X$5:$X$204,198)=0,"",INDEX(ERP导入清单!O:O,IFERROR(MATCH(198,ERP导入清单!$X$5:$X$204,0)+4,"")))</f>
        <v/>
      </c>
      <c r="P202" s="39" t="str">
        <f>IF(COUNTIF(ERP导入清单!$X$5:$X$204,198)=0,"",INDEX(ERP导入清单!P:P,IFERROR(MATCH(198,ERP导入清单!$X$5:$X$204,0)+4,"")))</f>
        <v/>
      </c>
      <c r="Q202" s="39" t="str">
        <f>IF(COUNTIF(ERP导入清单!$X$5:$X$204,198)=0,"",INDEX(ERP导入清单!Q:Q,IFERROR(MATCH(198,ERP导入清单!$X$5:$X$204,0)+4,"")))</f>
        <v/>
      </c>
      <c r="R202" s="59" t="str">
        <f>IF(COUNTIF(ERP导入清单!$X$5:$X$204,198)=0,"",INDEX(ERP导入清单!R:R,IFERROR(MATCH(198,ERP导入清单!$X$5:$X$204,0)+4,"")))</f>
        <v/>
      </c>
      <c r="S202" s="37" t="str">
        <f>IF(COUNTIF(ERP导入清单!$X$5:$X$204,198)=0,"",INDEX(ERP导入清单!S:S,IFERROR(MATCH(198,ERP导入清单!$X$5:$X$204,0)+4,"")))</f>
        <v/>
      </c>
      <c r="T202" s="37" t="str">
        <f>IF(COUNTIF(ERP导入清单!$X$5:$X$204,198)=0,"",INDEX(ERP导入清单!T:T,IFERROR(MATCH(198,ERP导入清单!$X$5:$X$204,0)+4,"")))</f>
        <v/>
      </c>
      <c r="U202" s="37" t="str">
        <f>IF(COUNTIF(ERP导入清单!$X$5:$X$204,198)=0,"",INDEX(ERP导入清单!U:U,IFERROR(MATCH(198,ERP导入清单!$X$5:$X$204,0)+4,"")))</f>
        <v/>
      </c>
      <c r="V202" s="38" t="str">
        <f>IF(COUNTIF(ERP导入清单!$X$5:$X$204,198)=0,"",INDEX(ERP导入清单!V:V,IFERROR(MATCH(198,ERP导入清单!$X$5:$X$204,0)+4,"")))</f>
        <v/>
      </c>
      <c r="W202" s="50" t="str">
        <f>IF(COUNTIF(ERP导入清单!$X$5:$X$204,198)=0,"",INDEX(ERP导入清单!W:W,IFERROR(MATCH(198,ERP导入清单!$X$5:$X$204,0)+4,"")))</f>
        <v/>
      </c>
    </row>
    <row r="203" spans="1:23" ht="24" customHeight="1">
      <c r="A203" s="55" t="str">
        <f>IF(COUNTIF(ERP导入清单!$X$5:$X$204,199)=0,"",INDEX(ERP导入清单!A:A,IFERROR(MATCH(199,ERP导入清单!$X$5:$X$204,0)+4,"")))</f>
        <v/>
      </c>
      <c r="B203" s="37" t="str">
        <f>IF(COUNTIF(ERP导入清单!$X$5:$X$204,199)=0,"",INDEX(ERP导入清单!B:B,IFERROR(MATCH(199,ERP导入清单!$X$5:$X$204,0)+4,"")))</f>
        <v/>
      </c>
      <c r="C203" s="38" t="str">
        <f>IF(COUNTIF(ERP导入清单!$X$5:$X$204,199)=0,"",INDEX(ERP导入清单!C:C,IFERROR(MATCH(199,ERP导入清单!$X$5:$X$204,0)+4,"")))</f>
        <v/>
      </c>
      <c r="D203" s="37" t="str">
        <f>IF(COUNTIF(ERP导入清单!$X$5:$X$204,199)=0,"",INDEX(ERP导入清单!D:D,IFERROR(MATCH(199,ERP导入清单!$X$5:$X$204,0)+4,"")))</f>
        <v/>
      </c>
      <c r="E203" s="37" t="str">
        <f>IF(COUNTIF(ERP导入清单!$X$5:$X$204,199)=0,"",INDEX(ERP导入清单!E:E,IFERROR(MATCH(199,ERP导入清单!$X$5:$X$204,0)+4,"")))</f>
        <v/>
      </c>
      <c r="F203" s="37" t="str">
        <f>IF(COUNTIF(ERP导入清单!$X$5:$X$204,199)=0,"",INDEX(ERP导入清单!F:F,IFERROR(MATCH(199,ERP导入清单!$X$5:$X$204,0)+4,"")))</f>
        <v/>
      </c>
      <c r="G203" s="57" t="str">
        <f>IF(COUNTIF(ERP导入清单!$X$5:$X$204,199)=0,"",INDEX(ERP导入清单!G:G,IFERROR(MATCH(199,ERP导入清单!$X$5:$X$204,0)+4,"")))</f>
        <v/>
      </c>
      <c r="H203" s="37" t="str">
        <f>IF(COUNTIF(ERP导入清单!$X$5:$X$204,199)=0,"",INDEX(ERP导入清单!H:H,IFERROR(MATCH(199,ERP导入清单!$X$5:$X$204,0)+4,"")))</f>
        <v/>
      </c>
      <c r="I203" s="57" t="str">
        <f>IF(COUNTIF(ERP导入清单!$X$5:$X$204,199)=0,"",INDEX(ERP导入清单!I:I,IFERROR(MATCH(199,ERP导入清单!$X$5:$X$204,0)+4,"")))</f>
        <v/>
      </c>
      <c r="J203" s="57" t="str">
        <f>IF(COUNTIF(ERP导入清单!$X$5:$X$204,199)=0,"",INDEX(ERP导入清单!J:J,IFERROR(MATCH(199,ERP导入清单!$X$5:$X$204,0)+4,"")))</f>
        <v/>
      </c>
      <c r="K203" s="37" t="str">
        <f>IF(COUNTIF(ERP导入清单!$X$5:$X$204,199)=0,"",INDEX(ERP导入清单!K:K,IFERROR(MATCH(199,ERP导入清单!$X$5:$X$204,0)+4,"")))</f>
        <v/>
      </c>
      <c r="L203" s="37" t="str">
        <f>IF(COUNTIF(ERP导入清单!$X$5:$X$204,199)=0,"",INDEX(ERP导入清单!L:L,IFERROR(MATCH(199,ERP导入清单!$X$5:$X$204,0)+4,"")))</f>
        <v/>
      </c>
      <c r="M203" s="37" t="str">
        <f>IF(COUNTIF(ERP导入清单!$X$5:$X$204,199)=0,"",INDEX(ERP导入清单!M:M,IFERROR(MATCH(199,ERP导入清单!$X$5:$X$204,0)+4,"")))</f>
        <v/>
      </c>
      <c r="N203" s="37" t="str">
        <f>IF(COUNTIF(ERP导入清单!$X$5:$X$204,199)=0,"",INDEX(ERP导入清单!N:N,IFERROR(MATCH(199,ERP导入清单!$X$5:$X$204,0)+4,"")))</f>
        <v/>
      </c>
      <c r="O203" s="37" t="str">
        <f>IF(COUNTIF(ERP导入清单!$X$5:$X$204,199)=0,"",INDEX(ERP导入清单!O:O,IFERROR(MATCH(199,ERP导入清单!$X$5:$X$204,0)+4,"")))</f>
        <v/>
      </c>
      <c r="P203" s="39" t="str">
        <f>IF(COUNTIF(ERP导入清单!$X$5:$X$204,199)=0,"",INDEX(ERP导入清单!P:P,IFERROR(MATCH(199,ERP导入清单!$X$5:$X$204,0)+4,"")))</f>
        <v/>
      </c>
      <c r="Q203" s="39" t="str">
        <f>IF(COUNTIF(ERP导入清单!$X$5:$X$204,199)=0,"",INDEX(ERP导入清单!Q:Q,IFERROR(MATCH(199,ERP导入清单!$X$5:$X$204,0)+4,"")))</f>
        <v/>
      </c>
      <c r="R203" s="59" t="str">
        <f>IF(COUNTIF(ERP导入清单!$X$5:$X$204,199)=0,"",INDEX(ERP导入清单!R:R,IFERROR(MATCH(199,ERP导入清单!$X$5:$X$204,0)+4,"")))</f>
        <v/>
      </c>
      <c r="S203" s="37" t="str">
        <f>IF(COUNTIF(ERP导入清单!$X$5:$X$204,199)=0,"",INDEX(ERP导入清单!S:S,IFERROR(MATCH(199,ERP导入清单!$X$5:$X$204,0)+4,"")))</f>
        <v/>
      </c>
      <c r="T203" s="37" t="str">
        <f>IF(COUNTIF(ERP导入清单!$X$5:$X$204,199)=0,"",INDEX(ERP导入清单!T:T,IFERROR(MATCH(199,ERP导入清单!$X$5:$X$204,0)+4,"")))</f>
        <v/>
      </c>
      <c r="U203" s="37" t="str">
        <f>IF(COUNTIF(ERP导入清单!$X$5:$X$204,199)=0,"",INDEX(ERP导入清单!U:U,IFERROR(MATCH(199,ERP导入清单!$X$5:$X$204,0)+4,"")))</f>
        <v/>
      </c>
      <c r="V203" s="38" t="str">
        <f>IF(COUNTIF(ERP导入清单!$X$5:$X$204,199)=0,"",INDEX(ERP导入清单!V:V,IFERROR(MATCH(199,ERP导入清单!$X$5:$X$204,0)+4,"")))</f>
        <v/>
      </c>
      <c r="W203" s="50" t="str">
        <f>IF(COUNTIF(ERP导入清单!$X$5:$X$204,199)=0,"",INDEX(ERP导入清单!W:W,IFERROR(MATCH(199,ERP导入清单!$X$5:$X$204,0)+4,"")))</f>
        <v/>
      </c>
    </row>
    <row r="204" spans="1:23" ht="24" customHeight="1">
      <c r="A204" s="56" t="str">
        <f>IF(COUNTIF(ERP导入清单!$X$5:$X$204,200)=0,"",INDEX(ERP导入清单!A:A,IFERROR(MATCH(200,ERP导入清单!$X$5:$X$204,0)+4,"")))</f>
        <v/>
      </c>
      <c r="B204" s="51" t="str">
        <f>IF(COUNTIF(ERP导入清单!$X$5:$X$204,200)=0,"",INDEX(ERP导入清单!B:B,IFERROR(MATCH(200,ERP导入清单!$X$5:$X$204,0)+4,"")))</f>
        <v/>
      </c>
      <c r="C204" s="53" t="str">
        <f>IF(COUNTIF(ERP导入清单!$X$5:$X$204,200)=0,"",INDEX(ERP导入清单!C:C,IFERROR(MATCH(200,ERP导入清单!$X$5:$X$204,0)+4,"")))</f>
        <v/>
      </c>
      <c r="D204" s="51" t="str">
        <f>IF(COUNTIF(ERP导入清单!$X$5:$X$204,200)=0,"",INDEX(ERP导入清单!D:D,IFERROR(MATCH(200,ERP导入清单!$X$5:$X$204,0)+4,"")))</f>
        <v/>
      </c>
      <c r="E204" s="51" t="str">
        <f>IF(COUNTIF(ERP导入清单!$X$5:$X$204,200)=0,"",INDEX(ERP导入清单!E:E,IFERROR(MATCH(200,ERP导入清单!$X$5:$X$204,0)+4,"")))</f>
        <v/>
      </c>
      <c r="F204" s="51" t="str">
        <f>IF(COUNTIF(ERP导入清单!$X$5:$X$204,200)=0,"",INDEX(ERP导入清单!F:F,IFERROR(MATCH(200,ERP导入清单!$X$5:$X$204,0)+4,"")))</f>
        <v/>
      </c>
      <c r="G204" s="58" t="str">
        <f>IF(COUNTIF(ERP导入清单!$X$5:$X$204,200)=0,"",INDEX(ERP导入清单!G:G,IFERROR(MATCH(200,ERP导入清单!$X$5:$X$204,0)+4,"")))</f>
        <v/>
      </c>
      <c r="H204" s="51" t="str">
        <f>IF(COUNTIF(ERP导入清单!$X$5:$X$204,200)=0,"",INDEX(ERP导入清单!H:H,IFERROR(MATCH(200,ERP导入清单!$X$5:$X$204,0)+4,"")))</f>
        <v/>
      </c>
      <c r="I204" s="58" t="str">
        <f>IF(COUNTIF(ERP导入清单!$X$5:$X$204,200)=0,"",INDEX(ERP导入清单!I:I,IFERROR(MATCH(200,ERP导入清单!$X$5:$X$204,0)+4,"")))</f>
        <v/>
      </c>
      <c r="J204" s="58" t="str">
        <f>IF(COUNTIF(ERP导入清单!$X$5:$X$204,200)=0,"",INDEX(ERP导入清单!J:J,IFERROR(MATCH(200,ERP导入清单!$X$5:$X$204,0)+4,"")))</f>
        <v/>
      </c>
      <c r="K204" s="51" t="str">
        <f>IF(COUNTIF(ERP导入清单!$X$5:$X$204,200)=0,"",INDEX(ERP导入清单!K:K,IFERROR(MATCH(200,ERP导入清单!$X$5:$X$204,0)+4,"")))</f>
        <v/>
      </c>
      <c r="L204" s="51" t="str">
        <f>IF(COUNTIF(ERP导入清单!$X$5:$X$204,200)=0,"",INDEX(ERP导入清单!L:L,IFERROR(MATCH(200,ERP导入清单!$X$5:$X$204,0)+4,"")))</f>
        <v/>
      </c>
      <c r="M204" s="51" t="str">
        <f>IF(COUNTIF(ERP导入清单!$X$5:$X$204,200)=0,"",INDEX(ERP导入清单!M:M,IFERROR(MATCH(200,ERP导入清单!$X$5:$X$204,0)+4,"")))</f>
        <v/>
      </c>
      <c r="N204" s="51" t="str">
        <f>IF(COUNTIF(ERP导入清单!$X$5:$X$204,200)=0,"",INDEX(ERP导入清单!N:N,IFERROR(MATCH(200,ERP导入清单!$X$5:$X$204,0)+4,"")))</f>
        <v/>
      </c>
      <c r="O204" s="51" t="str">
        <f>IF(COUNTIF(ERP导入清单!$X$5:$X$204,200)=0,"",INDEX(ERP导入清单!O:O,IFERROR(MATCH(200,ERP导入清单!$X$5:$X$204,0)+4,"")))</f>
        <v/>
      </c>
      <c r="P204" s="54" t="str">
        <f>IF(COUNTIF(ERP导入清单!$X$5:$X$204,200)=0,"",INDEX(ERP导入清单!P:P,IFERROR(MATCH(200,ERP导入清单!$X$5:$X$204,0)+4,"")))</f>
        <v/>
      </c>
      <c r="Q204" s="54" t="str">
        <f>IF(COUNTIF(ERP导入清单!$X$5:$X$204,200)=0,"",INDEX(ERP导入清单!Q:Q,IFERROR(MATCH(200,ERP导入清单!$X$5:$X$204,0)+4,"")))</f>
        <v/>
      </c>
      <c r="R204" s="60" t="str">
        <f>IF(COUNTIF(ERP导入清单!$X$5:$X$204,200)=0,"",INDEX(ERP导入清单!R:R,IFERROR(MATCH(200,ERP导入清单!$X$5:$X$204,0)+4,"")))</f>
        <v/>
      </c>
      <c r="S204" s="51" t="str">
        <f>IF(COUNTIF(ERP导入清单!$X$5:$X$204,200)=0,"",INDEX(ERP导入清单!S:S,IFERROR(MATCH(200,ERP导入清单!$X$5:$X$204,0)+4,"")))</f>
        <v/>
      </c>
      <c r="T204" s="51" t="str">
        <f>IF(COUNTIF(ERP导入清单!$X$5:$X$204,200)=0,"",INDEX(ERP导入清单!T:T,IFERROR(MATCH(200,ERP导入清单!$X$5:$X$204,0)+4,"")))</f>
        <v/>
      </c>
      <c r="U204" s="51" t="str">
        <f>IF(COUNTIF(ERP导入清单!$X$5:$X$204,200)=0,"",INDEX(ERP导入清单!U:U,IFERROR(MATCH(200,ERP导入清单!$X$5:$X$204,0)+4,"")))</f>
        <v/>
      </c>
      <c r="V204" s="53" t="str">
        <f>IF(COUNTIF(ERP导入清单!$X$5:$X$204,200)=0,"",INDEX(ERP导入清单!V:V,IFERROR(MATCH(200,ERP导入清单!$X$5:$X$204,0)+4,"")))</f>
        <v/>
      </c>
      <c r="W204" s="52" t="str">
        <f>IF(COUNTIF(ERP导入清单!$X$5:$X$204,200)=0,"",INDEX(ERP导入清单!W:W,IFERROR(MATCH(200,ERP导入清单!$X$5:$X$204,0)+4,"")))</f>
        <v/>
      </c>
    </row>
  </sheetData>
  <mergeCells count="2">
    <mergeCell ref="A2:W2"/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清单台账</vt:lpstr>
      <vt:lpstr>ERP导入清单</vt:lpstr>
      <vt:lpstr>使用说明</vt:lpstr>
      <vt:lpstr>选项</vt:lpstr>
      <vt:lpstr>ERP上传净表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Shengjun Gu</cp:lastModifiedBy>
  <dcterms:created xsi:type="dcterms:W3CDTF">2026-05-10T15:04:53Z</dcterms:created>
  <dcterms:modified xsi:type="dcterms:W3CDTF">2026-05-10T15:11:46Z</dcterms:modified>
</cp:coreProperties>
</file>